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Q Numbers" sheetId="5" r:id="rId9"/>
    <sheet state="visible" name="help-choices" sheetId="6" r:id="rId10"/>
    <sheet state="visible" name="help-settings" sheetId="7" r:id="rId11"/>
  </sheets>
  <definedNames>
    <definedName hidden="1" localSheetId="0" name="_xlnm._FilterDatabase">survey!$A$1:$A$1310</definedName>
    <definedName hidden="1" localSheetId="4" name="_xlnm._FilterDatabase">'Q Numbers'!$A$1:$A$2836</definedName>
  </definedNames>
  <calcPr/>
</workbook>
</file>

<file path=xl/sharedStrings.xml><?xml version="1.0" encoding="utf-8"?>
<sst xmlns="http://schemas.openxmlformats.org/spreadsheetml/2006/main" count="11542" uniqueCount="6208">
  <si>
    <t>list_name</t>
  </si>
  <si>
    <t>The survey worksheet</t>
  </si>
  <si>
    <t>form_title</t>
  </si>
  <si>
    <t>type</t>
  </si>
  <si>
    <t>value</t>
  </si>
  <si>
    <t>name</t>
  </si>
  <si>
    <t>label</t>
  </si>
  <si>
    <t>form_id</t>
  </si>
  <si>
    <t>label:french</t>
  </si>
  <si>
    <t>version</t>
  </si>
  <si>
    <t>label:hausa</t>
  </si>
  <si>
    <t>image</t>
  </si>
  <si>
    <t>filter</t>
  </si>
  <si>
    <t>public_key</t>
  </si>
  <si>
    <t>filter2</t>
  </si>
  <si>
    <t>submission_url</t>
  </si>
  <si>
    <t>default_language</t>
  </si>
  <si>
    <t>filter3</t>
  </si>
  <si>
    <t>filter4</t>
  </si>
  <si>
    <t>hint</t>
  </si>
  <si>
    <t>hint:french</t>
  </si>
  <si>
    <t>Follow-Up Round 5 2024 Woman</t>
  </si>
  <si>
    <t>hint:hausa</t>
  </si>
  <si>
    <t>default</t>
  </si>
  <si>
    <t>appearance</t>
  </si>
  <si>
    <t>fu5_w_2024</t>
  </si>
  <si>
    <t>constraint</t>
  </si>
  <si>
    <t>constraint message</t>
  </si>
  <si>
    <t>constraint message:french</t>
  </si>
  <si>
    <t>constraint message:hausa</t>
  </si>
  <si>
    <t>relevance</t>
  </si>
  <si>
    <t>disabled</t>
  </si>
  <si>
    <t>yesno</t>
  </si>
  <si>
    <t>required</t>
  </si>
  <si>
    <t>required message</t>
  </si>
  <si>
    <t>read only</t>
  </si>
  <si>
    <t>calculation</t>
  </si>
  <si>
    <t>repeat_count</t>
  </si>
  <si>
    <t>media:image</t>
  </si>
  <si>
    <t>Yes</t>
  </si>
  <si>
    <t>media:audio</t>
  </si>
  <si>
    <t>media:video</t>
  </si>
  <si>
    <t>Oui</t>
  </si>
  <si>
    <t>choice_filter</t>
  </si>
  <si>
    <t>note</t>
  </si>
  <si>
    <t>ii</t>
  </si>
  <si>
    <t>response_note</t>
  </si>
  <si>
    <t>publishable</t>
  </si>
  <si>
    <t>minimum_seconds</t>
  </si>
  <si>
    <t>This worksheet specifies all of the groups, questions, and other fields in your survey form, each in its own row. Aside from overall settings and lists of multiple-choice options, everything about your survey form is specified in this worksheet.</t>
  </si>
  <si>
    <t/>
  </si>
  <si>
    <t>english</t>
  </si>
  <si>
    <t>No</t>
  </si>
  <si>
    <t>Non</t>
  </si>
  <si>
    <t>a'a</t>
  </si>
  <si>
    <t>Learn more about form definitions and field types</t>
  </si>
  <si>
    <t>start</t>
  </si>
  <si>
    <t>starttime</t>
  </si>
  <si>
    <t>round</t>
  </si>
  <si>
    <t>Round 3</t>
  </si>
  <si>
    <t>label:languagename</t>
  </si>
  <si>
    <t>Tour 3</t>
  </si>
  <si>
    <t>zagaye 3</t>
  </si>
  <si>
    <t>hint:languagename</t>
  </si>
  <si>
    <t>constraint message:languagename</t>
  </si>
  <si>
    <t>required message:languagename</t>
  </si>
  <si>
    <t>end</t>
  </si>
  <si>
    <t>endtime</t>
  </si>
  <si>
    <t>Round 5</t>
  </si>
  <si>
    <t>Tour 5</t>
  </si>
  <si>
    <t>zagaye 5</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</si>
  <si>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</si>
  <si>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</si>
  <si>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</si>
  <si>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</si>
  <si>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deviceid</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</si>
  <si>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</si>
  <si>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</si>
  <si>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</si>
  <si>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</si>
  <si>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</si>
  <si>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</si>
  <si>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yesnodk</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</si>
  <si>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</si>
  <si>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</si>
  <si>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</si>
  <si>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</si>
  <si>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</si>
  <si>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</si>
  <si>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</si>
  <si>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</si>
  <si>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phonenumber</t>
  </si>
  <si>
    <t>devicephonenum</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</si>
  <si>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</si>
  <si>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</si>
  <si>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</si>
  <si>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</si>
  <si>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aa</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</si>
  <si>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</si>
  <si>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</si>
  <si>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</si>
  <si>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</si>
  <si>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</si>
  <si>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</si>
  <si>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</si>
  <si>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</si>
  <si>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Don't know</t>
  </si>
  <si>
    <t>Je ne sais pas</t>
  </si>
  <si>
    <t>Ban sani ba</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</si>
  <si>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</si>
  <si>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</si>
  <si>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username</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</si>
  <si>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</si>
  <si>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</si>
  <si>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team</t>
  </si>
  <si>
    <t>calculate</t>
  </si>
  <si>
    <t>team_id</t>
  </si>
  <si>
    <t>device_info</t>
  </si>
  <si>
    <t>team_leader</t>
  </si>
  <si>
    <t>Help topic: Pre-loading data into a form</t>
  </si>
  <si>
    <t>device-info()</t>
  </si>
  <si>
    <t>Help topic: Using constraints to validate responses</t>
  </si>
  <si>
    <t>duration</t>
  </si>
  <si>
    <t>duration()</t>
  </si>
  <si>
    <t>Help topic: Implementing skip patterns with "relevance"</t>
  </si>
  <si>
    <t>Help topic: Other field properties</t>
  </si>
  <si>
    <t>text audit</t>
  </si>
  <si>
    <t>text_audit</t>
  </si>
  <si>
    <t>Question Durations</t>
  </si>
  <si>
    <t>enum</t>
  </si>
  <si>
    <t>enum_id</t>
  </si>
  <si>
    <t>Help topic: Field type: calculate</t>
  </si>
  <si>
    <t>enum_name</t>
  </si>
  <si>
    <t>Help topic: Grouping and repeating questions</t>
  </si>
  <si>
    <t>Help topic: Images: Adding pictures and other graphics</t>
  </si>
  <si>
    <t>intronote</t>
  </si>
  <si>
    <t>1. Follow-up Round 5</t>
  </si>
  <si>
    <t>commune</t>
  </si>
  <si>
    <t>commune_id</t>
  </si>
  <si>
    <t>commune_name</t>
  </si>
  <si>
    <t>Help topic: Dynamically filtering lists of multiple-choice options</t>
  </si>
  <si>
    <t>1. Suivi du cinquième tour</t>
  </si>
  <si>
    <t>1. Bibiyar Zagaye na 5</t>
  </si>
  <si>
    <t>intro</t>
  </si>
  <si>
    <t>Help topic: Downloading printable copies of your forms</t>
  </si>
  <si>
    <t>Help topic: Encrypting form data (end-to-end encryption)</t>
  </si>
  <si>
    <t>Help topic: Collecting high-quality data</t>
  </si>
  <si>
    <t>locality</t>
  </si>
  <si>
    <t>vn</t>
  </si>
  <si>
    <t>locality_name</t>
  </si>
  <si>
    <t>calculate_here</t>
  </si>
  <si>
    <t>speedcheck_intro_start</t>
  </si>
  <si>
    <r>
      <rPr>
        <rFont val="Calibri"/>
        <color rgb="FF000000"/>
        <sz val="12.0"/>
        <u/>
      </rPr>
      <t>Examples</t>
    </r>
    <r>
      <rPr>
        <rFont val="Calibri"/>
        <color rgb="FF000000"/>
        <sz val="12.0"/>
        <u/>
      </rPr>
      <t xml:space="preserve"> (scroll right for appearance styles)</t>
    </r>
  </si>
  <si>
    <t>respondent</t>
  </si>
  <si>
    <t>PM - ${pm_name} (age: ${pm_age})</t>
  </si>
  <si>
    <t>PM - ${pm_name}</t>
  </si>
  <si>
    <t>once(duration())</t>
  </si>
  <si>
    <t>SHM - ${shm_name} (age: ${shm_age})</t>
  </si>
  <si>
    <t>SHM - ${shm_name}</t>
  </si>
  <si>
    <t>Woman - ${w_name} (age: ${w_age})</t>
  </si>
  <si>
    <t>enumerator</t>
  </si>
  <si>
    <t>begin group</t>
  </si>
  <si>
    <t>enum_questions</t>
  </si>
  <si>
    <t>Enumerator Questions</t>
  </si>
  <si>
    <t>fieldname</t>
  </si>
  <si>
    <t>None</t>
  </si>
  <si>
    <t>Aucun</t>
  </si>
  <si>
    <t>Enumerator selection field (require a special code in order to reveal the full enumerator list):</t>
  </si>
  <si>
    <t>Babu</t>
  </si>
  <si>
    <t>other-user-code(xyz)</t>
  </si>
  <si>
    <t>select_one round</t>
  </si>
  <si>
    <t>resp</t>
  </si>
  <si>
    <t>${pm_name} (age: ${pm_age})</t>
  </si>
  <si>
    <t>Enumerator selection field (require a special code in order to enter a new enumerator):</t>
  </si>
  <si>
    <t>${pm_name}</t>
  </si>
  <si>
    <t>2. What round is this?</t>
  </si>
  <si>
    <t>2. quel tour est-ce ?</t>
  </si>
  <si>
    <t>1. Follow-up Round 3</t>
  </si>
  <si>
    <t>2. Wane kewaye ne?</t>
  </si>
  <si>
    <t>1. Suivi du troisième tour</t>
  </si>
  <si>
    <t>1. Bibiyar Zagaye na 3</t>
  </si>
  <si>
    <t>add-new-code(xyz)</t>
  </si>
  <si>
    <t>selected(., '5')</t>
  </si>
  <si>
    <t>We are currently in round 5!</t>
  </si>
  <si>
    <t>yes</t>
  </si>
  <si>
    <t>${shm_name} (age: ${shm_age})</t>
  </si>
  <si>
    <t>${shm_name}</t>
  </si>
  <si>
    <t>filter=5</t>
  </si>
  <si>
    <t>select_one team</t>
  </si>
  <si>
    <t>3. Who is your team leader?</t>
  </si>
  <si>
    <t>3. Qui est votre chef d'équipe?</t>
  </si>
  <si>
    <t>3. Wanene shugaban tahiyar ku ?</t>
  </si>
  <si>
    <t>Enumerator selection field:</t>
  </si>
  <si>
    <t>search('teams_fu5')</t>
  </si>
  <si>
    <t>default-to-entry</t>
  </si>
  <si>
    <t>4. What is your name?</t>
  </si>
  <si>
    <t>4. Quel est votre nom?</t>
  </si>
  <si>
    <t>4. Menene sunanka?</t>
  </si>
  <si>
    <t>id</t>
  </si>
  <si>
    <t>5. What is your partner's name?</t>
  </si>
  <si>
    <t>id_key</t>
  </si>
  <si>
    <t>5. Quel est le nom de votre binôme?</t>
  </si>
  <si>
    <t>5. Menene sunan abokin aikinka</t>
  </si>
  <si>
    <t>hh_id</t>
  </si>
  <si>
    <t>select_one enum</t>
  </si>
  <si>
    <t>6. What commune are you surveying in?</t>
  </si>
  <si>
    <t>6. Quelle est votre commune de travail ?</t>
  </si>
  <si>
    <t>6. Cikin wane komin kake aiki?</t>
  </si>
  <si>
    <t>search('teams_fu5', 'matches', 'team_id', ${team_leader})</t>
  </si>
  <si>
    <t>default-to-scan</t>
  </si>
  <si>
    <t>sex</t>
  </si>
  <si>
    <t>Male</t>
  </si>
  <si>
    <t>Homme</t>
  </si>
  <si>
    <t>Namiji</t>
  </si>
  <si>
    <t>7. What village/neighborhood are you surveying in?</t>
  </si>
  <si>
    <t>7. Dans quelle ville/village faites-vous votre enquête ?</t>
  </si>
  <si>
    <t>7. Cikin wane gari kake binciken?</t>
  </si>
  <si>
    <t>text</t>
  </si>
  <si>
    <t>Standard text field:</t>
  </si>
  <si>
    <t>8. Select the Household ID number:</t>
  </si>
  <si>
    <t xml:space="preserve">8. </t>
  </si>
  <si>
    <t>Female</t>
  </si>
  <si>
    <t>Femme</t>
  </si>
  <si>
    <t>Mace</t>
  </si>
  <si>
    <t>enumerator_name</t>
  </si>
  <si>
    <t>CALC: Pull enumerator name</t>
  </si>
  <si>
    <t>8. Sélectionnez le numéro d'identification du ménage :</t>
  </si>
  <si>
    <t>8. Zaɓi lambar ID na Gida:</t>
  </si>
  <si>
    <t>pulldata('teams_fu5', 'enum_name', 'enum_id', ${enumerator})</t>
  </si>
  <si>
    <t>9. There are no women to survey in this HH. Complete the PM and the SHM survey, if not complete already.</t>
  </si>
  <si>
    <t xml:space="preserve">9. </t>
  </si>
  <si>
    <t>Text field which uses the numeric keypad:</t>
  </si>
  <si>
    <t>numbers</t>
  </si>
  <si>
    <t>relation</t>
  </si>
  <si>
    <t>enumerator_partner</t>
  </si>
  <si>
    <t>Household head</t>
  </si>
  <si>
    <t>Chef de menage</t>
  </si>
  <si>
    <t>Mai gida</t>
  </si>
  <si>
    <t>integer</t>
  </si>
  <si>
    <t>Spouse</t>
  </si>
  <si>
    <t>Conjoint</t>
  </si>
  <si>
    <t>Uwar gida/ Mata</t>
  </si>
  <si>
    <t>10. You indicated that you are attempting to interview ${w_name} (age: ${w_age}). Is that correct?</t>
  </si>
  <si>
    <t xml:space="preserve">10. </t>
  </si>
  <si>
    <t>10. Vous avez indiqué que vous tentez d'interroger ${w_name} (âge : ${w_age}). Est-ce exact ?</t>
  </si>
  <si>
    <t>10. Kun nuna cewa kuna ƙoƙarin yin hira da ${w_name} (shekaru: ${w_age}). Shin hakan daidai ne?</t>
  </si>
  <si>
    <t>Standard integer field:</t>
  </si>
  <si>
    <t>Son/daughter</t>
  </si>
  <si>
    <t>Fils/fille</t>
  </si>
  <si>
    <t>Ɗa/ɗiya</t>
  </si>
  <si>
    <t>11. Who are you trying to interview? Here are the other respondents in this household:</t>
  </si>
  <si>
    <t>11. Qui essayez-vous d’interroger ? Voici les autres répondants de ce foyer :</t>
  </si>
  <si>
    <t>11. Wanene kuke ƙoƙarin yin hira da shi ? Ga sauran masu bada amsa a wannan gidan:</t>
  </si>
  <si>
    <t>12. End of survey. Please return and fill out the PM survey to collect survey responses.</t>
  </si>
  <si>
    <t>12. Fin de l'enquête. Veuillez revenir et remplir l'enquête PM pour recueillir les réponses aux questions.</t>
  </si>
  <si>
    <t>12. Ƙarshen binciken kenan. Da fatan za a dawo a cika binciken PM don tattara amsoshin binciken.</t>
  </si>
  <si>
    <t>decimal</t>
  </si>
  <si>
    <t>enumerator_partner_name</t>
  </si>
  <si>
    <t>Father/mother</t>
  </si>
  <si>
    <t>Père/mère</t>
  </si>
  <si>
    <t>Uwa/uba</t>
  </si>
  <si>
    <t>Standard decimal field:</t>
  </si>
  <si>
    <t>pulldata('teams_fu5', 'enum_name', 'enum_id', ${enumerator_partner})</t>
  </si>
  <si>
    <t>Brother/sister</t>
  </si>
  <si>
    <t>Frère/sœur</t>
  </si>
  <si>
    <t>Wa/ƙane/Ya/ƙanwa</t>
  </si>
  <si>
    <t>select_one commune</t>
  </si>
  <si>
    <t>select_one listname</t>
  </si>
  <si>
    <t>16.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</si>
  <si>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16.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</si>
  <si>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Standard multiple-choice field (allows one selection, shown as series of radio buttons):</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</si>
  <si>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</si>
  <si>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Nephew/niece</t>
  </si>
  <si>
    <t>search('locations')</t>
  </si>
  <si>
    <t>14. Woman Questions</t>
  </si>
  <si>
    <t>Neveu/nièce</t>
  </si>
  <si>
    <t xml:space="preserve">14. </t>
  </si>
  <si>
    <t>Ɗan ƙane ko wa/Ɗiyar ƙane ko wa</t>
  </si>
  <si>
    <t>15. Before we begin, I would like to ask you about the locations of other respondents of this household</t>
  </si>
  <si>
    <t xml:space="preserve">15. </t>
  </si>
  <si>
    <t>16. Is ${pm_name} currently living in your household?</t>
  </si>
  <si>
    <t>16. ${pm_name} vit-il actuellement dans votre ménage?</t>
  </si>
  <si>
    <t>16. Ko ${pm_name} yana zaune a gidan ku a hali yanzu?</t>
  </si>
  <si>
    <t>17. Where is ${pm_name} living right now?
Enumerator: Is location in Niger?</t>
  </si>
  <si>
    <t>17. Où est ${pm_name} en ce moment?
 Énquêteur: le lieu est-il au Niger?</t>
  </si>
  <si>
    <t>Multiple-choice field (allows one selection, shown horizontally along likert-type scale):</t>
  </si>
  <si>
    <t>17. Ina ${pm_name} yake a yanzu?
 Dan bincike: Ko wurin a Nijar ne?</t>
  </si>
  <si>
    <t>Grand-parent</t>
  </si>
  <si>
    <t>Kaka</t>
  </si>
  <si>
    <t>likert</t>
  </si>
  <si>
    <t>18. Enumerator: Select region in Niger</t>
  </si>
  <si>
    <t>18. Enquêteur : Sélectionnez une région au Niger</t>
  </si>
  <si>
    <t>18. Ɗan bincike: Zaɓi Jaha ɗaya a Nijar</t>
  </si>
  <si>
    <t>CALC: Pull commune name</t>
  </si>
  <si>
    <t>pulldata('locations', 'commune_name', 'commune_id', ${commune})</t>
  </si>
  <si>
    <t>Father/mother-in-law</t>
  </si>
  <si>
    <t>Multiple-choice field (allows one selection, shown horizontally along likert-type scale, labels only at ends of the scale):</t>
  </si>
  <si>
    <t>Beau-père/ belle-mère</t>
  </si>
  <si>
    <t>Siriki/sarakuwa</t>
  </si>
  <si>
    <t>18. Before we begin, I would like to ask you about the locations of other respondents of this household</t>
  </si>
  <si>
    <t xml:space="preserve">18. </t>
  </si>
  <si>
    <t>likert-min</t>
  </si>
  <si>
    <t>pm_home_location</t>
  </si>
  <si>
    <t>${commune_name}</t>
  </si>
  <si>
    <t>Multiple-choice field (allows one selection, shown horizontally along likert-type scale, labels only at ends and middle of scale):</t>
  </si>
  <si>
    <t>20. Where is ${pm_name} living right now?
Enumerator: Is location in Niger?</t>
  </si>
  <si>
    <t>Brother in law/Sister in law</t>
  </si>
  <si>
    <t>20. Où est ${pm_name} en ce moment?
 Énquêteur: le lieu est-il au Niger?</t>
  </si>
  <si>
    <t>likert-mid</t>
  </si>
  <si>
    <t>20. Ina ${pm_name} yake a yanzu?
 Dan bincike: Ko wurin a Nijar ne?</t>
  </si>
  <si>
    <t>Beau-frère/belle-sœur</t>
  </si>
  <si>
    <t>ƙane ko wan mata/ƙanwa ko yar mata</t>
  </si>
  <si>
    <t>21. Enumerator: Select region in Niger</t>
  </si>
  <si>
    <t>21. Enquêteur : Sélectionnez une région au Niger</t>
  </si>
  <si>
    <t>21. Ɗan bincike: Zaɓi Jaha ɗaya a Nijar</t>
  </si>
  <si>
    <t>pulldata('locations', 'commune_id', 'commune_name', ${commune_name})</t>
  </si>
  <si>
    <t>22. Enumerator: Select country</t>
  </si>
  <si>
    <t>22. Enquêteur : sélectionnez le pays</t>
  </si>
  <si>
    <t>22. Ɗan bincike: Zaɓi ƙasa</t>
  </si>
  <si>
    <t>select_one locality</t>
  </si>
  <si>
    <t>Multiple-choice field (allows one selection, auto-advances to next question as soon as an option is selected):</t>
  </si>
  <si>
    <t>Son/daughter-in-law</t>
  </si>
  <si>
    <t>quick</t>
  </si>
  <si>
    <t>Beau fils / belle-fille</t>
  </si>
  <si>
    <t>Mijin ɗiya/matar ɗa</t>
  </si>
  <si>
    <t>search('locations', 'matches', 'commune_id', ${commune})</t>
  </si>
  <si>
    <t>CALC: Pull locality name</t>
  </si>
  <si>
    <t>24. Enumerator: Select town</t>
  </si>
  <si>
    <t>24. Enquêteur : Sélectionnez la ville</t>
  </si>
  <si>
    <t>24. Ɗan bincike: Zaɓi gari</t>
  </si>
  <si>
    <t>village_id</t>
  </si>
  <si>
    <t>Grandchildren</t>
  </si>
  <si>
    <t>25. Enumerator: Enter other town</t>
  </si>
  <si>
    <t>Petits-enfants</t>
  </si>
  <si>
    <t>25. Enquêteur : Entrez un autre ville</t>
  </si>
  <si>
    <t>25. Ɗan bincike: Shigar da wata gari</t>
  </si>
  <si>
    <t>Jikoki</t>
  </si>
  <si>
    <t>id_startswith</t>
  </si>
  <si>
    <t>Multiple-choice field (allows one selection, shown as a drop-down selector):</t>
  </si>
  <si>
    <t>pulldata('locations', 'locality_name', 'vn', ${locality})</t>
  </si>
  <si>
    <t>minimal</t>
  </si>
  <si>
    <t>26. Will ${pm_name} be in the household within the next two weeks?</t>
  </si>
  <si>
    <t xml:space="preserve">26. </t>
  </si>
  <si>
    <t>end group</t>
  </si>
  <si>
    <t>27. Is ${shm_name} currently living in your household?</t>
  </si>
  <si>
    <t>27. ${shm_name} vit-il actuellement dans votre ménage?</t>
  </si>
  <si>
    <t>27. Ko ${shm_name} yana zaune a gidan ku a hali yanzu?</t>
  </si>
  <si>
    <t>pulldata('locations', 'village_id', 'vn', ${locality})</t>
  </si>
  <si>
    <t>Cousin</t>
  </si>
  <si>
    <t>Cousin/Cousine</t>
  </si>
  <si>
    <t>Dan/ Wa/Kanen uba</t>
  </si>
  <si>
    <t>28. Where is ${shm_name} living?
Enumerator: Is location in Niger?</t>
  </si>
  <si>
    <t>28. Où habite ${shm_name}?
 Enquêteur : le lieu est-il au Niger?</t>
  </si>
  <si>
    <t>28. A ina ${shm_name} ya zaune?
 Mai bincike: Wurin a Nijar ne?</t>
  </si>
  <si>
    <t>Multiple-choice field (allows one selection, shown as a compact table of options):</t>
  </si>
  <si>
    <t>compact</t>
  </si>
  <si>
    <t>29. Enumerator: Select region in Niger</t>
  </si>
  <si>
    <t>29. Enquêteur : Sélectionnez une région au Niger</t>
  </si>
  <si>
    <t>29. Ɗan bincike: Zaɓi Jaha ɗaya a Nijar</t>
  </si>
  <si>
    <t>period_bl</t>
  </si>
  <si>
    <t>Co-spouse</t>
  </si>
  <si>
    <t>Co-épouse</t>
  </si>
  <si>
    <t>Kishiya</t>
  </si>
  <si>
    <t>30. Enumerator: Select country</t>
  </si>
  <si>
    <t>30. Enquêteur : sélectionnez le pays</t>
  </si>
  <si>
    <t>30. Ɗan bincike: Zaɓi ƙasa</t>
  </si>
  <si>
    <t>period_french_bl</t>
  </si>
  <si>
    <t>31. Enumerator: Enter other country</t>
  </si>
  <si>
    <t>31. Enquêteur : Entrez un autre pays</t>
  </si>
  <si>
    <t>31. Ɗan bincike: Shigar da wata ƙasa</t>
  </si>
  <si>
    <t>concat(${commune_id}, '-', ${village_id})</t>
  </si>
  <si>
    <t>period_hausa_bl</t>
  </si>
  <si>
    <t>Multiple-choice field (allows one selection, shown as a compact table of options with exactly three columns):</t>
  </si>
  <si>
    <t>No family relation</t>
  </si>
  <si>
    <t>32. Enumerator: Select town</t>
  </si>
  <si>
    <t>32. Enquêteur : Sélectionnez la ville</t>
  </si>
  <si>
    <t>32. Ɗan bincike: Zaɓi gari</t>
  </si>
  <si>
    <t>Aucun lien de parenté</t>
  </si>
  <si>
    <t>period</t>
  </si>
  <si>
    <t>Babu dangantaka</t>
  </si>
  <si>
    <t>compact-3</t>
  </si>
  <si>
    <t>33. Enumerator: Enter other town</t>
  </si>
  <si>
    <t>33. Enquêteur : Entrez un autre ville</t>
  </si>
  <si>
    <t>33. Ɗan bincike: Shigar da wata gari</t>
  </si>
  <si>
    <t>period_french</t>
  </si>
  <si>
    <t>34. Will ${shm_name} be in the household within the next two weeks?</t>
  </si>
  <si>
    <t xml:space="preserve">34. </t>
  </si>
  <si>
    <t>Multiple-choice field (allows one selection, shown as a compact table of options, auto-advances to next question as soon as an option is selected):</t>
  </si>
  <si>
    <t>35.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</si>
  <si>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quickcompact</t>
  </si>
  <si>
    <t>35.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</si>
  <si>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35.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</si>
  <si>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36. visiting your family or friends?</t>
  </si>
  <si>
    <t>36. rendre visite à votre famille ou à vos amis ?</t>
  </si>
  <si>
    <t>36. ziyartar danginku ko abokananku?</t>
  </si>
  <si>
    <t>period_hausa</t>
  </si>
  <si>
    <t>call</t>
  </si>
  <si>
    <t>Phone did not ring</t>
  </si>
  <si>
    <t>35. I would like to ask you about different ways you may use money that you earn.</t>
  </si>
  <si>
    <t>Le téléphone n'a pas sonné</t>
  </si>
  <si>
    <t>35. Maintenant, je voudrais vous poser des questions sur les différentes façons dont vous pouvez utiliser l'argent que vous gagnez.</t>
  </si>
  <si>
    <t>35. Yanzu ina so in tambaye ku hanyoyi daban-daban da zaku iya amfani da su wajen kashe kuɗin da kuke samu.</t>
  </si>
  <si>
    <t>select_one id</t>
  </si>
  <si>
    <t>Waya ba ta yi ƙara ba</t>
  </si>
  <si>
    <t>Multiple-choice field (allows one selection, shown as a compact table of options with exactly three columns, auto-advances to next question as soon as an option is selected):</t>
  </si>
  <si>
    <t>quickcompact-3</t>
  </si>
  <si>
    <t>37. Specify other:</t>
  </si>
  <si>
    <t>37. Précisez autre :</t>
  </si>
  <si>
    <t>37. Ƙayyade wasu:</t>
  </si>
  <si>
    <t>Phone rang but no one picked up</t>
  </si>
  <si>
    <t>Le téléphone a sonné mais personne n'a décroché</t>
  </si>
  <si>
    <t>Waya tayi ƙara amma babu wanda ya dauka</t>
  </si>
  <si>
    <t>38. The next set of questions are for married women only. Are you married?</t>
  </si>
  <si>
    <t xml:space="preserve">38. </t>
  </si>
  <si>
    <t>phase</t>
  </si>
  <si>
    <t>Multiple-choice field (allows one selection, loads options from pre-loaded .csv file, includes options based on a "contains" comparison):</t>
  </si>
  <si>
    <t>search('hhplotdata', 'contains', 'respondentname', ${nametofind})</t>
  </si>
  <si>
    <t>38. Please share with us your best estimate of the value in CFA ${w_savings_name}</t>
  </si>
  <si>
    <t>38. Veuillez partager avec nous votre meilleure estimation de la valeur en CFA ${w_savings_name}</t>
  </si>
  <si>
    <t>38. Da fatan zaku faɗa mana ƙimar da kuke ganin yayi daidai a cikin CFA ${w_savings_name}</t>
  </si>
  <si>
    <t>pm_name</t>
  </si>
  <si>
    <t>Phone rang and was answered</t>
  </si>
  <si>
    <t>39. Do you earn interest on this money ${w_savings_name}?</t>
  </si>
  <si>
    <t>39. Gagnez-vous des intérêts sur cet argent ${w_savings_name} ?</t>
  </si>
  <si>
    <t>Le téléphone a sonné et on a répondu</t>
  </si>
  <si>
    <t>39. Kuna samun riba akan wannan kuɗin ${w_savings_name}?</t>
  </si>
  <si>
    <t>Waya tayi kara kuma an amsa</t>
  </si>
  <si>
    <t>38. I would like to ask you a few questions about your health and wellbeing</t>
  </si>
  <si>
    <t>38. Je voudrais vous poser quelques questions sur votre santé et votre bien-être</t>
  </si>
  <si>
    <t>38. Ina so in yi muku wasu ƴan tambayoyi game da lafiyar jikinku da jin daɗin ku</t>
  </si>
  <si>
    <t>Multiple-choice field (allows one selection, loads options from pre-loaded .csv file, includes options based on a "starts with" comparison):</t>
  </si>
  <si>
    <t>39. In general, how would you characterize your physical health?</t>
  </si>
  <si>
    <t>39. En général, comment caractériseriez-vous votre santé physique ?</t>
  </si>
  <si>
    <t>39. A taƙaice, yaya za ku siffanta lafiyar jikin ku?</t>
  </si>
  <si>
    <t>search('hhplotdata', 'startswith', 'respondentname', ${nameprefix})</t>
  </si>
  <si>
    <t>40. Do you currently suffer from any illness or disability that limits your ability to travel or work?</t>
  </si>
  <si>
    <t>40. Souffrez-vous actuellement d'une maladie ou d'un handicap qui limite votre capacité à voyager ou à travailler ?</t>
  </si>
  <si>
    <t>40. A halin yanzu, ko kuna fama da wata rashin lafiya ko naƙasa da ke iya kawo muku cikas game da tahiya bulaguro ko yin aiki?</t>
  </si>
  <si>
    <t>41. What illness limits you in this way?</t>
  </si>
  <si>
    <t>41. Quelle maladie vous limite de cette manière ?</t>
  </si>
  <si>
    <t>41. Wace cuta ce ke tsaida ku a kan wannan?</t>
  </si>
  <si>
    <t>42. Other, specify:</t>
  </si>
  <si>
    <t>42. Autre précisez:</t>
  </si>
  <si>
    <t>42. Sauran, bayar da cikakkun bayanai:</t>
  </si>
  <si>
    <t>"From the baseline survey (September/October 2023) to today."</t>
  </si>
  <si>
    <t>Multiple-choice field (allows one selection, loads options from pre-loaded .csv file, includes options based on an "ends with" comparison):</t>
  </si>
  <si>
    <t>43. In the past three months, did you suffer from an illness or injury that disrupted your daily life?</t>
  </si>
  <si>
    <t>43. Au cours des trois derniers mois, avez-vous souffert d'une maladie ou d'une blessure qui a perturbé votre vie quotidienne ?</t>
  </si>
  <si>
    <t>43. A cikin watanni uku da suka wuce, ko kun yi fama da wata rashin lafiya ko rauni wanda ya kawo muku cikas a rayuwarku na yau da kullun?</t>
  </si>
  <si>
    <t>shm_name</t>
  </si>
  <si>
    <t>search('hhplotdata', 'endswith', 'respondentname', ${namesuffix})</t>
  </si>
  <si>
    <t>40. I would like to ask you a few questions about your health and wellbeing</t>
  </si>
  <si>
    <t>40. Je voudrais vous poser quelques questions sur votre santé et votre bien-être</t>
  </si>
  <si>
    <t>40. Ina so in yi muku wasu ƴan tambayoyi game da lafiyar jikinku da jin daɗin ku</t>
  </si>
  <si>
    <t>w_name</t>
  </si>
  <si>
    <t>41. In general, how would you characterize your physical health?</t>
  </si>
  <si>
    <t>41. En général, comment caractériseriez-vous votre santé physique ?</t>
  </si>
  <si>
    <t>41. A taƙaice, yaya za ku siffanta lafiyar jikin ku?</t>
  </si>
  <si>
    <t>pm_age</t>
  </si>
  <si>
    <t>42. Do you currently suffer from any illness or disability that limits your ability to travel or work?</t>
  </si>
  <si>
    <t>contact_relation</t>
  </si>
  <si>
    <t>Multiple-choice field (allows one selection, loads options from pre-loaded .csv file, includes options based on an "exact match" comparison):</t>
  </si>
  <si>
    <t>42. Souffrez-vous actuellement d'une maladie ou d'un handicap qui limite votre capacité à voyager ou à travailler ?</t>
  </si>
  <si>
    <t>42. A halin yanzu, ko kuna fama da wata rashin lafiya ko naƙasa da ke iya kawo muku cikas game da tahiya bulaguro ko yin aiki?</t>
  </si>
  <si>
    <t>shm_age</t>
  </si>
  <si>
    <t>Spouse/partner</t>
  </si>
  <si>
    <t>Conjoint/partenaire</t>
  </si>
  <si>
    <t>search('hhplotdata', 'matches', 'respondentname', ${nametofind})</t>
  </si>
  <si>
    <t>Miji/mace/</t>
  </si>
  <si>
    <t>43. What illness limits you in this way?</t>
  </si>
  <si>
    <t>43. Quelle maladie vous limite de cette manière ?</t>
  </si>
  <si>
    <t>43. Wace cuta ce ke tsaida ku a kan wannan?</t>
  </si>
  <si>
    <t>"De la première enquête de l'année passée (septembre/octobre 2023) à maintenant."</t>
  </si>
  <si>
    <t>w_age</t>
  </si>
  <si>
    <t>44. Other, specify:</t>
  </si>
  <si>
    <t>44. Autre précisez:</t>
  </si>
  <si>
    <t>44. Sauran, bayar da cikakkun bayanai:</t>
  </si>
  <si>
    <t>pm_hoh</t>
  </si>
  <si>
    <t>45. In the past three months, did you suffer from an illness or injury that disrupted your daily life?</t>
  </si>
  <si>
    <t>45. Au cours des trois derniers mois, avez-vous souffert d'une maladie ou d'une blessure qui a perturbé votre vie quotidienne ?</t>
  </si>
  <si>
    <t>Multiple-choice field (allows one selection, loads options from pre-loaded .csv file, includes options based on both a "contains" comparison and an "exact match" filter):</t>
  </si>
  <si>
    <t>45. A cikin watanni uku da suka wuce, ko kun yi fama da wata rashin lafiya ko rauni wanda ya kawo muku cikas a rayuwarku na yau da kullun?</t>
  </si>
  <si>
    <t>shm_hoh</t>
  </si>
  <si>
    <t>search('hhplotdata', 'contains', 'respondentname', ${nametofind}, 'villageid', ${villageid})</t>
  </si>
  <si>
    <t>"Tun daga binciken fari na bara a ƙarshen damana zuwa yanzu."</t>
  </si>
  <si>
    <t>46. What type of illness or injury did you experience?</t>
  </si>
  <si>
    <t>46. Preciser le type de maladie ou de blessure</t>
  </si>
  <si>
    <t>46. Baiyana irin ciwo ko raunin da kuka yi fama da shi?</t>
  </si>
  <si>
    <t>Child</t>
  </si>
  <si>
    <t>w_hoh</t>
  </si>
  <si>
    <t>47. Specify other illness or injury</t>
  </si>
  <si>
    <t>Enfant</t>
  </si>
  <si>
    <t>47. Preciser le type de maladie ou de blessure</t>
  </si>
  <si>
    <t>47. Baiyana irin ciwo ko raunin da kuka fama?</t>
  </si>
  <si>
    <t>Yaro</t>
  </si>
  <si>
    <t>w_shm</t>
  </si>
  <si>
    <t>48. Did you seek any treatment for any illness or injury?</t>
  </si>
  <si>
    <t>48. Avez-vous cherché un traitement pour une maladie ou une blessure ?</t>
  </si>
  <si>
    <t>48. Ko kun nemi wani magani don wata cuta ko rauni?</t>
  </si>
  <si>
    <t>missed_previous_fu</t>
  </si>
  <si>
    <t>select_multiple listname</t>
  </si>
  <si>
    <t>49. Now I want to ask you about the past week (7 days)</t>
  </si>
  <si>
    <t>49. Maintenant, je veux vous poser des questions sur la semaine dernière (7 jours)</t>
  </si>
  <si>
    <t>Standard multiple-choice field (allows multiple selections, shown as series of radio buttons):</t>
  </si>
  <si>
    <t>49. Yanzu ina son in muku tambayoyi bisa satin (makon) da ya wuce (kwana 7)</t>
  </si>
  <si>
    <t>treatment</t>
  </si>
  <si>
    <t>50. How many hours of sleep per night did you get on average in the last seven days?</t>
  </si>
  <si>
    <t>period_bl_fu4</t>
  </si>
  <si>
    <t>50. Combien d'heures de sommeil par nuit avez-vous dormi en moyenne au cours des sept derniers jours ?</t>
  </si>
  <si>
    <t>50. Misalin Sa'o'i nawa a taƙaice kuke yin barci a kowane dare a cikin kwanaki bakwai na ƙarshe da suka wuce?</t>
  </si>
  <si>
    <t>53. Worry</t>
  </si>
  <si>
    <t>53. Inquiétude</t>
  </si>
  <si>
    <t>53. Damuwa</t>
  </si>
  <si>
    <t>Parent</t>
  </si>
  <si>
    <t>Uwa</t>
  </si>
  <si>
    <t>"From the baseline survey (September/Ocober 2023) to the most recent phone survey"</t>
  </si>
  <si>
    <t>54. Anger</t>
  </si>
  <si>
    <t>54. Colère</t>
  </si>
  <si>
    <t>54. Fushi</t>
  </si>
  <si>
    <t>treatment_cfa</t>
  </si>
  <si>
    <t>Multiple-choice field (allows multiple selections, shown as a pop-up selector):</t>
  </si>
  <si>
    <t>51. In the past week, how often did you experience the following feelings?</t>
  </si>
  <si>
    <t>51. Au cours de la semaine dernière, à quelle fréquence avez-vous ressenti les sentiments suivants ?</t>
  </si>
  <si>
    <t>Sibling</t>
  </si>
  <si>
    <t>51. A cikin satin da ya wuce, sau nawa kuka ji irin waɗannan abubuwan a ranku?</t>
  </si>
  <si>
    <t>Frère et sœur</t>
  </si>
  <si>
    <t>Ɗan uwa/ƴar uwa</t>
  </si>
  <si>
    <t>note_no_woman</t>
  </si>
  <si>
    <t>period_french_bl_fu4</t>
  </si>
  <si>
    <t>9. Il n'y a aucune femme à enquêter dans ce ménage. Remplissez l'enquête PM et SHM, si ce n'est pas déjà fait.</t>
  </si>
  <si>
    <t>9. Babu mata da za su bada amsa a wannan gidan. Kammala da binciken PM da SHM, idan ba a gama ba tun tuni.</t>
  </si>
  <si>
    <t>"De notre toute première enquête de l'année passée (septembre/octobre 2023) à la fin de la saison des pluies"</t>
  </si>
  <si>
    <t>Multiple-choice field (allows multiple selections, shown as a compact table of options):</t>
  </si>
  <si>
    <t>hh_has_woman</t>
  </si>
  <si>
    <t>Member of spouse's family</t>
  </si>
  <si>
    <t>HH has woman to survey</t>
  </si>
  <si>
    <t>Membre de la famille du conjoint</t>
  </si>
  <si>
    <t>Dan gidan aure</t>
  </si>
  <si>
    <t>53. Happiness</t>
  </si>
  <si>
    <t>53. Bonheur</t>
  </si>
  <si>
    <t>53. Farin ciki</t>
  </si>
  <si>
    <t>select_one yesno</t>
  </si>
  <si>
    <t>period_hausa_bl_fu4</t>
  </si>
  <si>
    <t>resp_confirm</t>
  </si>
  <si>
    <t>Other family member</t>
  </si>
  <si>
    <t>Autre membre de la famille</t>
  </si>
  <si>
    <t>Multiple-choice field (allows multiple selections, shown as a compact table of options with exactly three columns):</t>
  </si>
  <si>
    <t>Wani dan uwa</t>
  </si>
  <si>
    <t>select_one resp</t>
  </si>
  <si>
    <t>resp_interview</t>
  </si>
  <si>
    <t>"Daga bincikenmu na farko a bara (Satumba/Oktoba 2023) zuwa ƙarshen lokacin damana"</t>
  </si>
  <si>
    <t>resp_pm</t>
  </si>
  <si>
    <t>Friend</t>
  </si>
  <si>
    <t>Ami</t>
  </si>
  <si>
    <t>Aboki</t>
  </si>
  <si>
    <t>"From our most recent phone survey (September 2024) to now"</t>
  </si>
  <si>
    <t>resp_shm</t>
  </si>
  <si>
    <t>13. End of survey. Please return and fill out the SHM survey to collect survey responses.</t>
  </si>
  <si>
    <t>13. Fin de l'enquête. Veuillez revenir et remplir l'enquête du SHM pour recueillir les réponses aux questions.</t>
  </si>
  <si>
    <t>13. Ƙarshen binciken kenan. Da fatan za a dawo baya a cika binciken SHM don tattara amsoshin binciken.</t>
  </si>
  <si>
    <t>Neighbor</t>
  </si>
  <si>
    <t>Voisin</t>
  </si>
  <si>
    <t>Makwabci</t>
  </si>
  <si>
    <t>w_shm_note</t>
  </si>
  <si>
    <t>14. End of survey. The woman respondent is the Secondary HH member. Please return and fill out the SHM survey to collect survey responses.</t>
  </si>
  <si>
    <t>14. Fin de l'enquête. La femme interrogée est le second membre du ménage. Veuillez revenir en arrière et remplir l'enquête du SHM pour recueillir les réponses aux questions.</t>
  </si>
  <si>
    <t>14. Ƙarshen binciken kenan. Matar da ta bada amsa ita ce memba na biyu a gidan. Da fatan za a dawo a cika binciken SHM don tattara amsoshin tambayoyin.</t>
  </si>
  <si>
    <t>Multiple-choice field (allows multiple selections, loads options from pre-loaded .csv file, includes options based on a "contains" comparison):</t>
  </si>
  <si>
    <t>"De la fin de saison des pluies (septembre 2024) à maintenant"</t>
  </si>
  <si>
    <t>60.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</si>
  <si>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Other</t>
  </si>
  <si>
    <t>60.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</si>
  <si>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60.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</si>
  <si>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Autre</t>
  </si>
  <si>
    <t>Wani daban</t>
  </si>
  <si>
    <t>resp_available</t>
  </si>
  <si>
    <t>15. Is ${w_name} available to be interviewed?</t>
  </si>
  <si>
    <t>15. Est-ce que ${w_name} est disponible pour être interviewé ?</t>
  </si>
  <si>
    <t>15. Ko ${w_name} yana da damar yin hira mu?</t>
  </si>
  <si>
    <t>Multiple-choice field (allows multiple selections, loads options from pre-loaded .csv file, includes options based on a "starts with" comparison):</t>
  </si>
  <si>
    <t>select_one unavail_why</t>
  </si>
  <si>
    <t>resp_available_why</t>
  </si>
  <si>
    <t>Enumerator: Please specify why ${w_name} is not available right now:</t>
  </si>
  <si>
    <t>Enqueteur: veuillez specifier pourquoi ${w_name} n'est pas disponible maintenant</t>
  </si>
  <si>
    <t>Dan binkike: dan mine ${w_name} bai nan a yanzu</t>
  </si>
  <si>
    <t>"Daga karshen lokacin damana (Satumba 2024) zuwa yanzu"</t>
  </si>
  <si>
    <t>resp_available_why_o</t>
  </si>
  <si>
    <t>interest</t>
  </si>
  <si>
    <t>Other, specify:</t>
  </si>
  <si>
    <t>Autre précisez:</t>
  </si>
  <si>
    <t>Not very interested</t>
  </si>
  <si>
    <t>Sauran, bayar da cikakkun bayanai:</t>
  </si>
  <si>
    <t>Pas très intéressé</t>
  </si>
  <si>
    <t>Ba sha'awa sosai</t>
  </si>
  <si>
    <t>Multiple-choice field (allows multiple selections, loads options from pre-loaded .csv file, includes options based on an "ends with" comparison):</t>
  </si>
  <si>
    <t>63. Your own health problems, illness</t>
  </si>
  <si>
    <t>63. Vos propres problèmes de santé</t>
  </si>
  <si>
    <t>Enumerator: if you can't find the Household ID in the given list, please double check your entries for the commune and village name in the previous page.</t>
  </si>
  <si>
    <t>63. Matsalolin lafiyar jikinku</t>
  </si>
  <si>
    <t>Agent enquêteur : si vous ne trouvez pas l'identifiant du ménage sur la liste donnée, veuillez vérifier vos entrées pour le nom de la commune et du village sur la page précédente.</t>
  </si>
  <si>
    <t>Somewhat interested</t>
  </si>
  <si>
    <t>Mai bincike: idan ba ka samu ID na Gidan a cikin jerin sunayen da aka bayar ba, to ka sake duba sunan komin da sunan garin a cikin shafin da ya gabata.</t>
  </si>
  <si>
    <t>Un peu intéressé</t>
  </si>
  <si>
    <t>Da ɗan sha'awa</t>
  </si>
  <si>
    <t>search('baseline_ids_fu5', 'startswith', 'hh_id', ${id_startswith})</t>
  </si>
  <si>
    <t>62.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</si>
  <si>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62.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</si>
  <si>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62.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</si>
  <si>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Multiple-choice field (allows multiple selections, loads options from pre-loaded .csv file, includes options based on an "exact match" comparison):</t>
  </si>
  <si>
    <t>Very interested</t>
  </si>
  <si>
    <t>Très intéressé</t>
  </si>
  <si>
    <t>65. Accidents and disasters</t>
  </si>
  <si>
    <t>65. Accidents et catastrophes</t>
  </si>
  <si>
    <t>65. Hatsari da bala'o'i</t>
  </si>
  <si>
    <t>Da Sha'awa sosai</t>
  </si>
  <si>
    <t>66. Not enough money for basic needs (sucha as food and clothing)</t>
  </si>
  <si>
    <t>66. Pas assez d'argent pour les besoins de base (tels que la nourriture et les vêtements)</t>
  </si>
  <si>
    <t>66. Rashin isassun kuɗi don buƙatun asali (kamar abinci da sutura)</t>
  </si>
  <si>
    <t>consent</t>
  </si>
  <si>
    <t>16.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</si>
  <si>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16.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</si>
  <si>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16.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</si>
  <si>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Multiple-choice field (allows multiple selections, loads options from pre-loaded .csv file, includes options based on both a "contains" comparison and an "exact match" filter):</t>
  </si>
  <si>
    <t>patient</t>
  </si>
  <si>
    <t>Impatient</t>
  </si>
  <si>
    <t>speedcheck_intro_end</t>
  </si>
  <si>
    <t>Babu haƙuri</t>
  </si>
  <si>
    <t>if(${id}!= null, pulldata('baseline_ids_fu5', 'hh_id', 'id_key', ${id}), null)</t>
  </si>
  <si>
    <t>64. How stressed are you about the following areas of your life?</t>
  </si>
  <si>
    <t>64. Dans quelle mesure êtes-vous stressé par les domaines suivants de votre vie ?</t>
  </si>
  <si>
    <t>64. Yaya damuwarku game da abubuwa na rayuwarku da zan zana?</t>
  </si>
  <si>
    <t>dur_intro</t>
  </si>
  <si>
    <t>65. Your own health problems, illness</t>
  </si>
  <si>
    <t>65. Vos propres problèmes de santé</t>
  </si>
  <si>
    <t>65. Matsalolin lafiyar jikinku</t>
  </si>
  <si>
    <t>Somewhat patient</t>
  </si>
  <si>
    <t>consented</t>
  </si>
  <si>
    <t>Consent: Yes</t>
  </si>
  <si>
    <t>Un peu patient</t>
  </si>
  <si>
    <t>Da ɗan haƙuri</t>
  </si>
  <si>
    <t>66. Problems at home and with relatives</t>
  </si>
  <si>
    <t>66. Problèmes dans le ménage et avec les proches</t>
  </si>
  <si>
    <t>66. Matsaloli na cikin gida da na dangi</t>
  </si>
  <si>
    <t>form_questions</t>
  </si>
  <si>
    <t>67. Accidents and disasters</t>
  </si>
  <si>
    <t>67. Accidents et catastrophes</t>
  </si>
  <si>
    <t>67. Hatsari da bala'o'i</t>
  </si>
  <si>
    <t>geopoint</t>
  </si>
  <si>
    <t>Very patient</t>
  </si>
  <si>
    <t>Très patient</t>
  </si>
  <si>
    <t>Da Hakuri sosai</t>
  </si>
  <si>
    <t>68. Not enough money for basic needs (sucha as food and clothing)</t>
  </si>
  <si>
    <t>68. Pas assez d'argent pour les besoins de base (tels que la nourriture et les vêtements)</t>
  </si>
  <si>
    <t>68. Rashin isassun kuɗi don buƙatun asali (kamar abinci da sutura)</t>
  </si>
  <si>
    <t>speedcheck_w_start</t>
  </si>
  <si>
    <t>pulldata('baseline_ids_fu5', 'phase', 'hh_id', ${hh_id})</t>
  </si>
  <si>
    <t>69. Not being able to educate all children</t>
  </si>
  <si>
    <t>69. Ne pas pouvoir scolariser tous les enfants</t>
  </si>
  <si>
    <t>69. Rashin iya rubuta dukkan yara a makarantar boko</t>
  </si>
  <si>
    <t>w_questions</t>
  </si>
  <si>
    <t>Woman Questionnaire</t>
  </si>
  <si>
    <t>Standard GPS location-capture field:</t>
  </si>
  <si>
    <t>70. Difficulty finding work</t>
  </si>
  <si>
    <t>70. Difficulté à trouver du travail</t>
  </si>
  <si>
    <t>70. Wahalar neman aiki</t>
  </si>
  <si>
    <t>w_note</t>
  </si>
  <si>
    <t>17. Woman Questions</t>
  </si>
  <si>
    <t>17. Questions de la femme</t>
  </si>
  <si>
    <t>17. Tambayoyin Mata</t>
  </si>
  <si>
    <t>speedcheck_w_loc_start</t>
  </si>
  <si>
    <t>geoshape</t>
  </si>
  <si>
    <t>pulldata('baseline_ids_fu5', 'pm_name', 'hh_id', ${hh_id})</t>
  </si>
  <si>
    <t>72. Alcohol comsumption of children or spouse</t>
  </si>
  <si>
    <t>72. Consommation d'alcool des enfants ou du conjoint</t>
  </si>
  <si>
    <t>72. Shan giya na yara ko mata</t>
  </si>
  <si>
    <t>w_resp_location</t>
  </si>
  <si>
    <t>18. Avant de commencer, j'aimerais vous poser des questions sur l'endroit où vivent les autres répondants de ce ménage.</t>
  </si>
  <si>
    <t>18. Kafin mu fara, Ina so in tambaye ku game da inda sauran masu bada amsan wannan gidan suke</t>
  </si>
  <si>
    <t>Boundary-capture field (GPS polygon):</t>
  </si>
  <si>
    <t>savings</t>
  </si>
  <si>
    <t>select_one yesnodk</t>
  </si>
  <si>
    <t>w_pm_home</t>
  </si>
  <si>
    <t>19. Is ${pm_name} currently living in your household?</t>
  </si>
  <si>
    <t>19. ${pm_name} vit-il actuellement dans votre ménage?</t>
  </si>
  <si>
    <t>19. Ko ${pm_name} yana zaune a gidan ku a hali yanzu?</t>
  </si>
  <si>
    <t>In cash</t>
  </si>
  <si>
    <t>En argent liquide</t>
  </si>
  <si>
    <t>A Tsabar kudi</t>
  </si>
  <si>
    <t>pulldata('baseline_ids_fu5', 'shm_name', 'hh_id', ${hh_id})</t>
  </si>
  <si>
    <t>In a bank account</t>
  </si>
  <si>
    <t>Dans un compte bancaire</t>
  </si>
  <si>
    <t>A cikin asusun banki</t>
  </si>
  <si>
    <t>76. Have you experienced any of the following during ${period}?</t>
  </si>
  <si>
    <t>76. Avez-vous vécu l'une des situations suivantes depuis le debut de ${period_french} ?</t>
  </si>
  <si>
    <t>76. Ko kun taɓa fuskantar ɗayan waɗannan abubuwan a wannan wurin, lokacin ${period_hausa}?</t>
  </si>
  <si>
    <t>w_pm_in_niger</t>
  </si>
  <si>
    <t>20. Where is ${pm_name} living right now?
 Enumerator: Is location in Niger?</t>
  </si>
  <si>
    <t>20. Où est ${pm_name} en ce moment?
  Énquêteur: le lieu est-il au Niger?</t>
  </si>
  <si>
    <t>20. Ina ${pm_name} yake a yanzu?
  Dan bincike: Ko wurin a Nijar ne?</t>
  </si>
  <si>
    <t>geotrace</t>
  </si>
  <si>
    <t>In a mobile money account</t>
  </si>
  <si>
    <t>Dans un compte mobile money</t>
  </si>
  <si>
    <t>A cikin asusun wayar hannu</t>
  </si>
  <si>
    <t>select_one region</t>
  </si>
  <si>
    <t>w_pm_region</t>
  </si>
  <si>
    <t>Boundary- or path-capture field (GPS polyline or polygon):</t>
  </si>
  <si>
    <t>pulldata('baseline_ids_fu5', 'w_name', 'hh_id', ${hh_id})</t>
  </si>
  <si>
    <t>select_one mig_countries</t>
  </si>
  <si>
    <t>w_pm_country</t>
  </si>
  <si>
    <t>In Jewelery or other valuables</t>
  </si>
  <si>
    <t>Dans les bijoux ou autres objets de valeur</t>
  </si>
  <si>
    <t>A cikin kayan ado ko wasu abubuwa masu mahimmanci</t>
  </si>
  <si>
    <t>80. Detention or arrest by state security forces?</t>
  </si>
  <si>
    <t>80. Détention ou arrestation par les forces de sécurité de l'État ?</t>
  </si>
  <si>
    <t>barcode</t>
  </si>
  <si>
    <t>80. Kaso ko kamu daga jami'an tsaron gwamnati?</t>
  </si>
  <si>
    <t>With a 'big man' in the area</t>
  </si>
  <si>
    <t>Avec un "grand homme" dans la région</t>
  </si>
  <si>
    <t>Tare da wani 'babban mutum' a jahar</t>
  </si>
  <si>
    <t>w_pm_country_o</t>
  </si>
  <si>
    <t>Standard scan-barcode field:</t>
  </si>
  <si>
    <t>23. Enumerator: Enter other country</t>
  </si>
  <si>
    <t>23. Enquêteur : Entrez un autre pays</t>
  </si>
  <si>
    <t>23. Ɗan bincike: Shigar da wata ƙasa</t>
  </si>
  <si>
    <t>By buying stocks of cereals</t>
  </si>
  <si>
    <t xml:space="preserve">Achat du céréale </t>
  </si>
  <si>
    <t>pulldata('baseline_ids_fu5', 'pm_age', 'hh_id', ${hh_id})</t>
  </si>
  <si>
    <t>select_one towns</t>
  </si>
  <si>
    <t>w_pm_town</t>
  </si>
  <si>
    <t>w_pm_town_o</t>
  </si>
  <si>
    <t>date</t>
  </si>
  <si>
    <t>Standard date field:</t>
  </si>
  <si>
    <t>w_pm_home_2w</t>
  </si>
  <si>
    <t>26. Est-ce que ${pm_name} sera dans le ménage au cours des deux prochaines semaines ?</t>
  </si>
  <si>
    <t>34. Ko ${pm_name} zai kasance a gidan nan cikin sati biyu masu zuwa?</t>
  </si>
  <si>
    <t>pulldata('baseline_ids_fu5', 'shm_age', 'hh_id', ${hh_id})</t>
  </si>
  <si>
    <t>w_shm_home</t>
  </si>
  <si>
    <t>Date field (but for smaller screens):</t>
  </si>
  <si>
    <t>pulldata('baseline_ids_fu5', 'w_age', 'hh_id', ${hh_id})</t>
  </si>
  <si>
    <t>freq</t>
  </si>
  <si>
    <t>no-calendar</t>
  </si>
  <si>
    <t>Never</t>
  </si>
  <si>
    <t>Jamais</t>
  </si>
  <si>
    <t>Har abada</t>
  </si>
  <si>
    <t>85. Detention or arrest by state security forces?</t>
  </si>
  <si>
    <t>85. Détention ou arrestation par les forces de sécurité de l'État ?</t>
  </si>
  <si>
    <t>85. Kaso ko kamu daga jami'an tsaron gwamnati?</t>
  </si>
  <si>
    <t>w_shm_in_niger</t>
  </si>
  <si>
    <t>28. Where is ${shm_name} living?
 Enumerator: Is location in Niger?</t>
  </si>
  <si>
    <t>28. Où habite ${shm_name}?
  Enquêteur : le lieu est-il au Niger?</t>
  </si>
  <si>
    <t>28. A ina ${shm_name} ya zaune?
  Mai bincike: Wurin a Nijar ne?</t>
  </si>
  <si>
    <t>pulldata('baseline_ids_fu5', 'pm_hoh', 'hh_id', ${hh_id})</t>
  </si>
  <si>
    <t>Rarely</t>
  </si>
  <si>
    <t>Rarement</t>
  </si>
  <si>
    <t>Jehi jehi</t>
  </si>
  <si>
    <t>datetime</t>
  </si>
  <si>
    <t>Standard date+time field:</t>
  </si>
  <si>
    <t>w_shm_region</t>
  </si>
  <si>
    <t>Sometimes</t>
  </si>
  <si>
    <t>Parfois</t>
  </si>
  <si>
    <t>w_shm_country</t>
  </si>
  <si>
    <t>pulldata('baseline_ids_fu5', 'shm_hoh', 'hh_id', ${hh_id})</t>
  </si>
  <si>
    <t>Lokaci zuwa lokaci</t>
  </si>
  <si>
    <t>w_shm_country_o</t>
  </si>
  <si>
    <t>Date+time field (but for smaller screens):</t>
  </si>
  <si>
    <t>Often</t>
  </si>
  <si>
    <t>Souvent</t>
  </si>
  <si>
    <t>Sau da yawa</t>
  </si>
  <si>
    <t>w_shm_town</t>
  </si>
  <si>
    <t>pulldata('baseline_ids_fu5', 'w_hoh', 'hh_id', ${hh_id})</t>
  </si>
  <si>
    <t>time</t>
  </si>
  <si>
    <t>90. How many days?</t>
  </si>
  <si>
    <t>90. Pendant combien de jours?</t>
  </si>
  <si>
    <t>90. Tsawon kwanaki nawa?</t>
  </si>
  <si>
    <t>Standard time field:</t>
  </si>
  <si>
    <t>91. In the past week how many days have adults in your household consumed animal protein (including fish, meat, poultry)?</t>
  </si>
  <si>
    <t>91. Au cours des 7 derniers jours, combien de fois les adultes de votre ménage ont-ils consommé des protéines animales (y compris poisson, viande, volaille) ?</t>
  </si>
  <si>
    <t>91. A cikin kwanaki 7 da suka wuce sau nawa manyan gidanku suka ci abinci masu gina jiki kamar su kifi ko nama ko kaji?</t>
  </si>
  <si>
    <t>w_shm_town_o</t>
  </si>
  <si>
    <t>w_shm_home_2w</t>
  </si>
  <si>
    <t>34. Est-ce que ${shm_name} sera dans le ménage au cours des deux prochaines semaines ?</t>
  </si>
  <si>
    <t>34. Ko ${shm_name} zai kasance a gidan nan cikin sati biyu masu zuwa?</t>
  </si>
  <si>
    <t>pulldata('baseline_ids_fu5', 'w_shm', 'hh_id', ${hh_id})</t>
  </si>
  <si>
    <t>Standard image-capture field:</t>
  </si>
  <si>
    <t>speedcheck_w_loc_end</t>
  </si>
  <si>
    <t>90. 151a Tsawon kwanaki nawa?</t>
  </si>
  <si>
    <t>dur_w_loc</t>
  </si>
  <si>
    <t>91. In the last 7 days, have adults cut the size of meals or skipped meals?</t>
  </si>
  <si>
    <t>91. Au cours des 7 derniers jours, les adultes ont-ils réduit la taille de leur repas ou les ont-ils sauté?</t>
  </si>
  <si>
    <t>91. A cikin kwanaki 7 na ƙarshe, ko manyan gidanku sun rage yawan abincin da suka saba ci ko sun tsallake shi?</t>
  </si>
  <si>
    <t>speedcheck_w_savings_start</t>
  </si>
  <si>
    <t>92. How many days?</t>
  </si>
  <si>
    <t>Image-capture field which allows user to annotate image:</t>
  </si>
  <si>
    <t>92. Pendant combien de jours?</t>
  </si>
  <si>
    <t>if(${round} = 3, pulldata('baseline_ids_fu5', 'missed_shm_fu_2', 'hh_id', ${hh_id}), pulldata('baseline_ids_fu5', 'missed_shm_fu_4', 'hh_id', ${hh_id}))</t>
  </si>
  <si>
    <t>92. Tsawon kwanaki nawa?</t>
  </si>
  <si>
    <t>w_savings_note</t>
  </si>
  <si>
    <t>annotate</t>
  </si>
  <si>
    <t>select_multiple savings</t>
  </si>
  <si>
    <t>w_separate_savings</t>
  </si>
  <si>
    <t>36. Do you currently have savings of each of the following types that you have put aside for yourself, separate from your household?</t>
  </si>
  <si>
    <t>36. Avez-vous actuellement des économies de chacun des types suivants que vous avez mises de côté pour vous-même, séparément de votre ménage ?</t>
  </si>
  <si>
    <t>36. Ko a halin yanzu kuna da tanadi na kowane nau'in waɗannan nau'ikan da kuka ware wa kanku?</t>
  </si>
  <si>
    <t>Image-capture field which allows user to draw image:</t>
  </si>
  <si>
    <t>draw</t>
  </si>
  <si>
    <t>w_separate_savings_o</t>
  </si>
  <si>
    <t>pulldata('baseline_ids_fu5', 'treatment_group', 'hh_id', ${hh_id})</t>
  </si>
  <si>
    <t>begin repeat</t>
  </si>
  <si>
    <t>w_savings_amt</t>
  </si>
  <si>
    <t>Savings Amount</t>
  </si>
  <si>
    <t>Montant de l'épargne</t>
  </si>
  <si>
    <t>Yawan kuɗin ajiye</t>
  </si>
  <si>
    <t>96. In the last 7 days, have children (&lt;14) cut the size of meals or skipped meals?</t>
  </si>
  <si>
    <t>Image-capture field which collects a signature as the image:</t>
  </si>
  <si>
    <t>96. Au cours des 7 derniers jours, des enfants (&lt;14) ont-ils réduit la taille de leurs repas ou les ont-ils sauté?</t>
  </si>
  <si>
    <t>96. A cikin kwanaki 7 na ƙarshe, suna da yara (&lt;14) sun rage yawan abinci ko sun rasa gaba ɗaya?</t>
  </si>
  <si>
    <t>w_savings_name</t>
  </si>
  <si>
    <t>Savings Type Name</t>
  </si>
  <si>
    <t>Nom du type d'épargne</t>
  </si>
  <si>
    <t>signature</t>
  </si>
  <si>
    <t>Sunan Nau'in Ajiya</t>
  </si>
  <si>
    <t>"1000"</t>
  </si>
  <si>
    <t>97. How many days?</t>
  </si>
  <si>
    <t>97. Pendant combien de jours?</t>
  </si>
  <si>
    <t>97. 155a Tsawon kwanaki nawa?</t>
  </si>
  <si>
    <t>w_savings_type_amt</t>
  </si>
  <si>
    <t>audio</t>
  </si>
  <si>
    <t>empty(${w_name})</t>
  </si>
  <si>
    <t>Standard audio-capture field:</t>
  </si>
  <si>
    <t>99. Has your household spent money on the following types of expenses in the past week?</t>
  </si>
  <si>
    <t>99. Votre ménage a-t-il dépensé de l'argent pour les types de dépenses suivants au cours de la semaine dernière ?</t>
  </si>
  <si>
    <t>99. Ko gidanku sun kashe kuɗi akan ire iren waɗannan abubuwan a cikin satin da ya gabata?</t>
  </si>
  <si>
    <t>w_savings_interest</t>
  </si>
  <si>
    <t>not(empty(${w_name}))</t>
  </si>
  <si>
    <t>video</t>
  </si>
  <si>
    <t>81. Other, specify:</t>
  </si>
  <si>
    <t>81. Autre précisez:</t>
  </si>
  <si>
    <t>81. Sauran, bayar da cikakkun bayanai:</t>
  </si>
  <si>
    <t>Standard video-capture field:</t>
  </si>
  <si>
    <t>100. How much did your household spend on ${w_item_week} in the past week (in CFA)?</t>
  </si>
  <si>
    <t>100. Combien votre ménage a-t-il dépensé en ${w_item_week} la semaine dernière (en CFA) ?</t>
  </si>
  <si>
    <t>100. Nawa ne gidan ku ya kashe (a CFA) a ${w_item_week} satin da ya gabata ?</t>
  </si>
  <si>
    <t>end repeat</t>
  </si>
  <si>
    <t>100. How much did your household spend on ${w_item} in the past month (in CFA)?</t>
  </si>
  <si>
    <t>100. Combien votre ménage a-t-il dépensé pour ${w_item} au cours du dernier mois (en CFA) ?</t>
  </si>
  <si>
    <t>100. Nawa ne (a CFA) gidanku ya kashe akan ${w_item} cikin watan da ya gabata ?</t>
  </si>
  <si>
    <t>${resp_confirm} = 0</t>
  </si>
  <si>
    <t>84. What is the highest level of education that ${hoh_roster_name} has completed?</t>
  </si>
  <si>
    <t>84. Quel est le plus haut niveau d'études atteint par ${hoh_roster_name} ?</t>
  </si>
  <si>
    <t>84. Menene mafi girman mastayin ilimi da ${hoh_roster_name} ya kai?</t>
  </si>
  <si>
    <t>speedcheck_w_savings_end</t>
  </si>
  <si>
    <t>file</t>
  </si>
  <si>
    <t>101. Has your household spent money on the following types of expenses in the past week?</t>
  </si>
  <si>
    <t>101. Votre ménage a-t-il dépensé de l'argent pour les types de dépenses suivants au cours de la semaine dernière ?</t>
  </si>
  <si>
    <t>101. Ko gidanku sun kashe kuɗi akan ire iren waɗannan abubuwan a cikin satin da ya gabata?</t>
  </si>
  <si>
    <t>Attach text, image, video, audio, PDF, ZIP, or MS Office file (Excel or Word):</t>
  </si>
  <si>
    <t>${resp_interview} = 1</t>
  </si>
  <si>
    <t>102. Clothing</t>
  </si>
  <si>
    <t>102. Vêtements</t>
  </si>
  <si>
    <t>102. Tufafi</t>
  </si>
  <si>
    <t>103. Sheep</t>
  </si>
  <si>
    <t>103. Mouton</t>
  </si>
  <si>
    <t>103. Rago</t>
  </si>
  <si>
    <t>dur_w_savings</t>
  </si>
  <si>
    <t>102. How much did your household spend on ${w_item_week} in the past week (in CFA)?</t>
  </si>
  <si>
    <t>102. Combien votre ménage a-t-il dépensé en ${w_item_week} la semaine dernière (en CFA) ?</t>
  </si>
  <si>
    <t>102. Nawa ne gidan ku ya kashe (a CFA) a ${w_item_week} satin da ya gabata ?</t>
  </si>
  <si>
    <t>${resp_interview} = 2</t>
  </si>
  <si>
    <t>105. Poultry</t>
  </si>
  <si>
    <t>105. Volaille</t>
  </si>
  <si>
    <t>105. Kaji</t>
  </si>
  <si>
    <t>Standard note field (read-only).</t>
  </si>
  <si>
    <t>${w_shm} = 1 and ${resp_confirm} = 1</t>
  </si>
  <si>
    <t>103. For Tabaski, did your household purchase any of the following?</t>
  </si>
  <si>
    <t>${resp_confirm} = 1</t>
  </si>
  <si>
    <t>103. Pour la Tabaski, votre ménage a-t-il acheté l'un des articles suivants ?</t>
  </si>
  <si>
    <t>103. Don sallar layya, gidanku ya sayi ɗaya daga cikin waɗannan abubuwa?</t>
  </si>
  <si>
    <t>speedcheck_w_nothoh_start</t>
  </si>
  <si>
    <t>104. Clothing</t>
  </si>
  <si>
    <t>104. Vêtements</t>
  </si>
  <si>
    <t>104. Tufafi</t>
  </si>
  <si>
    <t>16. Enumerator: Please specify why ${w_name} is not available right now:</t>
  </si>
  <si>
    <t>16. Enqueteur: veuillez specifier pourquoi ${w_name} n'est pas disponible maintenant</t>
  </si>
  <si>
    <t>16. Dan binkike: dan mine ${w_name} bai nan a yanzu</t>
  </si>
  <si>
    <t>w_not_hoh</t>
  </si>
  <si>
    <t>${resp_available} = 0</t>
  </si>
  <si>
    <t>105. Sheep</t>
  </si>
  <si>
    <t>105. Mouton</t>
  </si>
  <si>
    <t>105. Rago</t>
  </si>
  <si>
    <t>w_wellbeing_note</t>
  </si>
  <si>
    <t>17. Other, specify:</t>
  </si>
  <si>
    <t>17. Autre précisez:</t>
  </si>
  <si>
    <t>17. Sauran, bayar da cikakkun bayanai:</t>
  </si>
  <si>
    <t>${resp_available_why} = -777</t>
  </si>
  <si>
    <t>select_one health</t>
  </si>
  <si>
    <t>education</t>
  </si>
  <si>
    <t>w_physical_health</t>
  </si>
  <si>
    <t>Bai taɓa yin makaranta ba</t>
  </si>
  <si>
    <t>Preschool</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</si>
  <si>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</si>
  <si>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Préscolaire</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</si>
  <si>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</si>
  <si>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Makarantar yara ƙanana</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</si>
  <si>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</si>
  <si>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${resp_available} = 1</t>
  </si>
  <si>
    <t>108. In response to ${w_emergency_name}, did you or your household take the following actions?</t>
  </si>
  <si>
    <t>108. En réponse à ${w_emergency_name}, avez-vous vous ou votre ménage pris les mesures suivantes ??</t>
  </si>
  <si>
    <t>Primary school</t>
  </si>
  <si>
    <t>108. Dangance da ${w_emergency_name}, ku ko ƴan gindanku kun ɗauki waɗannan matakai?</t>
  </si>
  <si>
    <t>École primaire</t>
  </si>
  <si>
    <t>Makarantar firamere</t>
  </si>
  <si>
    <t>w_illness_limit</t>
  </si>
  <si>
    <t>subscriberid</t>
  </si>
  <si>
    <t>Middle school</t>
  </si>
  <si>
    <t>College</t>
  </si>
  <si>
    <t>Koleji/SEJ</t>
  </si>
  <si>
    <t>select_multiple illness</t>
  </si>
  <si>
    <t>w_illness_limit_type</t>
  </si>
  <si>
    <t>${speedcheck_intro_end} - ${speedcheck_intro_start}</t>
  </si>
  <si>
    <t>Koranic school</t>
  </si>
  <si>
    <t>Ecole coranique</t>
  </si>
  <si>
    <t>Karatun kur'ani</t>
  </si>
  <si>
    <t>simserial</t>
  </si>
  <si>
    <t>111. Spend your savings?</t>
  </si>
  <si>
    <t>111. Utiliser votre épargne</t>
  </si>
  <si>
    <t>111. Kashe kuɗin ajiyar ku</t>
  </si>
  <si>
    <t>High school</t>
  </si>
  <si>
    <t>Lycee</t>
  </si>
  <si>
    <t>${consent} = 1</t>
  </si>
  <si>
    <t>Babbar makaranta/lise</t>
  </si>
  <si>
    <t>112. Reduce spending on food or change your food consumption?</t>
  </si>
  <si>
    <t>112. Réduire les dépenses alimentaires ou changé des habitudes de consommation ?</t>
  </si>
  <si>
    <t>112. Rage kashe kuɗi akan abinci ko canza abincin?</t>
  </si>
  <si>
    <t>w_illness_limit_type_o</t>
  </si>
  <si>
    <t>More than high school</t>
  </si>
  <si>
    <t>Plus qu'une école secondaire</t>
  </si>
  <si>
    <t>Jami'a</t>
  </si>
  <si>
    <t>w_illness</t>
  </si>
  <si>
    <t>region</t>
  </si>
  <si>
    <t>Agadez</t>
  </si>
  <si>
    <t>w_illness_type</t>
  </si>
  <si>
    <t>w_illness_type_o</t>
  </si>
  <si>
    <t>Diffa</t>
  </si>
  <si>
    <t>47. Baiyana irin ciwo ko raunin da kuka yi fama da shi?</t>
  </si>
  <si>
    <t>w_seek_treatment</t>
  </si>
  <si>
    <t>Dosso</t>
  </si>
  <si>
    <t>98. In ${hoh_destination}, what was the name of the region that ${hoh_roster_name} moved to?</t>
  </si>
  <si>
    <t xml:space="preserve">98. </t>
  </si>
  <si>
    <t>Maradi</t>
  </si>
  <si>
    <t>19. Woman Questions</t>
  </si>
  <si>
    <t>19. Questions de la femme</t>
  </si>
  <si>
    <t>19. Tambayoyin Mata</t>
  </si>
  <si>
    <t>w_past_week_note</t>
  </si>
  <si>
    <t>comments</t>
  </si>
  <si>
    <t>Niamey</t>
  </si>
  <si>
    <t>w_sleep</t>
  </si>
  <si>
    <t>Tahoua</t>
  </si>
  <si>
    <t>117. Loan(s) you took</t>
  </si>
  <si>
    <t>117. Les prêt(s) que vous avez contracté</t>
  </si>
  <si>
    <t>117. Bashin da kuka ɗauka</t>
  </si>
  <si>
    <t>20. Before we begin, I would like to ask you about the locations of other respondents of this household</t>
  </si>
  <si>
    <t>Tillaberi</t>
  </si>
  <si>
    <t>20. Avant de commencer, j'aimerais vous poser des questions sur l'endroit où vivent les autres répondants de ce ménage.</t>
  </si>
  <si>
    <t>w_emotions</t>
  </si>
  <si>
    <t>20. Kafin mu fara, Ina so in tambaye ku game da inda sauran masu bada amsan wannan gidan suke</t>
  </si>
  <si>
    <t>118. Savings you spent?</t>
  </si>
  <si>
    <t>118. L'épargne que vous avez utilisé</t>
  </si>
  <si>
    <t>118. Ajiyar da kuka kashe</t>
  </si>
  <si>
    <t>119. How to use money that you earn</t>
  </si>
  <si>
    <t>119. Comment utiliser l'argent que vous gagnez</t>
  </si>
  <si>
    <t>119. Yadda ake amfani da kuɗin da kuke samu</t>
  </si>
  <si>
    <t>Zinder</t>
  </si>
  <si>
    <t>120. Daily household expenses (Less than 500 CFA)</t>
  </si>
  <si>
    <t>120. Dépenses quotidiennes du ménage (Moins de 500 CFA)</t>
  </si>
  <si>
    <t>120. Kashe Kuɗin gidan na yau da kullum ( Kasa da dala ɗari CFA 500)</t>
  </si>
  <si>
    <t>(${age1}+${age2}+${age3}) div 3</t>
  </si>
  <si>
    <t>121. Household purchases (over 500 CFA)</t>
  </si>
  <si>
    <t>121. Achats du ménage (plus de 500 CFA)</t>
  </si>
  <si>
    <t>121. Sayayya na gida (sama da dala ɗari CFA 500)</t>
  </si>
  <si>
    <t>select_one freq</t>
  </si>
  <si>
    <t>w_emotion</t>
  </si>
  <si>
    <t>21. Is ${pm_name} currently living in your household?</t>
  </si>
  <si>
    <t>21. ${pm_name} vit-il actuellement dans votre ménage?</t>
  </si>
  <si>
    <t>21. Ko ${pm_name} yana zaune a gidan ku a hali yanzu?</t>
  </si>
  <si>
    <t>123. Whether children attend school or not</t>
  </si>
  <si>
    <t>once(format-date-time(now(), '%Y-%b-%e %H:%M:%S'))</t>
  </si>
  <si>
    <t>123. Que les enfants soient scolarisés ou non</t>
  </si>
  <si>
    <t>123. Ko za'a rubuta yara makaranta ko a'a</t>
  </si>
  <si>
    <t>towns</t>
  </si>
  <si>
    <t>w_emotion1</t>
  </si>
  <si>
    <t>52. Enjoyment</t>
  </si>
  <si>
    <t>52. Plaisir</t>
  </si>
  <si>
    <t>52. jin daɗi</t>
  </si>
  <si>
    <t>town_id</t>
  </si>
  <si>
    <t>town_name</t>
  </si>
  <si>
    <t>w_emotion2</t>
  </si>
  <si>
    <t>w_emotion3</t>
  </si>
  <si>
    <t>p = 50</t>
  </si>
  <si>
    <t>54. Stress</t>
  </si>
  <si>
    <t>54. Babbar Damuwa</t>
  </si>
  <si>
    <t>Wni daban</t>
  </si>
  <si>
    <t>22. Where is ${pm_name} living right now?
 Enumerator: Is location in Niger?</t>
  </si>
  <si>
    <t>22. Où est ${pm_name} en ce moment?
 Énquêteur: le lieu est-il au Niger?</t>
  </si>
  <si>
    <t>22. Ina ${pm_name} yake a yanzu?
 Dan bincike: Ko wurin a Nijar ne?</t>
  </si>
  <si>
    <t>w_emotion4</t>
  </si>
  <si>
    <t>55. Worry</t>
  </si>
  <si>
    <t>55. Inquiétude</t>
  </si>
  <si>
    <t>55. Damuwa</t>
  </si>
  <si>
    <t>${w_pm_home} = 0</t>
  </si>
  <si>
    <t>w_emotion5</t>
  </si>
  <si>
    <t>56. Anger</t>
  </si>
  <si>
    <t>56. Colère</t>
  </si>
  <si>
    <t>56. Fushi</t>
  </si>
  <si>
    <t>p = 50; eventlog; choices</t>
  </si>
  <si>
    <t>w_emotion6</t>
  </si>
  <si>
    <t>countries</t>
  </si>
  <si>
    <t>57. Physical pain</t>
  </si>
  <si>
    <t>57. Douleur physique</t>
  </si>
  <si>
    <t>57. ciwon jiki</t>
  </si>
  <si>
    <t>w_emotion7</t>
  </si>
  <si>
    <t>58. Loneliness</t>
  </si>
  <si>
    <t>58. Solitude</t>
  </si>
  <si>
    <t>58. kadaici</t>
  </si>
  <si>
    <t>23. Enumerator: Select region in Niger</t>
  </si>
  <si>
    <t>audio audit</t>
  </si>
  <si>
    <t>23. Enquêteur : Sélectionnez une région au Niger</t>
  </si>
  <si>
    <t>23. Ɗan bincike: Zaɓi Jaha ɗaya a Nijar</t>
  </si>
  <si>
    <t>130. Whether you will migrate to find work</t>
  </si>
  <si>
    <t>130. Si vous migrez pour trouver du travail</t>
  </si>
  <si>
    <t>130. Ko za ku yi tahiya don neman aiki</t>
  </si>
  <si>
    <t>Niger</t>
  </si>
  <si>
    <t>p = 50; s = 0; d = 60</t>
  </si>
  <si>
    <t>Nijar</t>
  </si>
  <si>
    <t>${w_pm_in_niger} = 1</t>
  </si>
  <si>
    <t>127. Can you make your own decisions, without the input of anyone else if you want to regarding:</t>
  </si>
  <si>
    <t>127. Pouvez-vous prendre vos propres décisions, sans l'intervention de quelqu'un d'autre, si vous le souhaitez concernant :</t>
  </si>
  <si>
    <t>127. Za ku iya yanke shawara da kanku, ba tare da sa bakin wani ba idan kuna so dangance da:</t>
  </si>
  <si>
    <t>w_esteem</t>
  </si>
  <si>
    <t>128. How to use money that you earn</t>
  </si>
  <si>
    <t>128. Comment utiliser l'argent que vous gagnez</t>
  </si>
  <si>
    <t>128. Yadda ake amfani da kuɗin da kuke samu</t>
  </si>
  <si>
    <t>select_one agree_likert</t>
  </si>
  <si>
    <t>w_self_esteem_note</t>
  </si>
  <si>
    <t>59. I will now read out several statements. You should tell me whether these statements are true for you by using the following scale.</t>
  </si>
  <si>
    <t>59. Je vais maintenant lire plusieurs déclarations. Vous devez me dire si ces affirmations sont vraies pour vous en utilisant l'échelle suivante.</t>
  </si>
  <si>
    <t>59. Yanzu zan karanta wasu maganganu da yawa. Za ku gaya mini ko waɗannan maganganun sun yi daidai da ku ta hanyar yin amfani da kuranga mai zuwa.</t>
  </si>
  <si>
    <t>Algeria</t>
  </si>
  <si>
    <t>Algérie</t>
  </si>
  <si>
    <t>Aljeriya</t>
  </si>
  <si>
    <t>p = 50; s = 0-600; d = 60</t>
  </si>
  <si>
    <t>w_self_esteem_4</t>
  </si>
  <si>
    <t>60. I feel I do not have much to be proud of.</t>
  </si>
  <si>
    <t>60. Je sens que je n'ai pas beaucoup de raisons d'être fier (comblé).</t>
  </si>
  <si>
    <t>60. Ina jin ba ni da hujjojin ji da kai na.</t>
  </si>
  <si>
    <t>Benin</t>
  </si>
  <si>
    <t>Bénin</t>
  </si>
  <si>
    <t>24. Enumerator: Select country</t>
  </si>
  <si>
    <t>w_self_esteem_9</t>
  </si>
  <si>
    <t>61. At times I think I am no good at all.</t>
  </si>
  <si>
    <t>24. Enquêteur : sélectionnez le pays</t>
  </si>
  <si>
    <t>61. Parfois, je pense que je suis utile a rien</t>
  </si>
  <si>
    <t>61. A wasu lokuta ina ganin bani da amfani komai.</t>
  </si>
  <si>
    <t>24. Ɗan bincike: Zaɓi ƙasa</t>
  </si>
  <si>
    <t>${w_pm_in_niger} = 0</t>
  </si>
  <si>
    <t>132. Whether you will migrate to find work</t>
  </si>
  <si>
    <t>132. Si vous migrez pour trouver du travail</t>
  </si>
  <si>
    <t>132. Ko za ku yi tahiya don neman aiki</t>
  </si>
  <si>
    <t>w_ladder_scale</t>
  </si>
  <si>
    <t>Burkina Faso</t>
  </si>
  <si>
    <t>p = 50; s = firstfield; d = lastfield</t>
  </si>
  <si>
    <t>filter!=0</t>
  </si>
  <si>
    <t>Cameroon</t>
  </si>
  <si>
    <t>Cameroun</t>
  </si>
  <si>
    <t>groupname</t>
  </si>
  <si>
    <t>Kamaru</t>
  </si>
  <si>
    <t>Standard group</t>
  </si>
  <si>
    <t>134. I am now going to mention some things that husband and wives sometimes speak about. Please tell me if you and your spouse talk about these things</t>
  </si>
  <si>
    <t>134. Je vais maintenant mentionner certaines choses dont les maris et les femmes parlent parfois. Veuillez me dire si vous et votre conjoint parlez de ces choses</t>
  </si>
  <si>
    <t>134. Yanzu zan ambaci wasu abubuwa da mata da miji suke magana akai. Don Allah ku gaya mini idan ku da mijinku kuna magana a kan waɗannan abubuwan</t>
  </si>
  <si>
    <t>25. Enumerator: Enter other country</t>
  </si>
  <si>
    <t>w_worries</t>
  </si>
  <si>
    <t>25. Enquêteur : Entrez un autre pays</t>
  </si>
  <si>
    <t>Worries</t>
  </si>
  <si>
    <t>25. Ɗan bincike: Shigar da wata ƙasa</t>
  </si>
  <si>
    <t>135. Things that happen at work or in the fields?</t>
  </si>
  <si>
    <t>135. Des choses qui se passent au travail ou dans les champs ?</t>
  </si>
  <si>
    <t>135. Abubuwan da ke faruwa a wurin aiki ko a gona?</t>
  </si>
  <si>
    <t>w_worries_note</t>
  </si>
  <si>
    <t>63. Now I am going to ask you about the areas of your life that worry you.</t>
  </si>
  <si>
    <t>Cote d'Ivoire</t>
  </si>
  <si>
    <t>Côte d'Ivoire</t>
  </si>
  <si>
    <t>63. Je voudrais maintenant vous poser des questions sur les choses qui vous inquiètent dans votre vie.</t>
  </si>
  <si>
    <t>63. Yanzu ina son in tambaye ku bisa abubuwan da ke damun ku a cikin rayuwar ku.</t>
  </si>
  <si>
    <t>Cote d'Ivoire/Abija</t>
  </si>
  <si>
    <t>${w_pm_country} = -777</t>
  </si>
  <si>
    <t>…</t>
  </si>
  <si>
    <t>select_one worries</t>
  </si>
  <si>
    <t>w_risk_prob_note</t>
  </si>
  <si>
    <t>Gambia</t>
  </si>
  <si>
    <t>Gambie</t>
  </si>
  <si>
    <t>w_health_problems</t>
  </si>
  <si>
    <t>w_home_problems</t>
  </si>
  <si>
    <t>Gabon</t>
  </si>
  <si>
    <t>26. Enumerator: Select town</t>
  </si>
  <si>
    <t>w_accidents_disasters</t>
  </si>
  <si>
    <t>26. Enquêteur : Sélectionnez la ville</t>
  </si>
  <si>
    <t>67. Hatsari da ibtila'i</t>
  </si>
  <si>
    <t>26. Ɗan bincike: Zaɓi gari</t>
  </si>
  <si>
    <t>search('towns', 'matches', 'country_id', ${w_pm_country})</t>
  </si>
  <si>
    <t>w_money_problems</t>
  </si>
  <si>
    <t>Ghana</t>
  </si>
  <si>
    <t>${w_pm_in_niger} = 0  and ${w_pm_country} != -999</t>
  </si>
  <si>
    <t>w_cant_educate_children</t>
  </si>
  <si>
    <t>repeatname</t>
  </si>
  <si>
    <t>Standard repeated group</t>
  </si>
  <si>
    <t>w_cant_find_work</t>
  </si>
  <si>
    <t>Guinea</t>
  </si>
  <si>
    <t>Guinée</t>
  </si>
  <si>
    <t>Gini</t>
  </si>
  <si>
    <t>w_idleness</t>
  </si>
  <si>
    <t>71. Idleness of children or spouse</t>
  </si>
  <si>
    <t>71. L'oisiveté des enfants ou du conjoint</t>
  </si>
  <si>
    <t>71. Zaman banza na yara ko mata</t>
  </si>
  <si>
    <t>27. Enumerator: Enter other town</t>
  </si>
  <si>
    <t>27. Enquêteur : Entrez un autre ville</t>
  </si>
  <si>
    <t>27. Ɗan bincike: Shigar da wata gari</t>
  </si>
  <si>
    <t>Libya</t>
  </si>
  <si>
    <t>Libye</t>
  </si>
  <si>
    <t>selected(${w_pm_town}, '-777')</t>
  </si>
  <si>
    <t>w_alcohol_consumption</t>
  </si>
  <si>
    <t>Mali</t>
  </si>
  <si>
    <t>w_family_death</t>
  </si>
  <si>
    <t>73. Death of a family member</t>
  </si>
  <si>
    <t>73. Décès d'un membre de la famille</t>
  </si>
  <si>
    <t>73. Mutuwar wani ɗan uwa</t>
  </si>
  <si>
    <t>w_debt_owed</t>
  </si>
  <si>
    <t>74. Debts owed to others</t>
  </si>
  <si>
    <t>74. Dettes envers autrui</t>
  </si>
  <si>
    <t>74. Bashi da wasu ke binku</t>
  </si>
  <si>
    <t>Senegal</t>
  </si>
  <si>
    <t>Sénégal</t>
  </si>
  <si>
    <t>28. Will ${pm_name} be in the household within the next two weeks?</t>
  </si>
  <si>
    <t>28. Est-ce que ${pm_name} sera dans le ménage au cours des deux prochaines semaines ?</t>
  </si>
  <si>
    <t>28. Ko ${pm_name} zai kasance a gidan nan cikin sati biyu masu zuwa?</t>
  </si>
  <si>
    <t>Enumerator: If yes, please ask the respondent when the best time to return to survey ${pm_name} and note it down. We would like you to return to the household then to survey ${pm_name}.</t>
  </si>
  <si>
    <t>148. The next set of questions are about your opinions regarding the roles that women and men play</t>
  </si>
  <si>
    <t>Enquêteur : Si oui, veuillez demander au répondant quel est le meilleur moment pour revenir à l'enquête ${pm_name} et notez-le. Nous aimerions que vous retourniez au ménage pour enquêter ${pm_name}.</t>
  </si>
  <si>
    <t>148. La prochaine série de questions porte sur vos opinions concernant les rôles que jouent les femmes et les hommes</t>
  </si>
  <si>
    <t>Mai bincike: Idan eh ne, ka tambayi mai bada amsa lokacin da ya fi dacewa don komawa binciken ${pm_name} kuma arubuta shi. Da fatan za'a koma gidan don yin binciken ${pm_name}.</t>
  </si>
  <si>
    <t>148. Tambayoyi na gaba sun ta'allaƙa ne da ra'ayoyin ku game da rawar da mata da maza suke takawa.</t>
  </si>
  <si>
    <t>Togo</t>
  </si>
  <si>
    <t>149. How often, if ever do you talk about the role of women in society with other people?</t>
  </si>
  <si>
    <t>149. À quelle fréquence, si jamais cela est arrivé, parlez-vous du rôle des femmes dans la société avec d'autres personnes ?</t>
  </si>
  <si>
    <t>149. Sau nawa, idan ya na faruwa, kuke yin magana game da taka rawan mata a cikin al'umma tare da sauran mutane?</t>
  </si>
  <si>
    <t>w_three_months_note</t>
  </si>
  <si>
    <t>75. Now I will ask about some things that may have happened to you during the past three months.</t>
  </si>
  <si>
    <t>75. Maintenant, je vais vous poser des questions sur certaines choses qui vous sont peut-être arrivées au cours des trois derniers mois.</t>
  </si>
  <si>
    <t>75. Yanzu zan yi tambayoyi game da wasu abubuwa da wataƙila sun faru da ku a cikin watanni uku da suka wuce.</t>
  </si>
  <si>
    <t>Cape Verde</t>
  </si>
  <si>
    <t>Cap-Vert</t>
  </si>
  <si>
    <t>Group repeated exactly three times</t>
  </si>
  <si>
    <t>w_disc</t>
  </si>
  <si>
    <t>76. How often, if at all, were you personally discriminated against based on your identity (ethnicity, religion, nationality)?</t>
  </si>
  <si>
    <t>76. À quelle fréquence, si ça vous est déjà arrivé, avez-vous personnellement été victime de discrimination liée a votre identité (ethnie, religion, nationalité) ?</t>
  </si>
  <si>
    <t>76. Sau nawa, idan ya faru a gareku, aka nuna muku wariya dangance da kabilarku, ko addininku, ko ƙasarku2?</t>
  </si>
  <si>
    <t>29. Is ${shm_name} currently living in your household?</t>
  </si>
  <si>
    <t>29. ${shm_name} vit-il actuellement dans votre ménage?</t>
  </si>
  <si>
    <t>29. Ko ${shm_name} yana zaune a gidan ku a hali yanzu?</t>
  </si>
  <si>
    <t>Guinea-Bissau</t>
  </si>
  <si>
    <t>Guinée-Bissau</t>
  </si>
  <si>
    <t>Liberia</t>
  </si>
  <si>
    <t>Libéria</t>
  </si>
  <si>
    <t>Laberiya</t>
  </si>
  <si>
    <t>w_felt_unsafe</t>
  </si>
  <si>
    <t>77. How often, if ever, have you felt unsafe walking in the neighborhood where you are staying?</t>
  </si>
  <si>
    <t>77. Combien de fois, vous vous êtes-vous senti en danger en vous promenant dans le quartier où vous séjournez, si cela vous est jamais arrivé ?</t>
  </si>
  <si>
    <t>77. Sau nawa, idan ya faru a gareku, kuka ji kuna cikin hatsari yayin da kuke yawo a cikin unguwar da kuke zaune?</t>
  </si>
  <si>
    <t>Nigeria</t>
  </si>
  <si>
    <t>Najeriya</t>
  </si>
  <si>
    <t>30. Where is ${shm_name} living?
 Enumerator: Is location in Niger?</t>
  </si>
  <si>
    <t>30. Où habite ${shm_name}?
 Enquêteur : le lieu est-il au Niger?</t>
  </si>
  <si>
    <t>30. A ina ${shm_name} ya zaune?
 Mai bincike: Wurin a Nijar ne?</t>
  </si>
  <si>
    <t>${w_shm_home} = 0</t>
  </si>
  <si>
    <t>153. Family planning (how many children to have)</t>
  </si>
  <si>
    <t>153. Planification familiale (combien d'enfants avoir)</t>
  </si>
  <si>
    <t>153. Tsarin iyali (ƴaƴa nawa za a haifa)</t>
  </si>
  <si>
    <t>Sierra Leone</t>
  </si>
  <si>
    <t>w_vict</t>
  </si>
  <si>
    <t>Saliyo</t>
  </si>
  <si>
    <t>154. Whether the husband will migrate to find work</t>
  </si>
  <si>
    <t>154. Si le mari va migrer pour trouver du travail</t>
  </si>
  <si>
    <t>154. Ko miji zai yi tahiya don neman aiki</t>
  </si>
  <si>
    <t>w_experienced_note</t>
  </si>
  <si>
    <t>78. Have you experienced any of the following during ${period}?</t>
  </si>
  <si>
    <t>78. Avez-vous vécu l'une des situations suivantes depuis le debut de ${period_french} ?</t>
  </si>
  <si>
    <t>78. Ko kun taɓa fuskantar ɗayan waɗannan abubuwan a wannan wurin, lokacin ${period_hausa}?</t>
  </si>
  <si>
    <t>Central African Republic</t>
  </si>
  <si>
    <t>République centrafricaine</t>
  </si>
  <si>
    <t>Jamhuriyar Afirka ta Tsakiya</t>
  </si>
  <si>
    <t>31. Enumerator: Select region in Niger</t>
  </si>
  <si>
    <t>speed violations count</t>
  </si>
  <si>
    <t>31. Enquêteur : Sélectionnez une région au Niger</t>
  </si>
  <si>
    <t>31. Ɗan bincike: Zaɓi Jaha ɗaya a Nijar</t>
  </si>
  <si>
    <t>w_phys_attacked</t>
  </si>
  <si>
    <t>79. Physical attack</t>
  </si>
  <si>
    <t>79. Attaque physique</t>
  </si>
  <si>
    <t>79. harin jiki</t>
  </si>
  <si>
    <t>Chad</t>
  </si>
  <si>
    <t>Tchad</t>
  </si>
  <si>
    <t>${w_shm_in_niger} = 1</t>
  </si>
  <si>
    <t>Cadi</t>
  </si>
  <si>
    <t>w_phys_threat</t>
  </si>
  <si>
    <t>80. Threat of physical violence/attack</t>
  </si>
  <si>
    <t>80. Menace de violence physique/agression</t>
  </si>
  <si>
    <t>80. Barazanar ​​harin jiki</t>
  </si>
  <si>
    <t>w_theft</t>
  </si>
  <si>
    <t>81. Theft of either money or property?</t>
  </si>
  <si>
    <t>81. Vol d'argent ou de propriété?</t>
  </si>
  <si>
    <t>81. Satar kudi ko kaya?</t>
  </si>
  <si>
    <t>speed violations list</t>
  </si>
  <si>
    <t>w_arrest</t>
  </si>
  <si>
    <t>82. Detention or arrest by state security forces?</t>
  </si>
  <si>
    <t>82. Détention ou arrestation par les forces de sécurité de l'État ?</t>
  </si>
  <si>
    <t>82. Kaso ko kamu daga jami'an tsaron gwamnati?</t>
  </si>
  <si>
    <t>32. Enumerator: Select country</t>
  </si>
  <si>
    <t>32. Enquêteur : sélectionnez le pays</t>
  </si>
  <si>
    <t>32. Ɗan bincike: Zaɓi ƙasa</t>
  </si>
  <si>
    <t>160. Imagine one of your daughters wanted to marry someone of a different ethnic group, would you give them your permission?</t>
  </si>
  <si>
    <t>160. Imaginez qu'une de vos filles veuille épouser quelqu'un d'un groupe ethnique différent, leur donneriez-vous votre permission ?</t>
  </si>
  <si>
    <t>160. Ku ƙaddara da wata ɗiyarka tana son ta auri ɗan wata kabila daban, za ku bada izininka?</t>
  </si>
  <si>
    <t>w_vict_text</t>
  </si>
  <si>
    <t>${w_shm_in_niger} = 0</t>
  </si>
  <si>
    <t>161. Imagine one of your sons wanted to marry someone of a different ethnic group, would you give them your permission?</t>
  </si>
  <si>
    <t>161. Imaginez que l'un de vos fils veuille épouser quelqu'un d'un groupe ethnique différent, leur donneriez-vous votre permission ?</t>
  </si>
  <si>
    <t>161. Ku ƙaddara da wani ɗanku ya na son ya auri wani ɗan wata ƙabila daban, za ku bada izininka?</t>
  </si>
  <si>
    <t>speed violations audit</t>
  </si>
  <si>
    <t>w_vict_text_note</t>
  </si>
  <si>
    <t>83. Now I would like to ask you to tell me more about your specific experience with:</t>
  </si>
  <si>
    <t>83. J'aimerais maintenant vous demander de m'en dire un peu plus sur votre expérience spécifique avec :</t>
  </si>
  <si>
    <t>83. Yanzu ina so in tambaye ku ƙarin bayani game da abin da ka fuskanta masamman game da:</t>
  </si>
  <si>
    <t>v = 5; d = 120</t>
  </si>
  <si>
    <t>whyno_in</t>
  </si>
  <si>
    <t>Permanently moved away from household</t>
  </si>
  <si>
    <t>Définitivement parti du ménage</t>
  </si>
  <si>
    <t>w_attack_note</t>
  </si>
  <si>
    <t>Ya yi ƙaura daga gidan nan na dindindin</t>
  </si>
  <si>
    <t>84. Physical attack</t>
  </si>
  <si>
    <t>84. Attaque physique</t>
  </si>
  <si>
    <t>84. harin jiki</t>
  </si>
  <si>
    <t>33. Enumerator: Enter other country</t>
  </si>
  <si>
    <t>33. Enquêteur : Entrez un autre pays</t>
  </si>
  <si>
    <t>33. Ɗan bincike: Shigar da wata ƙasa</t>
  </si>
  <si>
    <t>sensor_stream movement</t>
  </si>
  <si>
    <t>w_phys_threat_note</t>
  </si>
  <si>
    <t>85. Threat of physical violence/attack</t>
  </si>
  <si>
    <t>85. Menace de violence physique/agression</t>
  </si>
  <si>
    <t>85. Barazanar ​​harin jiki</t>
  </si>
  <si>
    <t>${w_shm_country} = -777</t>
  </si>
  <si>
    <t>Married out of family</t>
  </si>
  <si>
    <t>Marié hors famille</t>
  </si>
  <si>
    <t>Ya yi aure a wani gidan daban.</t>
  </si>
  <si>
    <t>w_theft_note</t>
  </si>
  <si>
    <t>86. Theft of either money or property?</t>
  </si>
  <si>
    <t>86. Vol d'argent ou de propriété?</t>
  </si>
  <si>
    <t>86. Satar kudi ko dukiya?</t>
  </si>
  <si>
    <t>period = 1</t>
  </si>
  <si>
    <t>Divorced</t>
  </si>
  <si>
    <t>w_arrest_note</t>
  </si>
  <si>
    <t>Divorcé</t>
  </si>
  <si>
    <t>87. Detention or arrest by state security forces?</t>
  </si>
  <si>
    <t>An rabu</t>
  </si>
  <si>
    <t>87. Détention ou arrestation par les forces de sécurité de l'État ?</t>
  </si>
  <si>
    <t>87. Kaso ko kamu daga jami'an tsaron gwamnati?</t>
  </si>
  <si>
    <t>Deceased</t>
  </si>
  <si>
    <t>Décédé</t>
  </si>
  <si>
    <t>Ya Mutu</t>
  </si>
  <si>
    <t>sensor_statistic pct_movement_between</t>
  </si>
  <si>
    <t>34. Enumerator: Select town</t>
  </si>
  <si>
    <t>34. Enquêteur : Sélectionnez la ville</t>
  </si>
  <si>
    <t>167. The law should not allow a man to marry more than one woman.</t>
  </si>
  <si>
    <t>34. Ɗan bincike: Zaɓi gari</t>
  </si>
  <si>
    <t>167. La loi ne devrait pas permettre à un homme d'épouser plus d'une femme.</t>
  </si>
  <si>
    <t>167. Yakamata doka ta hana ma namiji ya auri fiye da mace ɗaya.</t>
  </si>
  <si>
    <t>search('towns', 'matches', 'country_id', ${w_shm_country})</t>
  </si>
  <si>
    <t>${w_shm_in_niger} = 0 and ${w_shm_country} != -999</t>
  </si>
  <si>
    <t>168. In your opinion, is a husband justified in hitting or beating his wife if:</t>
  </si>
  <si>
    <t>168. A votre avis, est-il justifié pour un mari de frapper ou de battre sa femme si :</t>
  </si>
  <si>
    <t>168. A ganinku, ko ya cancanta miji ya bugi matarshi ko ya bata kashi idan:</t>
  </si>
  <si>
    <t>min = 0.25; max = 2</t>
  </si>
  <si>
    <t>w_meals_note</t>
  </si>
  <si>
    <t>88. I will now ask you about meals people in your household have consumed in the past 7 days.</t>
  </si>
  <si>
    <t>88. Je vais maintenant vous poser des questions sur les repas que les membres de votre ménage ont consommé au cours des 7 derniers jours.</t>
  </si>
  <si>
    <t>88. Yanzu zan tambaye ku bisa abincin da mutanen gidanku suka ci a cikin kwanaki 7 da suka wuce.</t>
  </si>
  <si>
    <t>35. Enumerator: Enter other town</t>
  </si>
  <si>
    <t>35. Enquêteur : Entrez un autre ville</t>
  </si>
  <si>
    <t>35. Ɗan bincike: Shigar da wata gari</t>
  </si>
  <si>
    <t>selected(${w_shm_town}, '-777')</t>
  </si>
  <si>
    <t>w_adults_skip_days</t>
  </si>
  <si>
    <t>89. In the last 7 days, have adults gone a whole day without meals?</t>
  </si>
  <si>
    <t>89. Au cours des 7 derniers jours, des adultes sont-ils restés une journée entière sans manger de repas ?</t>
  </si>
  <si>
    <t>89. A cikin kwanaki 7 da suka wuce, ko manya gidanku sun zauna tsawon wuni guda basu ci abinci ba?</t>
  </si>
  <si>
    <t>Quick reference for relevance, constraint, and selected calculation expressions</t>
  </si>
  <si>
    <t>illness</t>
  </si>
  <si>
    <t>malaria</t>
  </si>
  <si>
    <t>Paludisme</t>
  </si>
  <si>
    <t>Masassarar cizon sauro</t>
  </si>
  <si>
    <t>36. Will ${shm_name} be in the household within the next two weeks?</t>
  </si>
  <si>
    <t>36. Est-ce que ${shm_name} sera dans le ménage au cours des deux prochaines semaines ?</t>
  </si>
  <si>
    <t>36. Ko ${shm_name} zai kasance a gidan nan cikin sati biyu masu zuwa?</t>
  </si>
  <si>
    <t>Enumerator: If yes, please ask the respondent when the best time to return to survey ${shm_name} and note it down. We would like you to return to the household then to survey ${shm_name}.</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</si>
  <si>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</si>
  <si>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</si>
  <si>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w_adults_skip_days_num</t>
  </si>
  <si>
    <t>w_adults_skip_meals</t>
  </si>
  <si>
    <t>tuberculosis</t>
  </si>
  <si>
    <t>Tuberculose</t>
  </si>
  <si>
    <t>Babban Tari</t>
  </si>
  <si>
    <t>Learn about all available expressions in "Using expressions in your forms: a reference for all operators and functions"</t>
  </si>
  <si>
    <t>174. visiting your family or friends?</t>
  </si>
  <si>
    <t>174. rendre visite à votre famille ou à vos amis ?</t>
  </si>
  <si>
    <t>174. ziyartar danginku ko abokananku?</t>
  </si>
  <si>
    <t>w_adults_skip_meal_num</t>
  </si>
  <si>
    <t>92. Tsawon kwana nawa?</t>
  </si>
  <si>
    <t>yellow fever</t>
  </si>
  <si>
    <t>Fièvre jaune</t>
  </si>
  <si>
    <t>Farar masassara</t>
  </si>
  <si>
    <t>Operation</t>
  </si>
  <si>
    <t>typhoid</t>
  </si>
  <si>
    <t>w_adult_protein</t>
  </si>
  <si>
    <t xml:space="preserve">${speedcheck_w_loc_end} - ${speedcheck_w_loc_start} </t>
  </si>
  <si>
    <t>Typhoïde</t>
  </si>
  <si>
    <t>93. In the past week how many days have adults in your household consumed animal protein (including fish, meat, poultry)?</t>
  </si>
  <si>
    <t>Operator</t>
  </si>
  <si>
    <t>93. Au cours des 7 derniers jours, combien de fois les adultes de votre ménage ont-ils consommé des protéines animales (y compris poisson, viande, volaille) ?</t>
  </si>
  <si>
    <t>Masassarar kayan ɗanye</t>
  </si>
  <si>
    <t>93. A cikin kwanaki 7 da suka wuce sau nawa manyan gidanku suka ci abinci masu gina jiki kamar su kifi ko nama ko kaji?</t>
  </si>
  <si>
    <t>Example</t>
  </si>
  <si>
    <t>Example answer</t>
  </si>
  <si>
    <t>Addition</t>
  </si>
  <si>
    <t>+</t>
  </si>
  <si>
    <t>1 + 1</t>
  </si>
  <si>
    <t>Subtraction</t>
  </si>
  <si>
    <t>-</t>
  </si>
  <si>
    <t>cholera</t>
  </si>
  <si>
    <t>Choléra</t>
  </si>
  <si>
    <t>kwalara</t>
  </si>
  <si>
    <t>Multiplication</t>
  </si>
  <si>
    <t>*</t>
  </si>
  <si>
    <t>3 * 2</t>
  </si>
  <si>
    <t>Division</t>
  </si>
  <si>
    <t>div</t>
  </si>
  <si>
    <t>w_child_skip_days</t>
  </si>
  <si>
    <t>10 div 2</t>
  </si>
  <si>
    <t>94. In the last 7 days, have children (&lt;14) gone a whole day without meals?</t>
  </si>
  <si>
    <t>94. Au cours des 7 derniers jours, des enfants (&lt;14) ont-ils passé une journée entière sans manger de repas ?</t>
  </si>
  <si>
    <t>diarrhea</t>
  </si>
  <si>
    <t>94. A cikin kwana 7 na ƙarshe, ko yara ƴan ƙasa da shekara goma sha huɗu sun zauna tsawon wuni guda ba su ci da abinci ba?</t>
  </si>
  <si>
    <t>Diarrhée</t>
  </si>
  <si>
    <t>Modulus</t>
  </si>
  <si>
    <t>mod</t>
  </si>
  <si>
    <t>9 mod 2</t>
  </si>
  <si>
    <t>zawo</t>
  </si>
  <si>
    <t>Equal</t>
  </si>
  <si>
    <t>=</t>
  </si>
  <si>
    <t>${fieldname} = 3</t>
  </si>
  <si>
    <t>true or false</t>
  </si>
  <si>
    <t>Not equal</t>
  </si>
  <si>
    <t>!=</t>
  </si>
  <si>
    <t>${fieldname} != 3</t>
  </si>
  <si>
    <t>w_child_skip_days_num</t>
  </si>
  <si>
    <t>37. I would like to ask you about different ways you may use money that you earn.</t>
  </si>
  <si>
    <t>95. How many days?</t>
  </si>
  <si>
    <t>95. Pendant combien de jours?</t>
  </si>
  <si>
    <t>37. Maintenant, je voudrais vous poser des questions sur les différentes façons dont vous pouvez utiliser l'argent que vous gagnez.</t>
  </si>
  <si>
    <t>95. 154a Tsawon kwanaki nawa?</t>
  </si>
  <si>
    <t>Greater-than</t>
  </si>
  <si>
    <t>&gt;</t>
  </si>
  <si>
    <t>${fieldname} &gt; 3</t>
  </si>
  <si>
    <t>meningitis</t>
  </si>
  <si>
    <t>Méningite</t>
  </si>
  <si>
    <t>37. Yanzu ina so in tambaye ku hanyoyi daban-daban da zaku iya amfani da su wajen kashe kuɗin da kuke samu.</t>
  </si>
  <si>
    <t>Sanƙarau</t>
  </si>
  <si>
    <t>&gt;-or-equal</t>
  </si>
  <si>
    <t>&gt;=</t>
  </si>
  <si>
    <t>${fieldname} &gt;= 3</t>
  </si>
  <si>
    <t>w_child_skip_meals</t>
  </si>
  <si>
    <t>Less-than</t>
  </si>
  <si>
    <t>&lt;</t>
  </si>
  <si>
    <t>${fieldname} &lt; 3</t>
  </si>
  <si>
    <t>chicken pox</t>
  </si>
  <si>
    <t>&lt;-or-equal</t>
  </si>
  <si>
    <t>Varicelle</t>
  </si>
  <si>
    <t>&lt;=</t>
  </si>
  <si>
    <t>Kashin kaji/Farankama</t>
  </si>
  <si>
    <t>${fieldname} &lt;= 3</t>
  </si>
  <si>
    <t>Or</t>
  </si>
  <si>
    <t>or</t>
  </si>
  <si>
    <t>${fieldname} = 3 or ${fieldname} = 4</t>
  </si>
  <si>
    <t>179. He respects you and your wishes</t>
  </si>
  <si>
    <t>179. Il vous respecte et respecte vos souhaits</t>
  </si>
  <si>
    <t>179. Yana girmama ku kuma ya na girmama buƙatuntu</t>
  </si>
  <si>
    <t>And</t>
  </si>
  <si>
    <t>and</t>
  </si>
  <si>
    <t>${fieldname} &gt; 3 and ${fieldname} &lt; 5</t>
  </si>
  <si>
    <t>38. Do you currently have savings of each of the following types that you have put aside for yourself, separate from your household?</t>
  </si>
  <si>
    <t>pneumonia</t>
  </si>
  <si>
    <t>Pneumonie</t>
  </si>
  <si>
    <t>Not</t>
  </si>
  <si>
    <t>ciwon huhu</t>
  </si>
  <si>
    <t>38. Avez-vous actuellement des économies de chacun des types suivants que vous avez mises de côté pour vous-même, séparément de votre ménage ?</t>
  </si>
  <si>
    <t>not()</t>
  </si>
  <si>
    <t>38. Ko a halin yanzu kuna da tanadi na kowane nau'in waɗannan nau'ikan da kuka ware wa kanku?</t>
  </si>
  <si>
    <t>not(${fieldname} &gt; 3 and ${fieldname} &lt; 5)</t>
  </si>
  <si>
    <t xml:space="preserve"> </t>
  </si>
  <si>
    <t>false or true</t>
  </si>
  <si>
    <t>Function</t>
  </si>
  <si>
    <t>180. Now I am going to ask you about some situations which happen to some women. Please tell me if these apply to your relationship with your husband?</t>
  </si>
  <si>
    <t>180. Maintenant, je vais vous poser des questions sur certaines situations qui arrivent à certaines femmes. Veuillez me dire si cela s'applique à votre relation avec votre mari ?</t>
  </si>
  <si>
    <t>180. To, yanzu zan tambaye ku game da wasu al’amura da suke faruwa ga wasu mata. Ko kun gaya mini idan waɗannan sun shafi zamantakewarku da mijinku?</t>
  </si>
  <si>
    <t>relevant(field)</t>
  </si>
  <si>
    <t>relevant(${followup_question})</t>
  </si>
  <si>
    <t>181. He does not trust your fidelty</t>
  </si>
  <si>
    <t>181. Il est jaloux et vous montre qu'il n’a pas confiance en vous ?</t>
  </si>
  <si>
    <t>181. Yana zargin ku kullum da nuna rashin yarda?</t>
  </si>
  <si>
    <t>w_child_skip_meals_num</t>
  </si>
  <si>
    <t>empty(field)</t>
  </si>
  <si>
    <t>97. 155a Tsawon kwana nawa?</t>
  </si>
  <si>
    <t>empty(${consent})</t>
  </si>
  <si>
    <t>39. Specify other:</t>
  </si>
  <si>
    <t>39. Précisez autre :</t>
  </si>
  <si>
    <t>39. Ƙayyade wasu:</t>
  </si>
  <si>
    <t>once(expression)</t>
  </si>
  <si>
    <t>once(random())</t>
  </si>
  <si>
    <t>selected(${w_separate_savings}, '-777')</t>
  </si>
  <si>
    <t>w_child_protein</t>
  </si>
  <si>
    <t>98. In the past week how many days have children in your household consumed animal protein (inlcuding fish, meat, poultry)?</t>
  </si>
  <si>
    <t>98. Au cours des 7 derniers jours, combien de fois les enfants de votre ménage ont-ils consommé des protéines animales (y compris poisson, viande, volaille) ?</t>
  </si>
  <si>
    <t>98. A cikin kwanaki 7 da suka gabata sau nawa yara a cikin gidanku suka ci abinci masu gina jiki kamar su kifi, nama, kaji ?</t>
  </si>
  <si>
    <t>pulldata(csvname, colname, lookupcolname, lookupval)</t>
  </si>
  <si>
    <t>pulldata('hhplotdata', 'plot1size', 'hhid_key', ${hhid})</t>
  </si>
  <si>
    <t>string-length(field)</t>
  </si>
  <si>
    <t>string-length(.) &gt; 3</t>
  </si>
  <si>
    <t>schools</t>
  </si>
  <si>
    <t>count-selected(field)</t>
  </si>
  <si>
    <t>Public school</t>
  </si>
  <si>
    <t>count-selected(.) &gt;= 1</t>
  </si>
  <si>
    <t>École publique</t>
  </si>
  <si>
    <t>Makarantar gwamnati</t>
  </si>
  <si>
    <t>selected(field, value)</t>
  </si>
  <si>
    <t>selected(${fieldname}, 'Male')</t>
  </si>
  <si>
    <t>180. He is affectionnate with you</t>
  </si>
  <si>
    <t>180. Il est affectueux avec vous</t>
  </si>
  <si>
    <t>180. Yana nuna muku soyayya</t>
  </si>
  <si>
    <t>not(selected(${w_separate_savings}, '0'))</t>
  </si>
  <si>
    <t>selected-at(field, number)</t>
  </si>
  <si>
    <t>w_consumption</t>
  </si>
  <si>
    <t>selected-at(${fieldname}, 0) = 'Shona'</t>
  </si>
  <si>
    <t>count-selected(${w_separate_savings})</t>
  </si>
  <si>
    <t>choice-label(field, value)</t>
  </si>
  <si>
    <t>choice-label(${selectonefield}, ${selectonefield})</t>
  </si>
  <si>
    <t>181. He respects you and your wishes</t>
  </si>
  <si>
    <t>181. Il vous respecte et respecte vos souhaits</t>
  </si>
  <si>
    <t>181. Yana girmama ku kuma ya na girmama buƙatuntu</t>
  </si>
  <si>
    <t>Franco Arab School</t>
  </si>
  <si>
    <t>Ecole franco arabe</t>
  </si>
  <si>
    <t>Makarantar Franco Arab /madarissa</t>
  </si>
  <si>
    <t>concat(fieldorstring, fieldorstring, ...)</t>
  </si>
  <si>
    <t>concat(${firstname}, ' ', ${lastname})</t>
  </si>
  <si>
    <t>184. Now if you will permit me, I need to ask some more questions about your relationship with your husband. Does he ever?</t>
  </si>
  <si>
    <t>184. Maintenant, si vous me le permettez, je dois poser quelques questions supplémentaires sur votre relation avec votre mari. Est-ce qu'il a jamais?</t>
  </si>
  <si>
    <t>184. Yanzu idan za ki ba ni izini, Ina bukatar yin wasu tambayoyi game da dangantakarki da mijinki. Ko ya taba?</t>
  </si>
  <si>
    <t>index()</t>
  </si>
  <si>
    <t>count(repeatgroup)</t>
  </si>
  <si>
    <t>185. Say or do something to humiliate you in front of others</t>
  </si>
  <si>
    <t>185. Dit ou fait quelque chose pour vous humilier devant les autres</t>
  </si>
  <si>
    <t>185. Fadi ko yin wani abu don wulaƙanta ku a gaban wasu</t>
  </si>
  <si>
    <t>count(${repeatgroupname})</t>
  </si>
  <si>
    <t>select_multiple cons_month</t>
  </si>
  <si>
    <t>w_monthly_consumption_any</t>
  </si>
  <si>
    <t>99. Has your household spent money on the following types of expenses in the past month?</t>
  </si>
  <si>
    <t>99. Votre ménage a-t-il dépensé de l'argent pour les types de dépenses suivants au cours du dernier mois ?</t>
  </si>
  <si>
    <t>99. Shin gidanku ya kashe kuɗi akan irin waɗannan abubuwan a cikin watan da ya gabata?</t>
  </si>
  <si>
    <t>sum(repeatedfield)</t>
  </si>
  <si>
    <t>sum(${loan_size})</t>
  </si>
  <si>
    <t>Koranic School</t>
  </si>
  <si>
    <t>Makarantar Kur'ani/makarantar allo</t>
  </si>
  <si>
    <t>join(string, repeatedfield)</t>
  </si>
  <si>
    <t>join(' ,', ${hh_member_name})</t>
  </si>
  <si>
    <t>min(repeatedfield)</t>
  </si>
  <si>
    <t>min(${hh_member_age})</t>
  </si>
  <si>
    <t>max(repeatedfield)</t>
  </si>
  <si>
    <t>if(selected-at(${w_separate_savings}, index()-1) = '-777', ${w_separate_savings_o}, choice-label(${w_separate_savings}, selected-at(${w_separate_savings}, index()-1)))</t>
  </si>
  <si>
    <t>max(${hh_member_age})</t>
  </si>
  <si>
    <t>Private School</t>
  </si>
  <si>
    <t>École privée</t>
  </si>
  <si>
    <t>w_cons_month</t>
  </si>
  <si>
    <t>Makaranta masu zaman kansu/ marantar biya</t>
  </si>
  <si>
    <t>Consumption - Monthly</t>
  </si>
  <si>
    <t>indexed-repeat(repeatedfield, repeatgroup, index)</t>
  </si>
  <si>
    <t>Consommation - Mensuelle</t>
  </si>
  <si>
    <t>Cimaka - kowane wata</t>
  </si>
  <si>
    <t>indexed-repeat(${name}, ${names}, 1)</t>
  </si>
  <si>
    <t>substr(fieldorstring, startindex, endindex)</t>
  </si>
  <si>
    <t>183. He does not trust your fidelty</t>
  </si>
  <si>
    <t>substr(${phone}, 0, 3)</t>
  </si>
  <si>
    <t>183. Il est jaloux et vous montre qu'il n’a pas confiance en vous ?</t>
  </si>
  <si>
    <t>183. Yana zargin ku kullum da nuna rashin yarda?</t>
  </si>
  <si>
    <t>w_item</t>
  </si>
  <si>
    <t>item</t>
  </si>
  <si>
    <t>coalesce(field1, field2)</t>
  </si>
  <si>
    <t>article</t>
  </si>
  <si>
    <t>kaya</t>
  </si>
  <si>
    <t>coalesce(${id}, ${id2})</t>
  </si>
  <si>
    <t>round(field, digits)</t>
  </si>
  <si>
    <t>184. He (does/did) not permit you to meet your girl friends?</t>
  </si>
  <si>
    <t>184. Il ne vous a pas permis de rencontrer vos copines ?</t>
  </si>
  <si>
    <t>round(${interest_rate}, 2)</t>
  </si>
  <si>
    <t>184. Bai baku izinin ganin ƙawayenku ba?</t>
  </si>
  <si>
    <t>w_monthly_consumption_amt</t>
  </si>
  <si>
    <t>40. Please share with us your best estimate of the value in CFA ${w_savings_name}</t>
  </si>
  <si>
    <t>40. Veuillez partager avec nous votre meilleure estimation de la valeur en CFA ${w_savings_name}</t>
  </si>
  <si>
    <t>regex(field, expression)</t>
  </si>
  <si>
    <t>40. Da fatan zaku faɗa mana ƙimar da kuke ganin yayi daidai a cikin CFA ${w_savings_name}</t>
  </si>
  <si>
    <t>regex(., '[A-Za-z0-9._%+-]+@[A-Za-z0-9.-]+.[A-Za-z]{2,4}')</t>
  </si>
  <si>
    <t>if(expression, valueiftrue, valueiffalse)</t>
  </si>
  <si>
    <t>unit</t>
  </si>
  <si>
    <t>. &gt; 0</t>
  </si>
  <si>
    <t>if(selected(${country}, 'South Africa') or selected(${country}, 'Zimbabwe'), 'SADC', 'Non-SADC')</t>
  </si>
  <si>
    <t>kg</t>
  </si>
  <si>
    <t>kilo</t>
  </si>
  <si>
    <t>today()</t>
  </si>
  <si>
    <t>format-date-time(today(), '%Y-%b-%e')</t>
  </si>
  <si>
    <t>now()</t>
  </si>
  <si>
    <t>190. Kick you or drag you</t>
  </si>
  <si>
    <t>username()</t>
  </si>
  <si>
    <t>190. Vous donner un coup de pied ou vous traîner</t>
  </si>
  <si>
    <t>190. Habre ku ko jan ku</t>
  </si>
  <si>
    <t>box</t>
  </si>
  <si>
    <t>boîte</t>
  </si>
  <si>
    <t>191. Try to strangle you or burn you</t>
  </si>
  <si>
    <t>kwanko</t>
  </si>
  <si>
    <t>191. Essayer de vous étrangler ou de vous brûler</t>
  </si>
  <si>
    <t>191. Yi ƙoƙarin shake ku ko kona ku</t>
  </si>
  <si>
    <t>41. Do you earn interest on this money ${w_savings_name}?</t>
  </si>
  <si>
    <t>rank-index(index, repeatedfield)</t>
  </si>
  <si>
    <t>41. Gagnez-vous des intérêts sur cet argent ${w_savings_name} ?</t>
  </si>
  <si>
    <t>186. Now if you will permit me, I need to ask some more questions about your relationship with your husband. Does he ever?</t>
  </si>
  <si>
    <t>rank-index(1, ${random_draw})</t>
  </si>
  <si>
    <t>186. Maintenant, si vous me le permettez, je dois poser quelques questions supplémentaires sur votre relation avec votre mari. Est-ce qu'il a jamais?</t>
  </si>
  <si>
    <t>41. Kuna samun riba akan wannan kuɗin ${w_savings_name}?</t>
  </si>
  <si>
    <t>186. Yanzu idan za ki ba ni izini, Ina bukatar yin wasu tambayoyi game da dangantakarki da mijinki. Ko ya taba?</t>
  </si>
  <si>
    <t>tia</t>
  </si>
  <si>
    <t>select_multiple cons_week</t>
  </si>
  <si>
    <t>w_weekly_consumption_any</t>
  </si>
  <si>
    <t>tiya</t>
  </si>
  <si>
    <t>rank-value(fieldorvalue, fieldorlist)</t>
  </si>
  <si>
    <t>101. Ko a gidanku an kashe kuɗi akan ire iren waɗannan abubuwan a cikin satin da ya gabata?</t>
  </si>
  <si>
    <t>rank-value(${random_draw}, ${list_of_draws})</t>
  </si>
  <si>
    <t>de-duplicate(string, field)</t>
  </si>
  <si>
    <t>de-duplicate(' ', join(' ', ${repeatedfield}))</t>
  </si>
  <si>
    <t>50kg sack</t>
  </si>
  <si>
    <t>sac de 50 kg</t>
  </si>
  <si>
    <t>Buhun kilo 50</t>
  </si>
  <si>
    <t>distance-between(geopointfield1, geopointfield2)</t>
  </si>
  <si>
    <t>distance-between(${start_gps}, ${end_gps})</t>
  </si>
  <si>
    <t>area(repeatedgeopointfield)</t>
  </si>
  <si>
    <t>w_cons_week</t>
  </si>
  <si>
    <t>area(${gps_reading})</t>
  </si>
  <si>
    <t>Consumption - Weekly</t>
  </si>
  <si>
    <t>Consommation - Hebdomadaire</t>
  </si>
  <si>
    <t>100 kg sack</t>
  </si>
  <si>
    <t>Cimakar - sati-sati</t>
  </si>
  <si>
    <t>sac de 100 kg</t>
  </si>
  <si>
    <t>Buhun kilo 100</t>
  </si>
  <si>
    <t>phone-call-log()</t>
  </si>
  <si>
    <t>188. Threaten you or someone close to you with harm</t>
  </si>
  <si>
    <t>188. Vous menacer vous-même ou quelqu'un proche de vous à vous faire du mal</t>
  </si>
  <si>
    <t>188. Yi muku barazana ko wani na kusa da ku da cutarwa</t>
  </si>
  <si>
    <t>w_item_week</t>
  </si>
  <si>
    <t>item weekly</t>
  </si>
  <si>
    <t>article hebdomadaire</t>
  </si>
  <si>
    <t>kayan sati-sati</t>
  </si>
  <si>
    <t>plug-in-metadata(field)</t>
  </si>
  <si>
    <t>plug-in-metadata(${counter})</t>
  </si>
  <si>
    <t>basket</t>
  </si>
  <si>
    <t>189. Push you shake you or throw something at you</t>
  </si>
  <si>
    <t>panier</t>
  </si>
  <si>
    <t>189. Vous pousser, vous secouer ou jeter quelque chose sur vous</t>
  </si>
  <si>
    <t>sanho</t>
  </si>
  <si>
    <t>189. Tura ku girgiza ku ko jefar da wani abu bisanku</t>
  </si>
  <si>
    <t>w_weekly_consumption_amt</t>
  </si>
  <si>
    <t>unité</t>
  </si>
  <si>
    <t>ɗaya</t>
  </si>
  <si>
    <t>191. Punch you with his fist or with something that could hurt you</t>
  </si>
  <si>
    <t>191. Vous frapper avec son poing ou avec quelque chose qui pourrait vous blesser</t>
  </si>
  <si>
    <t>maraba (1.5 tia)</t>
  </si>
  <si>
    <t>191. Yi muku naushi da hannu ko da wani abu da zai iya cutar da ku</t>
  </si>
  <si>
    <t>Demi tiya (1.5 tia)</t>
  </si>
  <si>
    <t>w_tabaski</t>
  </si>
  <si>
    <t>192. Kick you or drag you</t>
  </si>
  <si>
    <t>192. Vous donner un coup de pied ou vous traîner</t>
  </si>
  <si>
    <t>192. Habre ku ko jan ku</t>
  </si>
  <si>
    <t>w_purchase</t>
  </si>
  <si>
    <t>103. For Ramadan, did your household purchase any of the following?</t>
  </si>
  <si>
    <t>103. Pour le Ramadan, votre ménage a-t-il acheté l'un des produits suivants ?</t>
  </si>
  <si>
    <t>103. Ga sallar azumi, gidanku ya sayi ɗaya daga cikin wadannan?</t>
  </si>
  <si>
    <t>ladle</t>
  </si>
  <si>
    <t>louche</t>
  </si>
  <si>
    <t>lude</t>
  </si>
  <si>
    <t>packet</t>
  </si>
  <si>
    <t>paquet</t>
  </si>
  <si>
    <t>pake</t>
  </si>
  <si>
    <t>w_purchase_clothing</t>
  </si>
  <si>
    <t xml:space="preserve">${speedcheck_w_savings_end} - ${speedcheck_w_savings_start} </t>
  </si>
  <si>
    <t>bundle</t>
  </si>
  <si>
    <t>botte</t>
  </si>
  <si>
    <t>Dame</t>
  </si>
  <si>
    <t>other (to specify)</t>
  </si>
  <si>
    <t>autre unite (a specifier)</t>
  </si>
  <si>
    <t>Wani daban ( a baiyyana)</t>
  </si>
  <si>
    <t>w_purchase_sheep</t>
  </si>
  <si>
    <t>w_purchase_goat</t>
  </si>
  <si>
    <t>106. Goat</t>
  </si>
  <si>
    <t>106. Chèvre</t>
  </si>
  <si>
    <t>106. Akuya</t>
  </si>
  <si>
    <t>crops</t>
  </si>
  <si>
    <t>153. How many ${hoh_livestock_act_name} did you sell?</t>
  </si>
  <si>
    <t>153. Au cours des trois derniers mois, combien de ${hoh_livestock_act_name} avez-vous vendu ?</t>
  </si>
  <si>
    <t>153. ${hoh_livestock_act_name} nawa kuka saida?</t>
  </si>
  <si>
    <t>154. How many ${hoh_livestock_act_name} did you consume?</t>
  </si>
  <si>
    <t>154. Au cours des trois derniers mois, combien de ${hoh_livestock_act_name} avez-vous consommé ?</t>
  </si>
  <si>
    <t>154. ${hoh_livestock_act_name} Nawa kuka cinye ?</t>
  </si>
  <si>
    <t>w_purchase_poultry</t>
  </si>
  <si>
    <t>107. Poultry</t>
  </si>
  <si>
    <t>Amaranth</t>
  </si>
  <si>
    <t>107. Volaille</t>
  </si>
  <si>
    <t>Amarante</t>
  </si>
  <si>
    <t>107. Kaji/zabi</t>
  </si>
  <si>
    <t>alaiyahu</t>
  </si>
  <si>
    <t>Bitter tomato</t>
  </si>
  <si>
    <t>Tomate amère</t>
  </si>
  <si>
    <t>Tumatir mai ɗaci</t>
  </si>
  <si>
    <t>155. In the past three months, how much did you spend on food and health expense for all of your animals (in CFA)?</t>
  </si>
  <si>
    <t>155. Au cours des trois derniers mois, combien avez-vous dépensé en frais de nourriture et de santé pour tous vos animaux (en CFA) ?</t>
  </si>
  <si>
    <t>155. Nawa kuka kashe akan abinci da kiwon lafiyar dukkan dabbobinku (a sefa) ?</t>
  </si>
  <si>
    <t>${w_shm_home} = 1 or ${w_shm_home_2w} = 1 or ${w_pm_home_2w} = 1 or ${w_pm_home} = 1</t>
  </si>
  <si>
    <t>Calabash</t>
  </si>
  <si>
    <t>Calebasse</t>
  </si>
  <si>
    <t>kwarya/ duma</t>
  </si>
  <si>
    <t>Clove</t>
  </si>
  <si>
    <t>Clou de girofle</t>
  </si>
  <si>
    <t>karamfani</t>
  </si>
  <si>
    <t>156. When thinking about the past three months, I would like to ask you about how many days a typical week people in your household worked. We know people may work more during some weeks rather than others, please think about what happens during most weeks.</t>
  </si>
  <si>
    <t>156.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</si>
  <si>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156. Tuna da watanni uku da suka wuce. Ina son in tambaye ku game da yawan kwanaki da ƴan gidanku ke yin aiki a cikin sati na yau da kullun. Mun san da mutane na iya yin aiki a cikin wani sati fiye da wani satin, amma yi tunanin abinda ke kasancewa a yawancin makonni.</t>
  </si>
  <si>
    <t>42. I would like to ask you a few questions about your health and wellbeing</t>
  </si>
  <si>
    <t>42. Je voudrais vous poser quelques questions sur votre santé et votre bien-être</t>
  </si>
  <si>
    <t>42. Ina so in yi muku wasu ƴan tambayoyi game da lafiyar jikinku da jin daɗin ku</t>
  </si>
  <si>
    <t>Corn</t>
  </si>
  <si>
    <t>Maïs</t>
  </si>
  <si>
    <t>Masara</t>
  </si>
  <si>
    <t>157. How many days did people in your household work to care for your animals in a typical week in the past three months?</t>
  </si>
  <si>
    <t>157. Dans les trois derniers mois, au cours d'une semaine normale, combien de jours les membres de votre ménage ont-ils travaillé pour s'occuper de vos animaux ?</t>
  </si>
  <si>
    <t>157. A cikin watanni uku da suka wuce, kwana nawa a cikin sati mutanen gidanku suka yi aiki don kula da bisashenku?</t>
  </si>
  <si>
    <t>158. In the past three months, did you hire anyone outside your household to care for your animals?</t>
  </si>
  <si>
    <t>158. Au cours des trois derniers mois, avez-vous embauché quelqu'un en dehors de votre ménage pour s'occuper de vos animaux ?</t>
  </si>
  <si>
    <t>158. A cikin watanni uku da suka wuce, Ko kun ɗauki wani wanda ba ɗan gidanku ba don kula da dabbobinku?</t>
  </si>
  <si>
    <t>Cowpeas</t>
  </si>
  <si>
    <t>Niébé</t>
  </si>
  <si>
    <t>Wake</t>
  </si>
  <si>
    <t>43. In general, how would you characterize your physical health?</t>
  </si>
  <si>
    <t>43. En général, comment caractériseriez-vous votre santé physique ?</t>
  </si>
  <si>
    <t>43. A taƙaice, yaya za ku siffanta lafiyar jikin ku?</t>
  </si>
  <si>
    <t>159. In the last 3 months, for how many weeks did you hire people to care for your livestock?</t>
  </si>
  <si>
    <t>159. Au cours des trois derniers mois, combien de semaines avez-vous embauché des personnes pour s'occuper de votre bétail ?</t>
  </si>
  <si>
    <t>159. A cikin watanni 3 da suka wuce, sati nawa kuka dauki ƴan aiki don kula da dabbobinku?</t>
  </si>
  <si>
    <t>Fonio</t>
  </si>
  <si>
    <t>Waken Awara</t>
  </si>
  <si>
    <t>Groundnut</t>
  </si>
  <si>
    <t>Arachide</t>
  </si>
  <si>
    <t>Gyada /Gujiya</t>
  </si>
  <si>
    <t>Manioc</t>
  </si>
  <si>
    <t>Rogo</t>
  </si>
  <si>
    <t>44. Do you currently suffer from any illness or disability that limits your ability to travel or work?</t>
  </si>
  <si>
    <t>44. Souffrez-vous actuellement d'une maladie ou d'un handicap qui limite votre capacité à voyager ou à travailler ?</t>
  </si>
  <si>
    <t>198. HoH Questions</t>
  </si>
  <si>
    <t>44. A halin yanzu, ko kuna fama da wata rashin lafiya ko naƙasa da ke iya kawo muku cikas game da tahiya bulaguro ko yin aiki?</t>
  </si>
  <si>
    <t xml:space="preserve">198. </t>
  </si>
  <si>
    <t>Millet</t>
  </si>
  <si>
    <t>Gero/ Hatsi</t>
  </si>
  <si>
    <t>Mint</t>
  </si>
  <si>
    <t>Menthe</t>
  </si>
  <si>
    <t>Mant</t>
  </si>
  <si>
    <t>162. In the past three months, did any member of your household care for livestock owned by other people?</t>
  </si>
  <si>
    <t>162. Au cours des trois derniers mois, un membre de votre ménage s'est-il occupé du bétail appartenant à d'autres personnes ?</t>
  </si>
  <si>
    <t>162. A cikin watanni uku da suka wuce, akwai wani ɗan gidanku da ya kula da dabbobin wasu mutane?</t>
  </si>
  <si>
    <t>Nutgrass</t>
  </si>
  <si>
    <t>Souchet</t>
  </si>
  <si>
    <t>Aya</t>
  </si>
  <si>
    <t>197. A household is a group of people, related or unrelated, who live together in the same housing, pool their resources together, share their meals and recognize the authority of the same one person who is the head of household.</t>
  </si>
  <si>
    <t>Okra</t>
  </si>
  <si>
    <t>45. What illness limits you in this way?</t>
  </si>
  <si>
    <t>Gombo</t>
  </si>
  <si>
    <t>197. Un ménage est l’ensemble des personnes apparentées ou non qui vivent habituellement dans un même logement, mettent en commun leurs ressources, partagent leurs repas, et reconnaissent l’autorité d’une seule et même personne appelée chef de ménage.</t>
  </si>
  <si>
    <t>45. Quelle maladie vous limite de cette manière ?</t>
  </si>
  <si>
    <t>kuɓewa/ Miyar guro</t>
  </si>
  <si>
    <t>45. Wace cuta ce ke tsaida ku a kan wannan?</t>
  </si>
  <si>
    <t>197. Gida shine mutanen da ko dangi ko a'a wanda suke rayuwa cikin gida guda, sun sa dukiyar su tare, suna cin abinci tare, kuma sun yarda da shugabancin mutum ɗaya wanda a ke ce ma mai gida.</t>
  </si>
  <si>
    <t>${w_illness_limit} = 1</t>
  </si>
  <si>
    <t>Onions</t>
  </si>
  <si>
    <t>Oignons</t>
  </si>
  <si>
    <t>Albasa</t>
  </si>
  <si>
    <t>Paddy rice</t>
  </si>
  <si>
    <t>Riz non décortiqué</t>
  </si>
  <si>
    <t>shinkafa maras sissika</t>
  </si>
  <si>
    <t>198. Are there new members in the household since we last spoke to you? For reference, these are the members you mentioned:
${hoh_roster_list}</t>
  </si>
  <si>
    <t>198. Y a-t-il de nouveaux membres dans le foyer depuis notre dernière conversation ? Pour référence, voici les membres que vous avez mentionnés : 
${hoh_roster_list}</t>
  </si>
  <si>
    <t>198. Shin akwai sabbin membobi a gidan tun da muka yi magana da ku a ƙarshe? Don tunani, waɗannan su ne membobin da ka ambata: 
${hoh_roster_list}</t>
  </si>
  <si>
    <t>46. Other, specify:</t>
  </si>
  <si>
    <t>46. Autre précisez:</t>
  </si>
  <si>
    <t>46. Sauran, bayar da cikakkun bayanai:</t>
  </si>
  <si>
    <t>selected(${w_illness_limit_type} , '-777')</t>
  </si>
  <si>
    <t>Peanuts</t>
  </si>
  <si>
    <t>Cacahuètes</t>
  </si>
  <si>
    <t>Gyada</t>
  </si>
  <si>
    <t>199. How many?</t>
  </si>
  <si>
    <t>199. Combien?</t>
  </si>
  <si>
    <t>199. Nawa?</t>
  </si>
  <si>
    <t>Peppers</t>
  </si>
  <si>
    <t>Poivrons</t>
  </si>
  <si>
    <t>tattase</t>
  </si>
  <si>
    <t>47. In the past three months, did you suffer from an illness or injury that disrupted your daily life?</t>
  </si>
  <si>
    <t>47. Au cours des trois derniers mois, avez-vous souffert d'une maladie ou d'une blessure qui a perturbé votre vie quotidienne ?</t>
  </si>
  <si>
    <t>47. A cikin watanni uku da suka wuce, ko kun yi fama da wata rashin lafiya ko rauni wanda ya kawo muku cikas a rayuwarku na yau da kullun?</t>
  </si>
  <si>
    <t>166. Do you or another member of your household own land that is currently not used for agriculture, outside of your current home?</t>
  </si>
  <si>
    <t>166. Est-ce que vous ou un autre membre de votre ménage possédez des terres qui ne sont actuellement pas utilisées pour l'agriculture, en dehors de votre domicile actuel ?</t>
  </si>
  <si>
    <t>166. Shin kai ko wani na gidanku kuna da wasu hilaye wanda ba na noma ba bancin gidanku da kuke ciki a halin yanzu?</t>
  </si>
  <si>
    <t>167. In the past three months, what is the total revenue from rent of land or other property in CFA?</t>
  </si>
  <si>
    <t>167. Au cours des trois derniers mois, quel a été le revenu total provenant de la location d'un terrain ou d'une autre propriété en CFA?</t>
  </si>
  <si>
    <t>167. A cikin watanni uku da suka gabata, menene jimillar kuɗin da aka samu ta hanyar hayan filaye ko wasu kadarori (a sefa)?</t>
  </si>
  <si>
    <t>Sesame</t>
  </si>
  <si>
    <t>48. What type of illness or injury did you experience?</t>
  </si>
  <si>
    <t>Sésame</t>
  </si>
  <si>
    <t>48. Preciser le type de maladie ou de blessure</t>
  </si>
  <si>
    <t>48. Baiyana irin ciwo ko raunin da kuka yi fama da shi?</t>
  </si>
  <si>
    <t>Riɗi</t>
  </si>
  <si>
    <t>Enumerator: do not read options, code based on response</t>
  </si>
  <si>
    <t>Enquêteur : ne pas lire les options, code basé sur la réponse</t>
  </si>
  <si>
    <t>Ɗan bincike: kar a karanta zaɓuɓɓuka, lamba bisa amsa</t>
  </si>
  <si>
    <t>${w_illness} = 1</t>
  </si>
  <si>
    <t>168. In the past three months, what is the total value of interest from loans you have given to others in CFA?</t>
  </si>
  <si>
    <t>168. Au cours des trois derniers mois, quelle est la valeur totale des intérêts des prêts que vous avez accordés à d'autres en CFA?</t>
  </si>
  <si>
    <t>168. A cikin watanni uku da suka gabata, nawa ne jimillar kudin ruwan basussuka da kuka baiwa wasu (a sefa)?</t>
  </si>
  <si>
    <t>Sorghum</t>
  </si>
  <si>
    <t>Sorgho</t>
  </si>
  <si>
    <t>Dawa</t>
  </si>
  <si>
    <t>49. Specify other illness or injury</t>
  </si>
  <si>
    <t>49. Preciser le type de maladie ou de blessure</t>
  </si>
  <si>
    <t>49. Baiyana irin ciwo ko raunin da kuka yi fama da shi?</t>
  </si>
  <si>
    <t>selected(${w_illness_type} , '-777')</t>
  </si>
  <si>
    <t>Sorrel</t>
  </si>
  <si>
    <t>Oseille</t>
  </si>
  <si>
    <t>Yakuwa</t>
  </si>
  <si>
    <t>199. A household is a group of people, related or unrelated, who live together in the same housing, pool their resources together, share their meals and recognize the authority of the same one person who is the head of household.</t>
  </si>
  <si>
    <t>199. Un ménage est l’ensemble des personnes apparentées ou non qui vivent habituellement dans un même logement, mettent en commun leurs ressources, partagent leurs repas, et reconnaissent l’autorité d’une seule et même personne appelée chef de ménage.</t>
  </si>
  <si>
    <t>Squash</t>
  </si>
  <si>
    <t>199. Gida shine mutanen da ko dangi ko a'a wanda suke rayuwa cikin gida guda, sun sa dukiyar su tare, suna cin abinci tare, kuma sun yarda da shugabancin mutum ɗaya wanda a ke ce ma mai gida.</t>
  </si>
  <si>
    <t>Courge</t>
  </si>
  <si>
    <t>Kabewa</t>
  </si>
  <si>
    <t>50. Did you seek any treatment for any illness or injury?</t>
  </si>
  <si>
    <t>50. Avez-vous cherché un traitement pour une maladie ou une blessure ?</t>
  </si>
  <si>
    <t>50. Ko kun nemi wani magani don wata cuta ko rauni?</t>
  </si>
  <si>
    <t>200. Are there new members in the household since we last spoke to you? For reference, these are the members you mentioned:
${hoh_roster_list}</t>
  </si>
  <si>
    <t>200. Y a-t-il de nouveaux membres dans le foyer depuis notre dernière conversation ? Pour référence, voici les membres que vous avez mentionnés : 
${hoh_roster_list}</t>
  </si>
  <si>
    <t>200. Shin akwai sabbin membobi a gidan tun da muka yi magana da ku a ƙarshe? Don tunani, waɗannan su ne membobin da ka ambata: 
${hoh_roster_list}</t>
  </si>
  <si>
    <t>Sweet potatoes</t>
  </si>
  <si>
    <t>Patates douces</t>
  </si>
  <si>
    <t>select_multiple emergency</t>
  </si>
  <si>
    <t>Dankali</t>
  </si>
  <si>
    <t>w_emergency</t>
  </si>
  <si>
    <t>108. During ${period}, was your household negatively affected by any of the following types of events?</t>
  </si>
  <si>
    <t>108. Au cours de ${period_french}, votre ménage a-t-il été affecté négativement par l'un des types d'événements suivants ?</t>
  </si>
  <si>
    <t>108. A lokacin ${period_hausa}, ko gidanku ya fuskanci wani daga cikin matsaloli nan masu zuwa? Zaɓi duk abin da ya dace</t>
  </si>
  <si>
    <t>Wheat</t>
  </si>
  <si>
    <t>51. Now I want to ask you about the past week (7 days)</t>
  </si>
  <si>
    <t>Blé</t>
  </si>
  <si>
    <t>51. Maintenant, je veux vous poser des questions sur la semaine dernière (7 jours)</t>
  </si>
  <si>
    <t>Alkama</t>
  </si>
  <si>
    <t>51. Yanzu ina son in muku tambayoyi bisa satin (makon) da ya wuce (kwana 7)</t>
  </si>
  <si>
    <t>Yam</t>
  </si>
  <si>
    <t>Igname</t>
  </si>
  <si>
    <t>Doya</t>
  </si>
  <si>
    <t>52. How many hours of sleep per night did you get on average in the last seven days?</t>
  </si>
  <si>
    <t>52. Combien d'heures de sommeil par nuit avez-vous dormi en moyenne au cours des sept derniers jours ?</t>
  </si>
  <si>
    <t>52. Misalin Sa'o'i nawa a taƙaice kuke yin barci a kowane dare a cikin kwanaki bakwai na ƙarshe da suka wuce?</t>
  </si>
  <si>
    <t>. &gt;= 0 and . &lt;= 10</t>
  </si>
  <si>
    <t>201. What is the first name of ${hoh_hhtext}?</t>
  </si>
  <si>
    <t>201. Quel est le prenom de cette personne ${hoh_hhtextfrench} ?</t>
  </si>
  <si>
    <t>201. Menene sunan ${hoh_hhtexthausa}?</t>
  </si>
  <si>
    <t>174. How much do you pay per day for people to work in this business in CFA?</t>
  </si>
  <si>
    <t>174. Combien payez-vous par jour pour que les gens travaillent dans cette entreprise (en CFA) ?</t>
  </si>
  <si>
    <t>174. Nawa kuke biyan su a wuni (a sefa) ?</t>
  </si>
  <si>
    <t>202. What is ${hoh_new_mem_name}'s relationship to you, the household head?</t>
  </si>
  <si>
    <t>202. Quelle est la relation entre ${hoh_new_mem_name} et vous, le chef de ménage ?</t>
  </si>
  <si>
    <t>202. Menene alaƙa tsakanin ${hoh_new_mem_name} da, mai gida?</t>
  </si>
  <si>
    <t>assets</t>
  </si>
  <si>
    <t>203. What is ${hoh_new_mem_name}'s sex?</t>
  </si>
  <si>
    <t>203. Quel est le sexe de ${hoh_new_mem_name} ?</t>
  </si>
  <si>
    <t>Generator</t>
  </si>
  <si>
    <t>Groupe electrogene</t>
  </si>
  <si>
    <t>Ganareto</t>
  </si>
  <si>
    <t>field-list</t>
  </si>
  <si>
    <t>203. Menene jinsin ${hoh_new_mem_name}?</t>
  </si>
  <si>
    <t>204. What is ${hoh_new_mem_name}'s age?</t>
  </si>
  <si>
    <t>204. Quel âge a ${hoh_new_mem_name} ?</t>
  </si>
  <si>
    <t>204. ${hoh_new_mem_name} Shekarun shi/ta nawa?</t>
  </si>
  <si>
    <t>TV set</t>
  </si>
  <si>
    <t>poste de télévision</t>
  </si>
  <si>
    <t>talabijan/ Tele</t>
  </si>
  <si>
    <t>182. How much in total did members of your household receive from people out of Niger?</t>
  </si>
  <si>
    <t>182. Combien au total les membres de votre ménage ont-ils reçu des personnes qui ne sont pas au Niger ?</t>
  </si>
  <si>
    <t>53. In the past week, how often did you experience the following feelings?</t>
  </si>
  <si>
    <t>182. Nawa ne yan gidanku ya samu daga mutanen da ke zaune a ƙasar waje ba Nijar ba?</t>
  </si>
  <si>
    <t>53. Au cours de la semaine dernière, à quelle fréquence avez-vous ressenti les sentiments suivants ?</t>
  </si>
  <si>
    <t>53. A cikin satin da ya wuce, sau nawa kuka ji irin waɗannan abubuwan a ranku?</t>
  </si>
  <si>
    <t>w_emergency_o</t>
  </si>
  <si>
    <t>109. Please briefly describe the event(s) that negatveily affected your household</t>
  </si>
  <si>
    <t>109. Veuillez décrire brièvement le/les événement(s) qui ont eu des effets négatifs sur votre ménage au cours des 3 derniers mois</t>
  </si>
  <si>
    <t>109. Da fatan za ku yi taƙaitaccen bayani a kan abin da ya shafi gidan ku</t>
  </si>
  <si>
    <t>Radio</t>
  </si>
  <si>
    <t>Rediyo</t>
  </si>
  <si>
    <t>Mobile Phone</t>
  </si>
  <si>
    <t>54. Enjoyment</t>
  </si>
  <si>
    <t>Téléphone mobile</t>
  </si>
  <si>
    <t>54. Plaisir</t>
  </si>
  <si>
    <t>54. jin daɗi</t>
  </si>
  <si>
    <t>Wayar Hannu/ Salula</t>
  </si>
  <si>
    <t>list-nolabel</t>
  </si>
  <si>
    <t>w_emerg_resp</t>
  </si>
  <si>
    <t>Emergency response</t>
  </si>
  <si>
    <t>Traditional bed</t>
  </si>
  <si>
    <t>Lit traditionnel</t>
  </si>
  <si>
    <t>Gadon gargajiya</t>
  </si>
  <si>
    <t>55. Happiness</t>
  </si>
  <si>
    <t>55. Bonheur</t>
  </si>
  <si>
    <t>55. Farin ciki</t>
  </si>
  <si>
    <t>203. What is the first name of ${hoh_hhtext}?</t>
  </si>
  <si>
    <t>203. Quel est le prenom de cette personne ${hoh_hhtextfrench} ?</t>
  </si>
  <si>
    <t>203. Menene sunan ${hoh_hhtexthausa}?</t>
  </si>
  <si>
    <t>Iron/wooden bed</t>
  </si>
  <si>
    <t>Lit en fer/bois</t>
  </si>
  <si>
    <t>Gadon ƙarfe / katako</t>
  </si>
  <si>
    <t>176. Thinking about all of the revenues from this business in the past three months, what was the total amount of money coming in from this business in the last three months?</t>
  </si>
  <si>
    <t>176. Pense à tous les revenus de cette entreprise au cours des trois derniers mois, quel a été le montant total provenant de cette entreprise au cours des trois derniers mois ?</t>
  </si>
  <si>
    <t>176. Tuna da dukkan kuɗaɗen shiga na wannan kasuwancin a cikin watanni uku da suka wuce, nawa ne yawan kuɗin da aka samu daga wannan kasuwancin a cikin watanni uku da suka wuce?</t>
  </si>
  <si>
    <t>Flashlight</t>
  </si>
  <si>
    <t>Torche</t>
  </si>
  <si>
    <t>Tocila/ yer hannu</t>
  </si>
  <si>
    <t>177. Thinking about all of the the expenses from this business, what was the total amount of money you spent on costs related to this business in the last three months?</t>
  </si>
  <si>
    <t>177. Pense à toutes les dépenses de cette entreprise, quel a été le montant total que vous avez dépensé pour les coûts liés à cette entreprise au cours des trois derniers mois ?</t>
  </si>
  <si>
    <t>177. Tuna da dukkan kuɗin da aka kashe don wannan kasuwancin, nawa ne jimillar kuɗin da kuka kashe a kan wannan kasuwancin a cikin watanni uku da suka wuce?</t>
  </si>
  <si>
    <t>56. Stress</t>
  </si>
  <si>
    <t>56. Babbar Damuwa</t>
  </si>
  <si>
    <t>w_emergency_name</t>
  </si>
  <si>
    <t>Emergency Name</t>
  </si>
  <si>
    <t>Bike</t>
  </si>
  <si>
    <t>Vélo</t>
  </si>
  <si>
    <t>Keke/ Belo</t>
  </si>
  <si>
    <t>204. What is ${hoh_new_mem_name}'s relationship to you, the household head?</t>
  </si>
  <si>
    <t>204. Quelle est la relation entre ${hoh_new_mem_name} et vous, le chef de ménage ?</t>
  </si>
  <si>
    <t>204. Menene alaƙa tsakanin ${hoh_new_mem_name} da, mai gida?</t>
  </si>
  <si>
    <t>w_emerg_yes</t>
  </si>
  <si>
    <t>205. What is ${hoh_new_mem_name}'s sex?</t>
  </si>
  <si>
    <t>205. Quel est le sexe de ${hoh_new_mem_name} ?</t>
  </si>
  <si>
    <t>205. Menene jinsin ${hoh_new_mem_name}?</t>
  </si>
  <si>
    <t>Motorbike</t>
  </si>
  <si>
    <t>Moto</t>
  </si>
  <si>
    <t>w_emerg_note</t>
  </si>
  <si>
    <t>Babur/ Moto</t>
  </si>
  <si>
    <t>110. In response to ${w_emergency_name}, did you or your household take the following actions?</t>
  </si>
  <si>
    <t>57. Worry</t>
  </si>
  <si>
    <t>110. En réponse à ${w_emergency_name}, avez-vous vous ou votre ménage pris les mesures suivantes ??</t>
  </si>
  <si>
    <t>57. Inquiétude</t>
  </si>
  <si>
    <t>110. Dangance da ${w_emergency_name}, ku ko ƴan gindanku kun ɗauki waɗannan matakai?</t>
  </si>
  <si>
    <t>57. Damuwa</t>
  </si>
  <si>
    <t>Plow</t>
  </si>
  <si>
    <t>Charrue</t>
  </si>
  <si>
    <t>Galma</t>
  </si>
  <si>
    <t>Cart</t>
  </si>
  <si>
    <t>Chariot</t>
  </si>
  <si>
    <t>Amalanke</t>
  </si>
  <si>
    <t>58. Anger</t>
  </si>
  <si>
    <t>58. Colère</t>
  </si>
  <si>
    <t>58. Fushi</t>
  </si>
  <si>
    <t>190. How much did your household send to people elsewhere in Niger?</t>
  </si>
  <si>
    <t>190. Combien votre ménage a-t-il envoyé à des personnes qui sont quelque part au Niger ?</t>
  </si>
  <si>
    <t>190. Nawa ne gidanku ya aikawa mutanen da ke wasu wurare a Nijar?</t>
  </si>
  <si>
    <t>191. How did you transmit the money to the recipient?</t>
  </si>
  <si>
    <t>191. Comment avez-vous envoyé l'argent au destinataire ?</t>
  </si>
  <si>
    <t>191. Ta wace hanya kuka aika kuɗin ga mai karɓa?</t>
  </si>
  <si>
    <t>Pickaxe</t>
  </si>
  <si>
    <t>Pioche</t>
  </si>
  <si>
    <t>Diga</t>
  </si>
  <si>
    <t>192. Specify other transfer method</t>
  </si>
  <si>
    <t>192. Précisez la méthode du transfert</t>
  </si>
  <si>
    <t>192. Wani daban a Bayyana</t>
  </si>
  <si>
    <t>59. Physical pain</t>
  </si>
  <si>
    <t>180. In the past three months, did ${hoh_member_act_name} earn money from any other activity?</t>
  </si>
  <si>
    <t>59. Douleur physique</t>
  </si>
  <si>
    <t>180. Au cours des trois derniers mois, ${hoh_member_act_name} a-t-il gagné de l'argent grâce à une autre activité ?</t>
  </si>
  <si>
    <t>59. ciwon jiki</t>
  </si>
  <si>
    <t>180. A cikin watanni uku da suka gabata, ${hoh_member_act_name} ya samu kuɗi daga yin wani aiki?</t>
  </si>
  <si>
    <t>181. What was the activity?</t>
  </si>
  <si>
    <t>181. Quelle était l'activité ?</t>
  </si>
  <si>
    <t>181. Menene aikin?</t>
  </si>
  <si>
    <t>w_emerg_sell</t>
  </si>
  <si>
    <t>111. Sell assets?</t>
  </si>
  <si>
    <t>111. Vendre des actifs</t>
  </si>
  <si>
    <t>111. Saida kadarori</t>
  </si>
  <si>
    <t>60. Loneliness</t>
  </si>
  <si>
    <t>60. Solitude</t>
  </si>
  <si>
    <t>60. kadaici</t>
  </si>
  <si>
    <t>livestock</t>
  </si>
  <si>
    <t>Poultry</t>
  </si>
  <si>
    <t>Volaille</t>
  </si>
  <si>
    <t>Kaji</t>
  </si>
  <si>
    <t>196. Specify other transfer method</t>
  </si>
  <si>
    <t>196. Precisez la methode du transfert</t>
  </si>
  <si>
    <t>196. Wani daban a Bayyana</t>
  </si>
  <si>
    <t>Goats</t>
  </si>
  <si>
    <t>Chèvres</t>
  </si>
  <si>
    <t>Awaki</t>
  </si>
  <si>
    <t>Sheep</t>
  </si>
  <si>
    <t>Mouton</t>
  </si>
  <si>
    <t>Tumaki</t>
  </si>
  <si>
    <t>206. ${hoh_roster_name}
Sex: ${hoh_roster_sex}
Age: ${hoh_roster_age}</t>
  </si>
  <si>
    <t>Cattle</t>
  </si>
  <si>
    <t>Vaches</t>
  </si>
  <si>
    <t>Shanu</t>
  </si>
  <si>
    <t>207. Is ${hoh_roster_name} a Nigerien national?</t>
  </si>
  <si>
    <t>207. ${hoh_roster_name} est-il un citoyen(ne) du Niger ?</t>
  </si>
  <si>
    <t>207. Ko ${hoh_roster_name} ɗan ƙasar Nijar ne?</t>
  </si>
  <si>
    <t>61. I will now read out several statements. You should tell me whether these statements are true for you by using the following scale.</t>
  </si>
  <si>
    <t>61. Je vais maintenant lire plusieurs déclarations. Vous devez me dire si ces affirmations sont vraies pour vous en utilisant l'échelle suivante.</t>
  </si>
  <si>
    <t>61. Yanzu zan karanta wasu maganganu da yawa. Za ku gaya mini ko waɗannan maganganun sun yi daidai da ku ta hanyar yin amfani da kuranga mai zuwa.</t>
  </si>
  <si>
    <t>208. Where are they a cititzen of?</t>
  </si>
  <si>
    <t xml:space="preserve">208. </t>
  </si>
  <si>
    <t>Horses</t>
  </si>
  <si>
    <t>Les chevaux</t>
  </si>
  <si>
    <t>209. Please enter the nationality of ${hoh_roster_name}</t>
  </si>
  <si>
    <t>Dawaki</t>
  </si>
  <si>
    <t xml:space="preserve">209. </t>
  </si>
  <si>
    <t>210. Is ${hoh_roster_name} still a member of this household?</t>
  </si>
  <si>
    <t>210. ${hoh_roster_name} est-il toujours membre de ce ménage ?</t>
  </si>
  <si>
    <t>210. Ko suna yana cikin ƴan gidan nan?</t>
  </si>
  <si>
    <t>211. Why are they not a member of this household?</t>
  </si>
  <si>
    <t>211. Pourquoi ne font-ils pas partie de ce ménage ?</t>
  </si>
  <si>
    <t>211. Me ya sa ba su cikin ƴan gidan nan ?</t>
  </si>
  <si>
    <t>Camels</t>
  </si>
  <si>
    <t>212. Other, specify:</t>
  </si>
  <si>
    <t>212. Autre précisez:</t>
  </si>
  <si>
    <t>212. Sauran, bayar da cikakkun bayanai:</t>
  </si>
  <si>
    <t>Chameaux</t>
  </si>
  <si>
    <t>Rakumma</t>
  </si>
  <si>
    <t>62. I feel I do not have much to be proud of.</t>
  </si>
  <si>
    <t>62. Je sens que je n'ai pas beaucoup de raisons d'être fier (comblé).</t>
  </si>
  <si>
    <t>62. Ina jin ba ni da hujjojin ji da kai na.</t>
  </si>
  <si>
    <t>213. Enumerator: Record any details about the death of the family member</t>
  </si>
  <si>
    <t>213. Enqueteur: Veuillez noter toute information pertinente concernant le décès</t>
  </si>
  <si>
    <t>w_emerg_borrow</t>
  </si>
  <si>
    <t>112. Borrow money?</t>
  </si>
  <si>
    <t>112. Emprunter de l'argent</t>
  </si>
  <si>
    <t>112. Bashin kuɗi</t>
  </si>
  <si>
    <t>Donkey</t>
  </si>
  <si>
    <t>Âne</t>
  </si>
  <si>
    <t>Jaki</t>
  </si>
  <si>
    <t>63. At times I think I am no good at all.</t>
  </si>
  <si>
    <t>63. Parfois, je pense que je suis utile a rien</t>
  </si>
  <si>
    <t>63. A wasu lokuta ina ganin bani da amfani komai.</t>
  </si>
  <si>
    <t>w_emerg_spend</t>
  </si>
  <si>
    <t>113. Spend your savings?</t>
  </si>
  <si>
    <t>113. Utiliser votre épargne</t>
  </si>
  <si>
    <t>113. Kashe kuɗin ajiyar ku</t>
  </si>
  <si>
    <t>w_emerg_consume</t>
  </si>
  <si>
    <t>114. Reduce spending on food or change your food consumption?</t>
  </si>
  <si>
    <t>114. Réduire les dépenses alimentaires ou changé des habitudes de consommation ?</t>
  </si>
  <si>
    <t>114. Rage kashe kuɗi akan abinci ko canza abincin da ku ka saba ci?</t>
  </si>
  <si>
    <t>211. Please enter the nationality of ${hoh_roster_name}</t>
  </si>
  <si>
    <t>211. Veuillez saisir la nationalité de ${hoh_roster_name}</t>
  </si>
  <si>
    <t>211. Da fatan za a shigar da ƙasar ${hoh_roster_name}</t>
  </si>
  <si>
    <t>w_emerg_amt</t>
  </si>
  <si>
    <t>212. Is ${hoh_roster_name} still a member of this household?</t>
  </si>
  <si>
    <t>212. ${hoh_roster_name} est-il toujours membre de ce ménage ?</t>
  </si>
  <si>
    <t>212. Ko suna yana cikin ƴan gidan nan?</t>
  </si>
  <si>
    <t>w_emerg_note2</t>
  </si>
  <si>
    <t>115. For ${w_emergency_name}
 What was the value of the following in CFA?</t>
  </si>
  <si>
    <t>115. Par rapport à ${w_emergency_name}
 Quelle était la valeur des éléments suivantes en CFA?</t>
  </si>
  <si>
    <t>115. Game da ${w_emergency_name}
  Nawa ne kimar waɗannan abubuwan a kuɗin CFA?</t>
  </si>
  <si>
    <t>64.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</si>
  <si>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64.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</si>
  <si>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64.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</si>
  <si>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Use the scale from 0 to 10</t>
  </si>
  <si>
    <t>Ca C'est une mesure de 0 à 10</t>
  </si>
  <si>
    <t>Wannan ma'auni ne daga 0 zuwa 10</t>
  </si>
  <si>
    <t>activities</t>
  </si>
  <si>
    <t>Farming/Agriculture</t>
  </si>
  <si>
    <t>Agriculture</t>
  </si>
  <si>
    <t>Noma</t>
  </si>
  <si>
    <t>w_emerg_sell_amt</t>
  </si>
  <si>
    <t>116. Assets you sold</t>
  </si>
  <si>
    <t>116. Les actifs que vous avez vendus</t>
  </si>
  <si>
    <t>116. Kadarorin da kuka saida</t>
  </si>
  <si>
    <t>w_emerg_borrow_amt</t>
  </si>
  <si>
    <t>Herding</t>
  </si>
  <si>
    <t>Élevage</t>
  </si>
  <si>
    <t>Kiwo</t>
  </si>
  <si>
    <t>w_emerg_spend_amt</t>
  </si>
  <si>
    <t>Small business</t>
  </si>
  <si>
    <t>Petit commerce</t>
  </si>
  <si>
    <t>Ƙananan kasuwanci</t>
  </si>
  <si>
    <t>217. Is ${hoh_roster_name} currently living in Niger?</t>
  </si>
  <si>
    <t>217. Est-ce que ${hoh_roster_name} vit actuellement au Niger ?</t>
  </si>
  <si>
    <t>217. Ko ${hoh_roster_name} yana zaune a Nijar a halin yanzu?</t>
  </si>
  <si>
    <t>218. What region is ${hoh_roster_name} currently living in?</t>
  </si>
  <si>
    <t>218. Dans quelle région vit actuellement ${hoh_roster_name} ?</t>
  </si>
  <si>
    <t>218. A cikin wace jaha ce ${hoh_roster_name} yake zaune a yanzu?</t>
  </si>
  <si>
    <t>Artisan production</t>
  </si>
  <si>
    <t>Production Artisanale</t>
  </si>
  <si>
    <t>Aikin hannu</t>
  </si>
  <si>
    <t>219. What country is ${hoh_roster_name} currently living in?</t>
  </si>
  <si>
    <t>219. Dans quel pays vit actuellement ${hoh_roster_name} ?</t>
  </si>
  <si>
    <t>219. A cikin wace kasa ce ${hoh_roster_name} yake zaune a yanzu?</t>
  </si>
  <si>
    <t>65. Now I am going to ask you about the areas of your life that worry you.</t>
  </si>
  <si>
    <t>w_opinion_note</t>
  </si>
  <si>
    <t>65. Je voudrais maintenant vous poser des questions sur les choses qui vous inquiètent dans votre vie.</t>
  </si>
  <si>
    <t>119. I would like to ask your opinion about a several different topics. There are no right answers to these questions, we just want to understand what you think.</t>
  </si>
  <si>
    <t>65. Yanzu ina son in tambaye ku bisa abubuwan da ke damun ku a cikin rayuwar ku.</t>
  </si>
  <si>
    <t>119. J'aimerais vous demander votre avis sur plusieurs sujets différents. Il n'y a pas de bonnes réponses à ces questions, nous voulons juste comprendre ce que vous pensez.</t>
  </si>
  <si>
    <t>119. Ina so in tambayi ra'ayin ku game bisa batutuwa daban-daban. Babu amsoshin da suka dace ga waɗannan tambayoyin, muna son mu fafimci ra'ayinki ne kawai.</t>
  </si>
  <si>
    <t>Butcher</t>
  </si>
  <si>
    <t>Boucher</t>
  </si>
  <si>
    <t>mahauci</t>
  </si>
  <si>
    <t>w_opinion_matter</t>
  </si>
  <si>
    <t>66. How stressed are you about the following areas of your life?</t>
  </si>
  <si>
    <t>66. Dans quelle mesure êtes-vous stressé par les domaines suivants de votre vie ?</t>
  </si>
  <si>
    <t>221. Enumerator: Select town</t>
  </si>
  <si>
    <t>66. Yaya damuwarku game da abubuwa na rayuwarku da zan zana?</t>
  </si>
  <si>
    <t>221. Enquêteur : Sélectionnez la ville</t>
  </si>
  <si>
    <t>221. Ɗan bincike: Zaɓi gari</t>
  </si>
  <si>
    <t>select_one opinion_important</t>
  </si>
  <si>
    <t>w_matter_note</t>
  </si>
  <si>
    <t>120. I would like to ask you about how decisions are made in your household. Please tell me to what degree does your opinion matter in decisions related to the following topics:</t>
  </si>
  <si>
    <t>120. Je voudrais vous poser quelques quetions sur la prise de décision dans votre ménage, dans quelle mesure votre opinion compte-t-elle dans les décisions liées aux sujets suivants :</t>
  </si>
  <si>
    <t>120. Ina son in tambaye ku yadda ake yanke hukunci a gidanku. Da fatan za ku gaya mani matsayin ra'ayinku a yanke shawara bisa abubuwa masu zuwa:</t>
  </si>
  <si>
    <t>Lumberjack/woodcutter</t>
  </si>
  <si>
    <t>Bûcheron</t>
  </si>
  <si>
    <t>Mai saran itace</t>
  </si>
  <si>
    <t>67. Your own health problems, illness</t>
  </si>
  <si>
    <t>67. Vos propres problèmes de santé</t>
  </si>
  <si>
    <t>67. Matsalolin lafiyar jikinku</t>
  </si>
  <si>
    <t>228. What kind of school is ${hoh_roster_name} enrolled in?</t>
  </si>
  <si>
    <t>Domestic labor</t>
  </si>
  <si>
    <t>228. Dans quel type d'école est inscrit ${hoh_roster_name} ?</t>
  </si>
  <si>
    <t>228. Wace irin makaranta aka rubuta ${hoh_roster_name}?</t>
  </si>
  <si>
    <t>Domestique</t>
  </si>
  <si>
    <t>Aikin gida</t>
  </si>
  <si>
    <t>w_use_money_opinion</t>
  </si>
  <si>
    <t>121. How to use money that you earn</t>
  </si>
  <si>
    <t>121. Comment utiliser l'argent que vous gagnez</t>
  </si>
  <si>
    <t>121. Yadda ake amfani da kuɗin da kuke samu</t>
  </si>
  <si>
    <t>Marabout</t>
  </si>
  <si>
    <t>Malumci</t>
  </si>
  <si>
    <t>68. Problems at home and with relatives</t>
  </si>
  <si>
    <t>68. Problèmes dans le ménage et avec les proches</t>
  </si>
  <si>
    <t>68. Matsaloli na cikin gida da na dangi</t>
  </si>
  <si>
    <t>Mechanic/driver</t>
  </si>
  <si>
    <t>Mécanicien/chauffeur</t>
  </si>
  <si>
    <t>w_daily_hh_expenses_opinion</t>
  </si>
  <si>
    <t>Makaniki/direba</t>
  </si>
  <si>
    <t>122. Daily household expenses (Less than 500 CFA)</t>
  </si>
  <si>
    <t>122. Dépenses quotidiennes du ménage (Moins de 500 CFA)</t>
  </si>
  <si>
    <t>122. Kashe Kuɗin gidan na yau da kullum ( Kasa da dala ɗari CFA 500)</t>
  </si>
  <si>
    <t>Blacksmith</t>
  </si>
  <si>
    <t>Forgeron</t>
  </si>
  <si>
    <t>w_hh_purchases_opinion</t>
  </si>
  <si>
    <t>Maƙeri</t>
  </si>
  <si>
    <t>123. Household purchases (over 500 CFA)</t>
  </si>
  <si>
    <t>123. Achats du ménage (plus de 500 CFA)</t>
  </si>
  <si>
    <t>123. Sayayya na gida (sama da dala ɗari CFA 500)</t>
  </si>
  <si>
    <t>w_illnesses_opinion</t>
  </si>
  <si>
    <t>124. What to do if someone in your household falls ill</t>
  </si>
  <si>
    <t>124. Que faire si un membre de votre ménage tombe malade</t>
  </si>
  <si>
    <t>124. Abin da za'a yi idan wani a cikin gidanku ya kamu da rashin lafiya</t>
  </si>
  <si>
    <t>Salaried employee</t>
  </si>
  <si>
    <t>Employé salarié</t>
  </si>
  <si>
    <t>69. Accidents and disasters</t>
  </si>
  <si>
    <t>Ma'aikaci mai albashi</t>
  </si>
  <si>
    <t>69. Accidents et catastrophes</t>
  </si>
  <si>
    <t>69. Hatsari da ibtila'i</t>
  </si>
  <si>
    <t>w_attend_school_opinion</t>
  </si>
  <si>
    <t>125. Whether children attend school or not</t>
  </si>
  <si>
    <t>125. Que les enfants soient scolarisés ou non</t>
  </si>
  <si>
    <t>125. Ko za'a rubuta yara makaranta ko a'a</t>
  </si>
  <si>
    <t>Mason</t>
  </si>
  <si>
    <t>Maçon</t>
  </si>
  <si>
    <t>Magini</t>
  </si>
  <si>
    <t>w_migrate_opinion</t>
  </si>
  <si>
    <t>126. Whether you will migrate to find work or stay at home</t>
  </si>
  <si>
    <t>126. Si vous migrez pour trouver du travail ou rester à la maison</t>
  </si>
  <si>
    <t>126. Ko za ku yi tahiya wurin biɗa ko za ku zauna a gida</t>
  </si>
  <si>
    <t>70. Not enough money for basic needs (sucha as food and clothing)</t>
  </si>
  <si>
    <t>70. Pas assez d'argent pour les besoins de base (tels que la nourriture et les vêtements)</t>
  </si>
  <si>
    <t>70. Rashin isassun kuɗi don buƙatun asali (kamar abinci da sutura)</t>
  </si>
  <si>
    <t>wani daban</t>
  </si>
  <si>
    <t>229. Is ${hoh_roster_name} currently enrolled in school?</t>
  </si>
  <si>
    <t>229. Est-ce que ${hoh_roster_name} est actuellement inscrit à l'école ?</t>
  </si>
  <si>
    <t>229. Ko ${hoh_roster_name} yana yin lakwal a halin yanzu?</t>
  </si>
  <si>
    <t>71. Not being able to educate all children</t>
  </si>
  <si>
    <t>w_input_note</t>
  </si>
  <si>
    <t>71. Ne pas pouvoir scolariser tous les enfants</t>
  </si>
  <si>
    <t>71. Rashin iya rubuta dukkan yara a makarantar boko</t>
  </si>
  <si>
    <t>money_transfer</t>
  </si>
  <si>
    <t>Hand cash directly to recipient</t>
  </si>
  <si>
    <t>Remettre l'argent directement au destinataire</t>
  </si>
  <si>
    <t>Bada kudi hannu da hannu kai tsaye ga mai karɓa</t>
  </si>
  <si>
    <t>w_use_money_decide</t>
  </si>
  <si>
    <t>72. Difficulty finding work</t>
  </si>
  <si>
    <t>72. Difficulté à trouver du travail</t>
  </si>
  <si>
    <t>72. Wahalar neman aiki</t>
  </si>
  <si>
    <t>Through a family member or close friend</t>
  </si>
  <si>
    <t>Par l'intermédiaire d'un membre de la famille ou d'un ami proche</t>
  </si>
  <si>
    <t>Ta hanyar dangi ko aboki na kusa</t>
  </si>
  <si>
    <t>w_daily_hh_expenses_decide</t>
  </si>
  <si>
    <t>129. Daily household expenses (less than 500 CFA)</t>
  </si>
  <si>
    <t>129. Dépenses quotidiennes du ménage (moins de 500 CFA)</t>
  </si>
  <si>
    <t>129. Kashe Kuɗin gida na yau da kullum ( Kasa da dala ɗari CFA 500)</t>
  </si>
  <si>
    <t>Through someone you know</t>
  </si>
  <si>
    <t>Par quelqu'un que tu connais</t>
  </si>
  <si>
    <t>Ta hanyar wanda a ka sani</t>
  </si>
  <si>
    <t>w_hh_purchases_decide</t>
  </si>
  <si>
    <t>130. Household purchases (over 500 CFA)</t>
  </si>
  <si>
    <t>130. Achats du ménage (plus de 500 CFA)</t>
  </si>
  <si>
    <t>130. Sayayya na gida (sama da dala ɗari CFA 500)</t>
  </si>
  <si>
    <t>73. Idleness of children or spouse</t>
  </si>
  <si>
    <t>Through an app on a mobile phone</t>
  </si>
  <si>
    <t>73. L'oisiveté des enfants ou du conjoint</t>
  </si>
  <si>
    <t>Via une application sur un téléphone mobile</t>
  </si>
  <si>
    <t>73. Zaman banza na yara ko mata</t>
  </si>
  <si>
    <t>Ta hanyar salula</t>
  </si>
  <si>
    <t>w_job_decide</t>
  </si>
  <si>
    <t>131. What job you do</t>
  </si>
  <si>
    <t>Through an exchange house</t>
  </si>
  <si>
    <t>131. Quel travail tu fais</t>
  </si>
  <si>
    <t>131. Wane aiki kuke yi</t>
  </si>
  <si>
    <t>Par l'intermédiaire d'un bureau de change</t>
  </si>
  <si>
    <t>Ta hanyar wani ofishin canji</t>
  </si>
  <si>
    <t>w_migrate_decide</t>
  </si>
  <si>
    <t>74. Alcohol comsumption of children or spouse</t>
  </si>
  <si>
    <t>74. Consommation d'alcool des enfants ou du conjoint</t>
  </si>
  <si>
    <t>74. Shan giya na yara ko mata</t>
  </si>
  <si>
    <t>Through money transfer companies</t>
  </si>
  <si>
    <t>Compagnies de Transfert (Nita, Alizza, Amana…)</t>
  </si>
  <si>
    <t xml:space="preserve">Other  </t>
  </si>
  <si>
    <t>Wani abu daban</t>
  </si>
  <si>
    <t>220. In the past three months did your household make a significant investment or improvement in the house you reside in?</t>
  </si>
  <si>
    <t>220. &lt;b&gt; Au cours des trois derniers mois&lt;/b&gt;, votre ménage a-t-il fait un investissement important ou des améliorations dans la maison que vous habitez ?</t>
  </si>
  <si>
    <t>220. A cikin watanni uku da suka wuce, gidanku ya saka wani babban jari ko ya gyara gidan da kuke zaune?</t>
  </si>
  <si>
    <t>75. Death of a family member</t>
  </si>
  <si>
    <t>75. Décès d'un membre de la famille</t>
  </si>
  <si>
    <t>75. Mutuwar wani ɗan uwa</t>
  </si>
  <si>
    <t>221. Build additional rooms</t>
  </si>
  <si>
    <t>221. Construire des chambres supplémentaires</t>
  </si>
  <si>
    <t>221. Ginin ƙarin ɗakuna</t>
  </si>
  <si>
    <t>w_married</t>
  </si>
  <si>
    <t>133. The next set of questions are for married women only. Are you married?</t>
  </si>
  <si>
    <t>133. La série de questions suivante s'adresse uniquement aux femmes mariées. Es-tu marié?</t>
  </si>
  <si>
    <t>133. Tambayoyi na gaba na matan aure ne kawai. Ko ki na da aure?</t>
  </si>
  <si>
    <t>76. Debts owed to others</t>
  </si>
  <si>
    <t>goods_transfer</t>
  </si>
  <si>
    <t>76. Dettes envers autrui</t>
  </si>
  <si>
    <t>Hand directly to recipient</t>
  </si>
  <si>
    <t>76. Bashi da wasu ke binku</t>
  </si>
  <si>
    <t>Remettre directement au destinataire</t>
  </si>
  <si>
    <t>Bada tsabar kuɗi hannu da hannu ga mai karɓa</t>
  </si>
  <si>
    <t>w_husband_wife_discuss</t>
  </si>
  <si>
    <t>Ta hanyar dangi ko aboki na kurkusa</t>
  </si>
  <si>
    <t>Ta hanyar wanda ka sani</t>
  </si>
  <si>
    <t>w_discuss_work</t>
  </si>
  <si>
    <t>w_discuss_community</t>
  </si>
  <si>
    <t>136. Things that happen in the community?</t>
  </si>
  <si>
    <t>136. Des choses qui se passent dans la communauté ?</t>
  </si>
  <si>
    <t>136. Abubuwan da ke faruwa a cikin al'umma?</t>
  </si>
  <si>
    <t>The choices worksheet</t>
  </si>
  <si>
    <t>77. Now I will ask about some things that may have happened to you during the past three months.</t>
  </si>
  <si>
    <t>77. Maintenant, je vais vous poser des questions sur certaines choses qui vous sont peut-être arrivées au cours des trois derniers mois.</t>
  </si>
  <si>
    <t>77. Yanzu zan yi tambayoyi game da wasu abubuwa da wataƙila sun faru da ku a cikin watanni uku da suka wuce.</t>
  </si>
  <si>
    <t>emergency</t>
  </si>
  <si>
    <t>78. How often, if at all, were you personally discriminated against based on your identity (ethnicity, religion, nationality)?</t>
  </si>
  <si>
    <t>78. À quelle fréquence, si ça vous est déjà arrivé, avez-vous personnellement été victime de discrimination liée a votre identité (ethnie, religion, nationalité) ?</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</si>
  <si>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</si>
  <si>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78. Sau nawa, idan ya faru a gareku, aka nuna muku wariya dangance da kabilarku, ko addininku, ko ƙasarku2?</t>
  </si>
  <si>
    <t>238. In ${hoh_destination}, what was the name of the city or town that ${hoh_roster_name} moved to?</t>
  </si>
  <si>
    <t>238. À ${hoh_destination}, quel était le nom de la ville dans laquelle ${hoh_roster_name} il a séjourné ?</t>
  </si>
  <si>
    <t>238. A ${hoh_destination}, menene sunan birnin da ${hoh_roster_name} ya zauna?</t>
  </si>
  <si>
    <t>Read about the select_one field type for more information</t>
  </si>
  <si>
    <t>239. Specify other</t>
  </si>
  <si>
    <t>239. Autre à préciser</t>
  </si>
  <si>
    <t>239. Wani daban a Bayyana</t>
  </si>
  <si>
    <t>Serious illness or injury to self</t>
  </si>
  <si>
    <t>Maladie grave ou blessure personnelle</t>
  </si>
  <si>
    <t>79. How often, if ever, have you felt unsafe walking in the neighborhood where you are staying?</t>
  </si>
  <si>
    <t>Mummunan cuta ko rauni</t>
  </si>
  <si>
    <t>79. Combien de fois, vous vous êtes-vous senti en danger en vous promenant dans le quartier où vous séjournez, si cela vous est jamais arrivé ?</t>
  </si>
  <si>
    <t>79. Sau nawa, idan ya faru a gareku, kuka ji kuna cikin hatsari yayin da kuke yawo a cikin unguwar da kuke zaune?</t>
  </si>
  <si>
    <t>240. In ${hoh_destination}, what was the name of the region that ${hoh_roster_name} moved to?</t>
  </si>
  <si>
    <t xml:space="preserve">240. </t>
  </si>
  <si>
    <t>Read about the select_multiple field type for more information</t>
  </si>
  <si>
    <t>Serious injury or illness of household member</t>
  </si>
  <si>
    <t>Blessure grave ou maladie d'un membre du ménage</t>
  </si>
  <si>
    <t>241. Specify other</t>
  </si>
  <si>
    <t>Mummunan rauni ko rashin lafiya na ɗan gida</t>
  </si>
  <si>
    <t>241. Autre à préciser</t>
  </si>
  <si>
    <t>241. Wani daban a Bayyana</t>
  </si>
  <si>
    <t>Read about dynamically loading choice lists from external pre-loaded data</t>
  </si>
  <si>
    <t>242. How many times did ${hoh_roster_name} travel to ${hoh_destination} since ${period}?</t>
  </si>
  <si>
    <t xml:space="preserve">242. </t>
  </si>
  <si>
    <t>Death of household member</t>
  </si>
  <si>
    <t>Décès d'un membre du ménage</t>
  </si>
  <si>
    <t>Mutuwar ɗan gida</t>
  </si>
  <si>
    <t>Loss of asset/livestock due to theft/death/accident</t>
  </si>
  <si>
    <t>Perte de biens/bétail suite à un vol/un décès/un accident</t>
  </si>
  <si>
    <t>Asarar kadara/dabbobi saboda sata/mutuwa/hatsari</t>
  </si>
  <si>
    <t>image:languagename</t>
  </si>
  <si>
    <t>Loss of job or income</t>
  </si>
  <si>
    <t>Perte d'emploi ou de revenu</t>
  </si>
  <si>
    <t>w_discuss_election</t>
  </si>
  <si>
    <t>Ɓadda aiki ko kuɗin shiga</t>
  </si>
  <si>
    <t>137. Who to vote for in local elections?</t>
  </si>
  <si>
    <t>137. Pour qui voter aux élections municipales ?</t>
  </si>
  <si>
    <t>137. Wanene za'a zaɓa a zaɓen ƙananan hukumomi?</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</si>
  <si>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</si>
  <si>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Flood</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</si>
  <si>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</si>
  <si>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Inondation</t>
  </si>
  <si>
    <t>Ambaliyar ruwa</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</si>
  <si>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</si>
  <si>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</si>
  <si>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</si>
  <si>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t>80. Have you experienced any of the following during ${period}?</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</si>
  <si>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</si>
  <si>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80. Avez-vous vécu l'une des situations suivantes depuis le debut de ${period_french} ?</t>
  </si>
  <si>
    <t>80. Ko kun taɓa fuskantar ɗayan waɗannan abubuwan a wannan wurin, lokacin ${period_hausa}?</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</si>
  <si>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</si>
  <si>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Drought</t>
  </si>
  <si>
    <t>Sécheresse</t>
  </si>
  <si>
    <t>Fari</t>
  </si>
  <si>
    <t>w_discuss_invest</t>
  </si>
  <si>
    <t>138. How to you invest your money such as whether to improve your house</t>
  </si>
  <si>
    <t>138. Comment investir votre argent, par exemple pour améliorer votre maison</t>
  </si>
  <si>
    <t>138. Yadda za ku kashe kuɗin ku, kamar gyaran gidanku</t>
  </si>
  <si>
    <t>Pest infestation/crop or livestock disease</t>
  </si>
  <si>
    <t>Infestation des ravageurs/maladie des cultures ou du bétail</t>
  </si>
  <si>
    <t>Bannar kwari / amfanin gona ko cututtukan dabbobi</t>
  </si>
  <si>
    <t>w_discuss_children</t>
  </si>
  <si>
    <t>139. Family planning (when to have children)</t>
  </si>
  <si>
    <t>139. Planification familiale (quand avoir des enfants)</t>
  </si>
  <si>
    <t>139. Tsarin iyali (lokacin ɗaukan ciki)</t>
  </si>
  <si>
    <t>w_spouse_disagree</t>
  </si>
  <si>
    <t>140. Do you and your spouse ever disagree about any of these topics?</t>
  </si>
  <si>
    <t>81. Physical attack</t>
  </si>
  <si>
    <t>140. Vous et votre conjoint avez-vous déjà eu un désaccord sur ces sujets ?</t>
  </si>
  <si>
    <t>81. Attaque physique</t>
  </si>
  <si>
    <t>140. Ko ke da mijnki kun taɓa samun saɓani game da waɗannan batutuwa?</t>
  </si>
  <si>
    <t>Divorce or abandonment by husband</t>
  </si>
  <si>
    <t>81. harin jiki</t>
  </si>
  <si>
    <t>Divorce ou abandon par le mari</t>
  </si>
  <si>
    <t>Saki ko miji ya tsere ya bar mata</t>
  </si>
  <si>
    <t>w_spouse_contentious</t>
  </si>
  <si>
    <t>141. Do these conversations ever get contentious?</t>
  </si>
  <si>
    <t>141. Ces conversations deviennent-elles parfois controversées ?</t>
  </si>
  <si>
    <t>141. Ko waɗannan hirarrakin sun taɓa zama sabani?</t>
  </si>
  <si>
    <t>Cut-off or decrease of remittances to household</t>
  </si>
  <si>
    <t>Manque ou insuffisance des envois de fonds au ménage</t>
  </si>
  <si>
    <t>Rashi ko rage kuɗaɗen da ake turawa gida</t>
  </si>
  <si>
    <t>Unexpected increase in price of food/other essential commodity</t>
  </si>
  <si>
    <t>Augmentation inattendue du prix des aliments/autres produits essentiels</t>
  </si>
  <si>
    <t>Hawan ba zata na farashin abinci/sauran kayan da ake buƙata</t>
  </si>
  <si>
    <t>82. Threat of physical violence/attack</t>
  </si>
  <si>
    <t>82. Menace de violence physique/agression</t>
  </si>
  <si>
    <t>82. Barazanar ​​harin jiki</t>
  </si>
  <si>
    <t>246. In ${hoh_failed_country}, what was the name of the city or town that ${hoh_roster_name} planned to move to?</t>
  </si>
  <si>
    <t xml:space="preserve">246. </t>
  </si>
  <si>
    <t>w_agree_note</t>
  </si>
  <si>
    <t>142. I will read you several statements. Please tell me the extent do you agree/disagree with each:</t>
  </si>
  <si>
    <t>Unexpected decrease in price of commodity/product you sell</t>
  </si>
  <si>
    <t>142. Je vais vous lire plusieurs déclarations. Veuillez me dire dans quelle mesure êtes-vous d'accord/pas d'accord avec chacun :</t>
  </si>
  <si>
    <t>Baisse inattendue du prix de la marchandise/du produit que vous vendez</t>
  </si>
  <si>
    <t>142. Zan karanta muku maganganu da yawa. Da fatan za a gaya mini iya yarda/rishin yarda da kowanne:</t>
  </si>
  <si>
    <t>Faɗuwar ba zata na farashin kayayyaki/abubuwan da kuke saidawa</t>
  </si>
  <si>
    <t>w_respect_decision</t>
  </si>
  <si>
    <t>143. I must always respect decisions taken by my household even if you do not agree</t>
  </si>
  <si>
    <t>143. Je dois toujours respecter les décisions prises par mon ménage même si je ne suis pas d'accord</t>
  </si>
  <si>
    <t>143. Dole ne in mutunta shawarar da gidanmu ya yanke ko da ba ra'ayina ba ne</t>
  </si>
  <si>
    <t>83. Theft of either money or property?</t>
  </si>
  <si>
    <t>83. Vol d'argent ou de propriété?</t>
  </si>
  <si>
    <t>83. Satar kudi ko kaya?</t>
  </si>
  <si>
    <t>w_duty_family</t>
  </si>
  <si>
    <t>144. I should always sacrifice my personal needs and wants to satisfy my parents.</t>
  </si>
  <si>
    <t>144. Je devrais toujours sacrifier mes besoins personnels et vouloir satisfaire mes parents.</t>
  </si>
  <si>
    <t>144. Dole ne ko yaushe in sadaukar da bukatuna na kaina don in gamsar da iyayena.</t>
  </si>
  <si>
    <t>cons_month</t>
  </si>
  <si>
    <t>Education (children, excluding school fees)</t>
  </si>
  <si>
    <t>Education (enfants, hors frais de scolarité)</t>
  </si>
  <si>
    <t>84. Detention or arrest by state security forces?</t>
  </si>
  <si>
    <t>Tarbiya (yara, ban da kuɗin makaranta)</t>
  </si>
  <si>
    <t>84. Détention ou arrestation par les forces de sécurité de l'État ?</t>
  </si>
  <si>
    <t>84. Kaso ko kamu daga jami'an tsaron gwamnati?</t>
  </si>
  <si>
    <t>250. How many times did they plan to migrate to ${hoh_failed_country} and fail?</t>
  </si>
  <si>
    <t xml:space="preserve">250. </t>
  </si>
  <si>
    <t>Education (adults, including vocational training)</t>
  </si>
  <si>
    <t>251. Why did they change their plans?</t>
  </si>
  <si>
    <t>Éducation (adultes, y compris la formation professionnelle)</t>
  </si>
  <si>
    <t>251. Pourquoi a-t-il changé son plan?</t>
  </si>
  <si>
    <t>251. Me yasa ya fasa tafiyar?</t>
  </si>
  <si>
    <t>Ilimi (manya, gami da koyar da sana'a)</t>
  </si>
  <si>
    <t>252. Specify other reason</t>
  </si>
  <si>
    <t>252. Précisez une autre raison</t>
  </si>
  <si>
    <t>252. Baiyana wani dalili daban</t>
  </si>
  <si>
    <t>w_emergency_capital</t>
  </si>
  <si>
    <t>145. If I had an emergency that required 5,000 CFA urgently (within 3 days), I would be able to find the money.</t>
  </si>
  <si>
    <t>145. Si j'avais une urgence qui nécessitait 5 000 CFA en urgence (dans les 3 jours), je serais capable de trouver l'argent.</t>
  </si>
  <si>
    <t>145. Idan ina da biƙatar gaggawa na 5,000 CFA (a cikin kwanaki 3), zan iya samun kuɗin.</t>
  </si>
  <si>
    <t>Healthcare</t>
  </si>
  <si>
    <t>Soins de santé</t>
  </si>
  <si>
    <t>Kiwon lafiya</t>
  </si>
  <si>
    <t>Ceremonies</t>
  </si>
  <si>
    <t>Cérémonies</t>
  </si>
  <si>
    <t>bukukuwa</t>
  </si>
  <si>
    <t>select_one contact_relation</t>
  </si>
  <si>
    <t>w_emergency_who</t>
  </si>
  <si>
    <t>146. What type of person would you go to first for this money?</t>
  </si>
  <si>
    <t>146. Vers quel type de personne iriez-vous en premier pour cet argent ?</t>
  </si>
  <si>
    <t>146. Wane irin mutum ne za ku fara zuwa wurin shi don wannan kuɗin?</t>
  </si>
  <si>
    <t>${w_phys_attacked} = 1 or ${w_phys_threat} = 1 or ${w_theft} = 1 or ${w_arrest} = 1</t>
  </si>
  <si>
    <t>Clothes + shoes</t>
  </si>
  <si>
    <t>Vêtements + chaussures</t>
  </si>
  <si>
    <t>Tufafi + takalma</t>
  </si>
  <si>
    <t>w_emergency_who_o</t>
  </si>
  <si>
    <t>147. Specify your relationship with this person</t>
  </si>
  <si>
    <t>147. Précisez votre relation avec cette personne</t>
  </si>
  <si>
    <t>147. Faɗi dangantakar ku da wannan mutumen</t>
  </si>
  <si>
    <t>w_roles_note</t>
  </si>
  <si>
    <t>w_discuss_women</t>
  </si>
  <si>
    <t>85. Now I would like to ask you to tell me more about your specific experience with:</t>
  </si>
  <si>
    <t>85. J'aimerais maintenant vous demander de m'en dire un peu plus sur votre expérience spécifique avec :</t>
  </si>
  <si>
    <t>85. Yanzu ina so in tambaye ku ƙarin bayani game da abin da ka fuskanta masamman game da:</t>
  </si>
  <si>
    <t>w_influence_note</t>
  </si>
  <si>
    <t>150. In your opinion, how much influence a wife should have over the following decisions within a couple?</t>
  </si>
  <si>
    <t>150. Selon vous, quelle influence une épouse devrait-elle avoir sur les décisions suivantes au sein d'un couple ?</t>
  </si>
  <si>
    <t>150. A ra'ayinka, wane tasiri mace ya kamata ta yi bisa yanke shawarwari da zan zana a tsakanin ta da mijinta?</t>
  </si>
  <si>
    <t>cons_week</t>
  </si>
  <si>
    <t>Food (for household members)</t>
  </si>
  <si>
    <t>Nourriture (pour les membres du ménage)</t>
  </si>
  <si>
    <t>Abinci (ga mutanen gida)</t>
  </si>
  <si>
    <t>select_one husbandwife</t>
  </si>
  <si>
    <t>w_daily_hh_expenses_couple</t>
  </si>
  <si>
    <t>151. Daily household expenses (Less than 500 CFA)</t>
  </si>
  <si>
    <t>151. Dépenses quotidiennes du ménage (Moins de 500 CFA)</t>
  </si>
  <si>
    <t>151. Kashe kashen kuɗin gida na yau da kullun ( Kasa da dala ɗari CFA 500)</t>
  </si>
  <si>
    <t>86. Physical attack</t>
  </si>
  <si>
    <t>86. Attaque physique</t>
  </si>
  <si>
    <t>86. harin jiki</t>
  </si>
  <si>
    <t>If they refuse, enter -888</t>
  </si>
  <si>
    <t>S'il refuse, entrez -888</t>
  </si>
  <si>
    <t>Mobile phone credit + charging</t>
  </si>
  <si>
    <t>Idan ya ƙiya, shigar da -888</t>
  </si>
  <si>
    <t>Crédit mobile + recharge</t>
  </si>
  <si>
    <t>Kuɗin /kiredin kira a salula + caji</t>
  </si>
  <si>
    <t>${w_phys_attacked} = 1</t>
  </si>
  <si>
    <t>245. For ${hoh_emergency_name}
What was the value of the following in CFA?</t>
  </si>
  <si>
    <t>245. Par rapport à ${hoh_emergency_name}
Quelle était la valeur des éléments suivantes en CFA?</t>
  </si>
  <si>
    <t>245. Game da ${hoh_emergency_name}
 Nawa ne kimar waɗannan abubuwan a kuɗin CFA?</t>
  </si>
  <si>
    <t>246. Assets you sold</t>
  </si>
  <si>
    <t>Fuel for home/ cooking (i.e. lighting, electricity, firewood)</t>
  </si>
  <si>
    <t>246. Les actifs que vous avez vendus</t>
  </si>
  <si>
    <t>246. Kadarorin da kuka saida</t>
  </si>
  <si>
    <t>Combustible pour la maison/la cuisine (c.-à-d. éclairage, électricité, bois de chauffage)</t>
  </si>
  <si>
    <t>Makamashi na gidan don / dafa abinci ( haske gida , wutar lantarki, itacen jin wuta)</t>
  </si>
  <si>
    <t>247. Loan(s) you took</t>
  </si>
  <si>
    <t>87. Threat of physical violence/attack</t>
  </si>
  <si>
    <t>247. Les prêt(s) que vous avez contracté</t>
  </si>
  <si>
    <t>87. Menace de violence physique/agression</t>
  </si>
  <si>
    <t>247. Bashin da kuka ɗauka</t>
  </si>
  <si>
    <t>87. Barazanar ​​harin jiki</t>
  </si>
  <si>
    <t>${w_phys_threat} = 1</t>
  </si>
  <si>
    <t>248. Savings you spent?</t>
  </si>
  <si>
    <t>248. L'épargne que vous avez utilisé</t>
  </si>
  <si>
    <t>248. Ajiyar da kuka kashe</t>
  </si>
  <si>
    <t>Fuel for vehicles</t>
  </si>
  <si>
    <t>Carburant pour véhicules</t>
  </si>
  <si>
    <t>Man fetur/isansi na mota</t>
  </si>
  <si>
    <t>253. Now I will ask you about how your household manages its resources.</t>
  </si>
  <si>
    <t>253. Je vais maintenant vous demander comment votre ménage gère ses ressources.</t>
  </si>
  <si>
    <t>253. Yanzu zan tambaye ku yadda gidanku yake sarrafa dukiyoyinshi.</t>
  </si>
  <si>
    <t>88. Theft of either money or property?</t>
  </si>
  <si>
    <t>88. Vol d'argent ou de propriété?</t>
  </si>
  <si>
    <t>88. Satar kudi ko dukiya?</t>
  </si>
  <si>
    <t>254. Do you or another member of the household own this house?</t>
  </si>
  <si>
    <t>254. Est-ce que vous ou un autre membre du ménage êtes propriétaire de cette maison ?</t>
  </si>
  <si>
    <t>254. Shin wannan gidan mallakarku ne kai ko wani dan cikin gidan ?</t>
  </si>
  <si>
    <t>Transportation fare (taxi, moto taxi)</t>
  </si>
  <si>
    <t>${w_theft} = 1</t>
  </si>
  <si>
    <t>Frais de transport (taxi, moto taxi)</t>
  </si>
  <si>
    <t>Kuɗin (taxi, kabu- kabu )</t>
  </si>
  <si>
    <t>255. What is your best estimate of the value of your home in CFA?</t>
  </si>
  <si>
    <t>255. Quelle est votre meilleure estimation de la valeur de votre maison en CFA ?</t>
  </si>
  <si>
    <t>255. A ganinka wannan gidan aƙalla ya yi nawa a kudin CFA ?</t>
  </si>
  <si>
    <t>256. Does your household own the following goods?</t>
  </si>
  <si>
    <t>256. Votre ménage possède-t-il les biens suivants ?</t>
  </si>
  <si>
    <t>256. Ko gidanku na da kadarori masu zuwa?</t>
  </si>
  <si>
    <t>89. Detention or arrest by state security forces?</t>
  </si>
  <si>
    <t>89. Détention ou arrestation par les forces de sécurité de l'État ?</t>
  </si>
  <si>
    <t>89. Kaso ko kamu daga jami'an tsaron gwamnati?</t>
  </si>
  <si>
    <t>257. Does your household own any of the following types of livestock?</t>
  </si>
  <si>
    <t>257. Votre ménage possède-t-il l'un des types de bétail suivants ?</t>
  </si>
  <si>
    <t>Water (to drink)</t>
  </si>
  <si>
    <t>257. ko gidanku yana da ɗaya daga cikin irin wadannan dabbobi?</t>
  </si>
  <si>
    <t>Eau (à boire)</t>
  </si>
  <si>
    <t>Ruwa (don sha)</t>
  </si>
  <si>
    <t>${w_arrest} = 1</t>
  </si>
  <si>
    <t>254. In the last 7 days, have adults gone a whole day without meals?</t>
  </si>
  <si>
    <t>254. Au cours des 7 derniers jours, des adultes sont-ils restés une journée entière sans manger de repas ?</t>
  </si>
  <si>
    <t>254. A cikin kwanaki 7 da suka wuce, ko manya gidanku sun zauna tsawon wuni guda basu ci abinci ba?</t>
  </si>
  <si>
    <t>w_hh_purchases_couple</t>
  </si>
  <si>
    <t>152. Household purchases worth more than 500 CFA</t>
  </si>
  <si>
    <t>152. Achats des ménages d'une valeur supérieure à 500 CFA</t>
  </si>
  <si>
    <t>152. Siyayyar gida na sama da dala ɗari 500 CFA</t>
  </si>
  <si>
    <t>w_fam_plan_couple</t>
  </si>
  <si>
    <t>w_migrate_couple</t>
  </si>
  <si>
    <t>w_vote_couple</t>
  </si>
  <si>
    <t>155. Who to vote for in local elections?</t>
  </si>
  <si>
    <t>155. Pour qui voter aux élections municipales ?</t>
  </si>
  <si>
    <t>155. Wanene za'a zaɓa a zaɓen ƙananan hukumomi?</t>
  </si>
  <si>
    <t>support</t>
  </si>
  <si>
    <t>w_marry_couple</t>
  </si>
  <si>
    <t>156. To whom your daughter should marry?</t>
  </si>
  <si>
    <t>156. Avec qui votre fille devrait-elle se marier ?</t>
  </si>
  <si>
    <t>156. Wa ya kamata ƴarku ta aura?</t>
  </si>
  <si>
    <t>90. I will now ask you about meals people in your household have consumed in the past 7 days.</t>
  </si>
  <si>
    <t>90. Je vais maintenant vous poser des questions sur les repas que les membres de votre ménage ont consommé au cours des 7 derniers jours.</t>
  </si>
  <si>
    <t>90. Yanzu zan tambaye ku bisa abincin da mutanen gidanku suka ci a cikin kwanaki 7 da suka wuce.</t>
  </si>
  <si>
    <t>Action Pour le Bien-Être (APBE)</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</si>
  <si>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</si>
  <si>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</si>
  <si>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</si>
  <si>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The settings worksheet</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</si>
  <si>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</si>
  <si>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</si>
  <si>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261. A ganinka da gonakan da kuka mallaka da na haya da na aro wanda kuka noma a bana sun kai eka nawa?</t>
  </si>
  <si>
    <t>91. In the last 7 days, have adults gone a whole day without meals?</t>
  </si>
  <si>
    <t>ADKOUL</t>
  </si>
  <si>
    <t>91. Au cours des 7 derniers jours, des adultes sont-ils restés une journée entière sans manger de repas ?</t>
  </si>
  <si>
    <t>91. A cikin kwanaki 7 da suka wuce, ko manya gidanku sun zauna tsawon wuni guda basu ci abinci ba?</t>
  </si>
  <si>
    <t>262. How much of this land (in hectares) do you or another member of your household own?</t>
  </si>
  <si>
    <t>262. Quelle superficie de cette terre (en hectares) vous ou un autre membre de votre ménage possédez?</t>
  </si>
  <si>
    <t>262. Eka nawa ne mallakinku cikin wadannan gonakin, ku ko wani ɗan gidanku?</t>
  </si>
  <si>
    <t>w_school_couple</t>
  </si>
  <si>
    <t>157. Children's enrollment in school</t>
  </si>
  <si>
    <t>157. Inscription des enfants à l'école</t>
  </si>
  <si>
    <t>157. Rubuta yara a makaranta</t>
  </si>
  <si>
    <t>AND</t>
  </si>
  <si>
    <t>w_marry_daughter_relig</t>
  </si>
  <si>
    <t>158. Imagine one of your daughters wanted to marry someone of a different religious faith, would you give them your permission?</t>
  </si>
  <si>
    <t>158. Imaginez qu'une de vos filles veuille épouser quelqu'un d'une confession religieuse différente, leur donneriez-vous votre permission ?</t>
  </si>
  <si>
    <t>158. Ku ƙaddara da wata ɗiyarku ta na son ta auri wani mai bin wani addini daban, za ku bada izininku?</t>
  </si>
  <si>
    <t>92. 151a Tsawon kwanaki nawa?</t>
  </si>
  <si>
    <t>. &gt;= 0 and . &lt;= 7</t>
  </si>
  <si>
    <t>ANIMAS SUTURA</t>
  </si>
  <si>
    <t>${w_adults_skip_days} = 1</t>
  </si>
  <si>
    <t>265. How much of this land (in hectares) did you rent during the last agricultural season?</t>
  </si>
  <si>
    <t>265. Quelle superficie de cette terre (en hectares) avez-vous louée au cours de la dernière saison agricole ?</t>
  </si>
  <si>
    <t>This worksheet contains overall settings for your form, all specified in the second row of the worksheet. When you download a form template from your SurveyCTO server, these settings will be pre-filled for you.</t>
  </si>
  <si>
    <t>265. Eka nawa ne kuka yi haya a lokacin noman da ta wuce?</t>
  </si>
  <si>
    <t>Assainissement Total Piloté par la Communauté (ATPC)</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</si>
  <si>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</si>
  <si>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</si>
  <si>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</si>
  <si>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93. In the last 7 days, have adults cut the size of meals or skipped meals?</t>
  </si>
  <si>
    <t>93. Au cours des 7 derniers jours, les adultes ont-ils réduit la taille de leur repas ou les ont-ils sauté?</t>
  </si>
  <si>
    <t>CADEV</t>
  </si>
  <si>
    <t>93. A cikin kwanaki 7 na ƙarshe, ko manyan gidanku sun rage yawan abincin da suka saba ci ko sun tsallake shi?</t>
  </si>
  <si>
    <t>267. Now we will focus on agricultural activities during last agricultural season</t>
  </si>
  <si>
    <t>267. Maintenant, nous allons nous concentrer sur les activités agricoles au cours de la dernière saison agricole</t>
  </si>
  <si>
    <t>267. Yanzu za mu maida hankali kan ayyukan noma a lokacin damanar da ta wuce</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</si>
  <si>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</si>
  <si>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</si>
  <si>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</si>
  <si>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w_marry_son_relig</t>
  </si>
  <si>
    <t>159. Imagine one of your sons wanted to marry someone of a different religious faith, would you give them your permission?</t>
  </si>
  <si>
    <t>159. Imaginez que l'un de vos fils veuille épouser quelqu'un d'une confession religieuse différente, leur donneriez-vous votre permission ?</t>
  </si>
  <si>
    <t>159. Ku ƙaddara da wani ɗanku ya na son ya auri wata ƴa mai bin wani addini daban, za ku bada izininku?</t>
  </si>
  <si>
    <t>CŒUR CITOYEN</t>
  </si>
  <si>
    <t>94. How many days?</t>
  </si>
  <si>
    <t>94. Pendant combien de jours?</t>
  </si>
  <si>
    <t>94. Tsawon kwana nawa?</t>
  </si>
  <si>
    <t>${w_adults_skip_meals} = 1</t>
  </si>
  <si>
    <t>Concern</t>
  </si>
  <si>
    <t>w_marry_daughter_eth</t>
  </si>
  <si>
    <t>CRA</t>
  </si>
  <si>
    <t>95. In the past week how many days have adults in your household consumed animal protein (including fish, meat, poultry)?</t>
  </si>
  <si>
    <t>w_marry_son_eth</t>
  </si>
  <si>
    <t>95. Au cours des 7 derniers jours, combien de fois les adultes de votre ménage ont-ils consommé des protéines animales (y compris poisson, viande, volaille) ?</t>
  </si>
  <si>
    <t>95. A cikin kwanaki 7 da suka wuce sau nawa manyan gidanku suka ci abinci masu gina jiki kamar su kifi ko nama ko kaji?</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</si>
  <si>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</si>
  <si>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</si>
  <si>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</si>
  <si>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</si>
  <si>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</si>
  <si>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FAO</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</si>
  <si>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</si>
  <si>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96. In the last 7 days, have children (&lt;14) gone a whole day without meals?</t>
  </si>
  <si>
    <t>96. Au cours des 7 derniers jours, des enfants (&lt;14) ont-ils passé une journée entière sans manger de repas ?</t>
  </si>
  <si>
    <t>96. A cikin kwana 7 na ƙarshe, ko yara ƴan ƙasa da shekara goma sha huɗu sun zauna tsawon wuni guda ba su ci da abinci ba?</t>
  </si>
  <si>
    <t>Filets Sociaux</t>
  </si>
  <si>
    <t>w_statement_note</t>
  </si>
  <si>
    <t>Help topic: Hiding forms during testing</t>
  </si>
  <si>
    <t>162. Please tell me the degree to which you agree or disagree with the following statements.</t>
  </si>
  <si>
    <t>162. Veuillez me dire dans quelle mesure vous êtes d'accord ou pas d'accord avec les énoncés suivants.</t>
  </si>
  <si>
    <t>162. Yanzu ina son ku gaya mini har zuwa wane matsayi kuka yarda ko baku yarda ba da waɗannan maganganun da zan zana muku.</t>
  </si>
  <si>
    <t>FIM</t>
  </si>
  <si>
    <t>97. 154a Tsawon kwanaki nawa?</t>
  </si>
  <si>
    <t>Help topic: Updating an existing form</t>
  </si>
  <si>
    <t>${w_child_skip_days} = 1</t>
  </si>
  <si>
    <t>w_male_education_priority</t>
  </si>
  <si>
    <t>163. Middle school education for males is more important than middle school education for females.</t>
  </si>
  <si>
    <t>163. L'enseignement secondaire pour les hommes est plus important que l'enseignement secondaire pour les femmes.</t>
  </si>
  <si>
    <t>163. Ilimin koleji ga maza yana da mahimmanci fiye da ilimin koleji ga mata.</t>
  </si>
  <si>
    <t>FIM (Fondation Issoufou Mahamadou)</t>
  </si>
  <si>
    <t>w_equal_rights_inheritance</t>
  </si>
  <si>
    <t>164. Women and men should have equal rights to their inheritance (Women should not be denied their right)</t>
  </si>
  <si>
    <t>164. Les femmes et les hommes devraient avoir des droits égaux à l'héritage (les femmes ne devraient pas être privées de leur droit)</t>
  </si>
  <si>
    <t>164. Ya kamata mata da maza su samu haƙƙi daidai akan gado (Bai Kamata a hana ma mata haƙƙinsu ba)</t>
  </si>
  <si>
    <t>98. In the last 7 days, have children (&lt;14) cut the size of meals or skipped meals?</t>
  </si>
  <si>
    <t>98. Au cours des 7 derniers jours, des enfants (&lt;14) ont-ils réduit la taille de leurs repas ou les ont-ils sauté?</t>
  </si>
  <si>
    <t>98. A cikin kwanaki 7 na ƙarshe, suna da yara (&lt;14) sun rage yawan abinci ko sun rasa gaba ɗaya?</t>
  </si>
  <si>
    <t>GIEEN</t>
  </si>
  <si>
    <t>w_woman_reject_marriage</t>
  </si>
  <si>
    <t>165. A woman can reject a marriage that her family chose for her without her consent</t>
  </si>
  <si>
    <t>165. Une femme peut refuser un mariage que sa famille a choisi pour elle sans son consentement</t>
  </si>
  <si>
    <t>165. Mace za ta iya ƙin auren da danginta suka zaɓa mata idan bata yarda ba</t>
  </si>
  <si>
    <t>99. How many days?</t>
  </si>
  <si>
    <t>99. Pendant combien de jours?</t>
  </si>
  <si>
    <t>99. 155a Tsawon kwana nawa?</t>
  </si>
  <si>
    <t>GIZ/ProEmploi</t>
  </si>
  <si>
    <t>${w_child_skip_meals} = 1</t>
  </si>
  <si>
    <t>Mercy Corps</t>
  </si>
  <si>
    <t>269. Clothing</t>
  </si>
  <si>
    <t>269. Vêtements</t>
  </si>
  <si>
    <t>269. Tufafi</t>
  </si>
  <si>
    <t>100. In the past week how many days have children in your household consumed animal protein (inlcuding fish, meat, poultry)?</t>
  </si>
  <si>
    <t>100. Au cours des 7 derniers jours, combien de fois les enfants de votre ménage ont-ils consommé des protéines animales (y compris poisson, viande, volaille) ?</t>
  </si>
  <si>
    <t>100. A cikin kwanaki 7 da suka gabata sau nawa yara a cikin gidanku suka ci abinci masu gina jiki kamar su kifi, nama, kaji ?</t>
  </si>
  <si>
    <t>NAZARI</t>
  </si>
  <si>
    <t>272. Specify other unit:</t>
  </si>
  <si>
    <t>272. Spécifiez une autre unité :</t>
  </si>
  <si>
    <t>272. Baiyana wani amfanin gonar daban:</t>
  </si>
  <si>
    <t>w_equal_rights_divorce</t>
  </si>
  <si>
    <t>166. Women and men should have equal rights in making the decision to divorce.</t>
  </si>
  <si>
    <t>166. Les femmes et les hommes devraient avoir des droits égaux dans la décision de divorcer.</t>
  </si>
  <si>
    <t>166. Yakamata a ce mata da maza suna da haƙƙi daidai wajen yanke shawarar rabuwar aure.</t>
  </si>
  <si>
    <t>Organisation International pour la Migration (OIM)</t>
  </si>
  <si>
    <t>PARIS</t>
  </si>
  <si>
    <t>w_polygamy</t>
  </si>
  <si>
    <t>PASAN</t>
  </si>
  <si>
    <t>w_gbv</t>
  </si>
  <si>
    <t>271. Specify other:</t>
  </si>
  <si>
    <t>271. Précisez la culture</t>
  </si>
  <si>
    <t>271. Baiyana wani abu daban:</t>
  </si>
  <si>
    <t>275. How many ${hoh_crop_unit_name}s of ${hoh_crop_name} did your household consume?</t>
  </si>
  <si>
    <t>275. Quelle quantité (${hoh_crop_unit_name}) de ${hoh_crop_name} votre ménage a-t-il consommé ?</t>
  </si>
  <si>
    <t>275. Nawa yawan ${hoh_crop_unit_name} na ${hoh_crop_name} gidanku ya cinye?</t>
  </si>
  <si>
    <t>101. Has your household spent money on the following types of expenses in the past month?</t>
  </si>
  <si>
    <t>101. Votre ménage a-t-il dépensé de l'argent pour les types de dépenses suivants au cours du dernier mois ?</t>
  </si>
  <si>
    <t>PASEC</t>
  </si>
  <si>
    <t>101. Shin gidanku ya kashe kuɗi akan irin waɗannan abubuwan a cikin watan da ya gabata?</t>
  </si>
  <si>
    <t>not(selected(., '0') and count-selected(.)&gt; 1)</t>
  </si>
  <si>
    <t>276. The amount you have left (${hoh_qty_left}) is negative. Please return and revise your responses.</t>
  </si>
  <si>
    <t xml:space="preserve">276. </t>
  </si>
  <si>
    <t>PECAP</t>
  </si>
  <si>
    <t>277. Based on your responses, you had ${hoh_qty_left} ${hoh_crop_unit_name} left over. Does this sound correct?</t>
  </si>
  <si>
    <t xml:space="preserve">277. </t>
  </si>
  <si>
    <t>w_gbv_note</t>
  </si>
  <si>
    <t>PICAD</t>
  </si>
  <si>
    <t>not(selected(${w_monthly_consumption_any}, '0'))</t>
  </si>
  <si>
    <t>count-selected(${w_monthly_consumption_any})</t>
  </si>
  <si>
    <t>PICCT</t>
  </si>
  <si>
    <t>PLAN Niger</t>
  </si>
  <si>
    <t>choice-label(${w_monthly_consumption_any}, selected-at(${w_monthly_consumption_any}, index()-1))</t>
  </si>
  <si>
    <t>PRADEL</t>
  </si>
  <si>
    <t>w_neglects_children</t>
  </si>
  <si>
    <t>169. She neglects the children</t>
  </si>
  <si>
    <t>169. Elle néglige les enfants</t>
  </si>
  <si>
    <t>102. How much did your household spend on ${w_item} in the past month (in CFA)?</t>
  </si>
  <si>
    <t>102. Combien votre ménage a-t-il dépensé pour ${w_item} au cours du dernier mois (en CFA) ?</t>
  </si>
  <si>
    <t>PRAPS</t>
  </si>
  <si>
    <t>102. Nawa ne (a CFA) gidanku ya kashe akan ${w_item} cikin watan da ya gabata ?</t>
  </si>
  <si>
    <t>169. Ta yi sakaci da yara</t>
  </si>
  <si>
    <t>. &gt;= 0</t>
  </si>
  <si>
    <t>PRODAF</t>
  </si>
  <si>
    <t>Programme Alimentaire Mondial (PAM)</t>
  </si>
  <si>
    <t>Programme pour la promotion de l'éductaion (PPE)</t>
  </si>
  <si>
    <t>283.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</si>
  <si>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283.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</si>
  <si>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283.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</si>
  <si>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w_argues</t>
  </si>
  <si>
    <t>170. She argues with him</t>
  </si>
  <si>
    <t>170. Elle se dispute avec lui</t>
  </si>
  <si>
    <t>170. Ta yi mishi gardama</t>
  </si>
  <si>
    <t>103. Has your household spent money on the following types of expenses in the past week?</t>
  </si>
  <si>
    <t>103. Votre ménage a-t-il dépensé de l'argent pour les types de dépenses suivants au cours de la semaine dernière ?</t>
  </si>
  <si>
    <t>103. Ko a gidanku an kashe kuɗi akan ire iren waɗannan abubuwan a cikin satin da ya gabata?</t>
  </si>
  <si>
    <t>PROGRES</t>
  </si>
  <si>
    <t>w_refuses_pray</t>
  </si>
  <si>
    <t>171. She refuses to pray</t>
  </si>
  <si>
    <t>171. Elle refuse de prier</t>
  </si>
  <si>
    <t>171. Ta ƙi yin sallah</t>
  </si>
  <si>
    <t>Projet LIRE</t>
  </si>
  <si>
    <t>not(selected(${w_weekly_consumption_any}, '0'))</t>
  </si>
  <si>
    <t>w_burns_food</t>
  </si>
  <si>
    <t>172. She burns the food</t>
  </si>
  <si>
    <t>count-selected(${w_weekly_consumption_any})</t>
  </si>
  <si>
    <t>172. Elle brûle la nourriture</t>
  </si>
  <si>
    <t>172. Ta ƙona abincin</t>
  </si>
  <si>
    <t>Projet Pôles Ruraux (PPR)</t>
  </si>
  <si>
    <t>PROMAP-ADKOUL</t>
  </si>
  <si>
    <t>choice-label(${w_weekly_consumption_any}, selected-at(${w_weekly_consumption_any}, index()-1))</t>
  </si>
  <si>
    <t>277. How many ${hoh_crop_unit_name}s of ${hoh_crop_name} did your household consume?</t>
  </si>
  <si>
    <t>277. Quelle quantité (${hoh_crop_unit_name}) de ${hoh_crop_name} votre ménage a-t-il consommé ?</t>
  </si>
  <si>
    <t>277. Nawa yawan ${hoh_crop_unit_name} na ${hoh_crop_name} gidanku ya cinye?</t>
  </si>
  <si>
    <t>280. Fertilizer</t>
  </si>
  <si>
    <t>280. Engrais</t>
  </si>
  <si>
    <t>280. Takin zamani</t>
  </si>
  <si>
    <t>select_multiple changes</t>
  </si>
  <si>
    <t>w_other_changes</t>
  </si>
  <si>
    <t>104. How much did your household spend on ${w_item_week} in the past week (in CFA)?</t>
  </si>
  <si>
    <t>173. I've asked you a lot of questions about your life in the past period in order to better understand your experiences. Is there anything else that has happened recently to you that has changed your life in an important way?</t>
  </si>
  <si>
    <t>104. Combien votre ménage a-t-il dépensé en ${w_item_week} la semaine dernière (en CFA) ?</t>
  </si>
  <si>
    <t>173. Je vous ai posé beaucoup de questions sur votre vie au cours de la période écoulée afin de mieux comprendre vos expériences. Y a-t-il autre chose qui vous est arrivé récemment qui a changé votre vie de manière importante ?</t>
  </si>
  <si>
    <t>104. Nawa ne gidan ku ya kashe (a CFA) a ${w_item_week} satin da ya gabata ?</t>
  </si>
  <si>
    <t>173. Na yi muku tambayoyi da yawa game da rayuwarku a cikin kwanakin da suka wuce don in gane yanda kuke tahiyar rayuwarku. Ko akwai wani abu da ya faru da ku cikin kwanan nan wanda ya kawo wani mahimmin canji ga rayuwarku ?</t>
  </si>
  <si>
    <t>REVE</t>
  </si>
  <si>
    <t>w_other_change_desc</t>
  </si>
  <si>
    <t>174. Enumerator: Briefly summarize the changes described by the respondent</t>
  </si>
  <si>
    <t>174. Enquêteur : Résumez brièvement les changements décrits par le répondant</t>
  </si>
  <si>
    <t>174. Ɗan bincike: A taƙaice rubuta canje-canjen da mai bada amsa ya gaya maka</t>
  </si>
  <si>
    <t>SNV</t>
  </si>
  <si>
    <t>283. We want to understand how many days people worked in your fields and who did this work.</t>
  </si>
  <si>
    <t>283. Nous voulons comprendre combien de jours des gens ont travaillé dans vos champs et qui a fait ce travail.</t>
  </si>
  <si>
    <t>283. Muna son mu fahimci kwanaki nawa mutane suka yi aiki a gonakinku da kuma wanda ya yi wannan aikin.</t>
  </si>
  <si>
    <t>TATTALI IYALI</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</si>
  <si>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</si>
  <si>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</si>
  <si>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</si>
  <si>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105. For Ramadan, did your household purchase any of the following?</t>
  </si>
  <si>
    <t>105. Pour le Ramadan, votre ménage a-t-il acheté l'un des produits suivants ?</t>
  </si>
  <si>
    <t>UNICEF</t>
  </si>
  <si>
    <t>105. Ga sallar azumi, gidanku ya sayi ɗaya daga cikin wadannan?</t>
  </si>
  <si>
    <t>280. How much did your household spend on the following types of expenses during the last agricultural season in CFA?</t>
  </si>
  <si>
    <t>280. Combien votre ménage a-t-il dépensé pour les types de dépenses suivantes au cours de la dernière saison agricole (en CFA) ?</t>
  </si>
  <si>
    <t>280. Nawa ne gidanku ya kashe akan waɗannan abubuwan a lokacin noman da ya wuce (a sefa)?</t>
  </si>
  <si>
    <t>speedcheck_w_nothoh_end</t>
  </si>
  <si>
    <t>Union Internationale pour la Conservation de la Nature (UICN)</t>
  </si>
  <si>
    <t>281. Seeds</t>
  </si>
  <si>
    <t>281. Semences</t>
  </si>
  <si>
    <t>281. Iri</t>
  </si>
  <si>
    <t>dur_w_nothoh</t>
  </si>
  <si>
    <t>106. Clothing</t>
  </si>
  <si>
    <t>282. Fertilizer</t>
  </si>
  <si>
    <t>106. Vêtements</t>
  </si>
  <si>
    <t>282. Engrais</t>
  </si>
  <si>
    <t>106. Tufafi</t>
  </si>
  <si>
    <t>282. Takin zamani</t>
  </si>
  <si>
    <t>w_private</t>
  </si>
  <si>
    <t>WHH</t>
  </si>
  <si>
    <t>283. Renting machines and tools (i.e. for plowing or spraying)</t>
  </si>
  <si>
    <t>283. Location de machines et d'outils (c'est-à-dire pour labourer ou pulvériser)</t>
  </si>
  <si>
    <t>283. Hayar injina da kayan aiki ( don noma ko feshi)</t>
  </si>
  <si>
    <t>w_private_note</t>
  </si>
  <si>
    <t>Word Vision</t>
  </si>
  <si>
    <t>175.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</si>
  <si>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175.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</si>
  <si>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107. Sheep</t>
  </si>
  <si>
    <t>175.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</si>
  <si>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107. Mouton</t>
  </si>
  <si>
    <t>107. Rago</t>
  </si>
  <si>
    <t>ZARES</t>
  </si>
  <si>
    <t>108. Goat</t>
  </si>
  <si>
    <t>108. Chèvre</t>
  </si>
  <si>
    <t>108. Akuya</t>
  </si>
  <si>
    <t>287.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</si>
  <si>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287.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</si>
  <si>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287. Idan ba za mu iya samun ku ba, ko za ku iya ba mu suna da lambar wayar wani wanda ba na gidanku ba da za mu iya kira don neman lambar ku?
 Za mu kirayi mutumen ne kawai idan bamu sameku ba bayan kira biyu zuwa uku, hakan zai taimaka mana ci gaba da tuntuɓar ku.</t>
  </si>
  <si>
    <t>109. Poultry</t>
  </si>
  <si>
    <t>109. Volaille</t>
  </si>
  <si>
    <t>109. Kaji/zabi</t>
  </si>
  <si>
    <t>286. Can you estimate how many days during the last agricultural season did ${hoh_labor_name} work in field?</t>
  </si>
  <si>
    <t xml:space="preserve">286. </t>
  </si>
  <si>
    <t>288. What is the last name of this person</t>
  </si>
  <si>
    <t>288. Quel est le nom de cette personne</t>
  </si>
  <si>
    <t>mig_countries</t>
  </si>
  <si>
    <t>288. Menene sunan uban wannan mutumen?</t>
  </si>
  <si>
    <t>w_prevent_visit</t>
  </si>
  <si>
    <t>176. visiting your family or friends?</t>
  </si>
  <si>
    <t>176. rendre visite à votre famille ou à vos amis ?</t>
  </si>
  <si>
    <t>176. ziyartar danginku ko abokananku?</t>
  </si>
  <si>
    <t>w_prevent_work</t>
  </si>
  <si>
    <t>177. working outside the household?</t>
  </si>
  <si>
    <t>177. travailler en dehors du ménage ?</t>
  </si>
  <si>
    <t>177. aiki a wajen gidanku?</t>
  </si>
  <si>
    <t>287. Think about a typical week during the last agricultural season. How many days were people working in your fields? This includes work by people who are members of your household and those who are not members of your household.</t>
  </si>
  <si>
    <t>287. Pensez à une semaine typique au cours de la dernière saison agricole. Combien de jours les gens ont-ils travaillé dans vos champs par semaine ? Cela inclut le travail des personnes qui sont membres de votre ménage et celles qui ne le sont pas.</t>
  </si>
  <si>
    <t>287. Ku tuna da mako guda na lokacin damana ta ƙarshe. Kwanaki nawa mutane suke aiki a gonkinku a cikin kowane sati? Wannan ya haɗa da aikin mutanen da ke cikin gidan ku da waɗanda ba 'yan gidan ku ba ne.</t>
  </si>
  <si>
    <t>110. Since our last in person interview (in , was your household negatively affected by any of the following types of events?</t>
  </si>
  <si>
    <t>110. Despuis notre dernière enquête en personne (mai/juin 2024), votre ménage a-t-il été affecté négativement par l'un des types d'événements suivants ?</t>
  </si>
  <si>
    <t>290. How many days did each laborer work in your fields?</t>
  </si>
  <si>
    <t>290. Combien de jours chaque ouvrier a-t-il travaillé dans vos champs ?</t>
  </si>
  <si>
    <t>110. Tun daga tun bayan hirar mu ta ƙarshe a gaba da gaba (Mayu/Yuni 2024), ko gidanku ya fuskanci wani daga cikin matsaloli nan masu zuwa? Zaɓi duk abin da ya dace</t>
  </si>
  <si>
    <t>290. Kwanaki nawa kowane ma'aikaci yayi aiki a gonakinku?</t>
  </si>
  <si>
    <t>Select all that apply</t>
  </si>
  <si>
    <t>Sélectionnez tout ce qui s'y rapporte</t>
  </si>
  <si>
    <t>Zaɓi duk abin da ya dace</t>
  </si>
  <si>
    <t>not(selected(., '0') and count-selected(.) &gt; 1)</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</si>
  <si>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</si>
  <si>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</si>
  <si>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</si>
  <si>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292. Thinking of your expenses related to labor and investment in your fields during the last agricultural season, you spent a total of ${hoh_total_paid} in CFA, is this correct?</t>
  </si>
  <si>
    <t>292. Pour toutes les dépenses pour vos champs dont nous avons parlé, vous avez payé ${hoh_total_paid} en CFA, est-ce correct ?</t>
  </si>
  <si>
    <t>292. Ku tuna da dukkan kuɗaɗen da kuka kashe a kan aikin gona a lokacin aikin noma na ƙarshe, kun kashe jimillar ${hoh_total_paid} a CFA, wannan daidai ne?</t>
  </si>
  <si>
    <t>111. Please briefly describe the event(s) that negatveily affected your household</t>
  </si>
  <si>
    <t>111. Veuillez décrire brièvement le/les événement(s) qui ont eu des effets négatifs sur votre ménage au cours des 3 derniers mois</t>
  </si>
  <si>
    <t>288. Can you estimate how many days during the last agricultural season did ${hoh_labor_name} work in field?</t>
  </si>
  <si>
    <t>111. Da fatan za ku yi taƙaitaccen bayani a kan abin da ya shafi gidan ku</t>
  </si>
  <si>
    <t>288. Pouvez-vous estimer combien de jours au cours de la dernière saison agricole ${hoh_labor_name} a-t-il travaillé dans les champs ?</t>
  </si>
  <si>
    <t>288. Za ku iya ƙiyasin kwanaki nawa a lokacin noman da ya gabata ${hoh_labor_name} ya yi aikin a noma?</t>
  </si>
  <si>
    <t>selected(${w_emergency}, '-777')</t>
  </si>
  <si>
    <t>294. Have any family members worked as a day labor in fields for someone else?</t>
  </si>
  <si>
    <t>294. Pensez à tout membre de votre ménage, y-a t-il des membres de votre ménage qui ont travaillé comme journaliers dans le champs de quelqu'un d'autre ?</t>
  </si>
  <si>
    <t>294. Ko wani ɗan gidanku ya yi aiki a matsayin ɗan barema a gonar wani?</t>
  </si>
  <si>
    <t>289. The following questions about agricultural labor are for the last agricultural season (last 180 days).</t>
  </si>
  <si>
    <t xml:space="preserve">289. </t>
  </si>
  <si>
    <t>w_married_only</t>
  </si>
  <si>
    <t>290. Did you hire anyone outside of your household to work in your fields?</t>
  </si>
  <si>
    <t>290. Avez-vous embauché quelqu'un en dehors de votre ménage pour travailler dans vos champs ?</t>
  </si>
  <si>
    <t>290. Ko kun ɗauki wani dan barema da ba ɗan gidanku ba don yin aiki a gonakinku?</t>
  </si>
  <si>
    <t>w_relationship</t>
  </si>
  <si>
    <t>291. How many different people did you hire people to work in your fields?</t>
  </si>
  <si>
    <t>291. Combien de personnes avez-vous embauchées pour travailler dans vos champs ?</t>
  </si>
  <si>
    <t>not(selected(${w_emergency}, '0'))</t>
  </si>
  <si>
    <t>291. Mutane nawa kuka ɗauka don yin aiki a gonakinku?</t>
  </si>
  <si>
    <t>w_married_note</t>
  </si>
  <si>
    <t>178. The next set of questions are for married women only</t>
  </si>
  <si>
    <t>count-selected(${hoh_emergency})</t>
  </si>
  <si>
    <t>w_relationship_note</t>
  </si>
  <si>
    <t>179. When two people marry or live together, they share both good and bad moments. In your relationship with your husband/partner do the following happen frequently, only sometimes, or never?</t>
  </si>
  <si>
    <t>179. Lorsque deux personnes se marient ou vivent ensemble, elles partagent de bons et de mauvais moments. Dans votre relation avec votre mari/partenaire, les situations suivantes se produisent-elles a quelle frequence?</t>
  </si>
  <si>
    <t>179. Idan mutum biyu suka yi aure ko suna zaune tare, suna raba lokutta masu daɗi da marasa daɗi. A cikin zamantakewarku da mijinki/abokin zaman, ko waɗannan abubuwan suna faruwa kai-aka?</t>
  </si>
  <si>
    <t>if(selected-at(${w_emergency}, index()-1) = '-777', ${w_emergency_o}, choice-label(${w_emergency}, selected-at(${w_emergency}, index()-1)))</t>
  </si>
  <si>
    <t>296. What was the daily wage paid to ${hoh_paid_name} working as a day laborer for someone else in CFA?</t>
  </si>
  <si>
    <t>296. Quel était le salaire journalier payé à ${hoh_paid_name} travaillant comme journalier pour quelqu'un d'autre en CFA ?</t>
  </si>
  <si>
    <t>296. Nawa biyan ${hoh_paid_name} na wuni a lokacin da yake barema a gonar wani a sefa?</t>
  </si>
  <si>
    <t>w_affectionate</t>
  </si>
  <si>
    <t>w_respectful</t>
  </si>
  <si>
    <t>112. In response to ${w_emergency_name}, did you or your household take the following actions?</t>
  </si>
  <si>
    <t>112. En réponse à ${w_emergency_name}, avez-vous vous ou votre ménage pris les mesures suivantes ??</t>
  </si>
  <si>
    <t>112. Dangance da ${w_emergency_name}, ku ko ƴan gindanku kun ɗauki waɗannan matakai?</t>
  </si>
  <si>
    <t>296. Have any family members worked as a day labor in fields for someone else?</t>
  </si>
  <si>
    <t>296. Pensez à tout membre de votre ménage, y-a t-il des membres de votre ménage qui ont travaillé comme journaliers dans le champs de quelqu'un d'autre ?</t>
  </si>
  <si>
    <t>296. Ko wani ɗan gidanku ya yi aiki a matsayin ɗan barema a gonar wani?</t>
  </si>
  <si>
    <t>297. Thinking about the last agricultural season, did you need to pay other expenses we did not ask you about?</t>
  </si>
  <si>
    <t>297. En pensant à la dernière saison agricole, avez-vous dû faire d'autres dépenses dont nous n'avons pas parlé ?</t>
  </si>
  <si>
    <t>297. A tunaninka a lokacin noman da ya gabata, akwai wasu kashe kashen kuɗi da kuka yi wanda ba mu yi zancen su ba?</t>
  </si>
  <si>
    <t>113. Sell assets?</t>
  </si>
  <si>
    <t>113. Vendre des actifs</t>
  </si>
  <si>
    <t>298. What was the expense?</t>
  </si>
  <si>
    <t>113. Saida kadarori</t>
  </si>
  <si>
    <t>298. Quelle était la dépense ?</t>
  </si>
  <si>
    <t>298. wane kashe kuɗi ne ?</t>
  </si>
  <si>
    <t>299. What was the approximate value of ${hoh_ag_exp_other_name} in CFA?</t>
  </si>
  <si>
    <t>299. Quelle était la valeur approximative de ${hoh_ag_exp_other_name} en CFA ?</t>
  </si>
  <si>
    <t>299. Nawa farashin ${hoh_ag_exp_other_name} a wacan lokacin a sefa?</t>
  </si>
  <si>
    <t>305. How interested was the resppondent</t>
  </si>
  <si>
    <t>305. Dans quelle mesure le répondant était-il intéressé</t>
  </si>
  <si>
    <t>305. Yaya kake ganin maida hankalin mai bada amsa yake</t>
  </si>
  <si>
    <t>306. How impatient was the respondent?</t>
  </si>
  <si>
    <t>306. À quel point le répondant était-il impatient ?</t>
  </si>
  <si>
    <t>114. Borrow money?</t>
  </si>
  <si>
    <t>306. Yaya kake ganin rashin haƙurin mai bada amsa?</t>
  </si>
  <si>
    <t>114. Emprunter de l'argent</t>
  </si>
  <si>
    <t>114. Bashin kuɗi</t>
  </si>
  <si>
    <t>w_sitatuations</t>
  </si>
  <si>
    <t>297. Can you estimate how many days ${hoh_paid_name} worked as a day laborer in the fields for someone else?</t>
  </si>
  <si>
    <t>297. Pouvez-vous estimer combien de jours ${hoh_paid_name} a travaillé comme journalier dans les champs d'autres personnes ?</t>
  </si>
  <si>
    <t>297. Za ku iya misalta ko wuni nawa ${hoh_paid_name} yayi aiki a matsayin ma'aikacin barema a gonar wasu mutane?</t>
  </si>
  <si>
    <t>w_situations_note</t>
  </si>
  <si>
    <t>182. Now I am going to ask you about some situations which happen to some women. Please tell me if these apply to your relationship with your husband?</t>
  </si>
  <si>
    <t>182. Maintenant, je vais vous poser des questions sur certaines situations qui arrivent à certaines femmes. Veuillez me dire si cela s'applique à votre relation avec votre mari ?</t>
  </si>
  <si>
    <t>182. To, yanzu zan tambaye ku game da wasu al’amura da suke faruwa ga wasu mata. Ko kun gaya mini idan waɗannan sun shafi zamantakewarku da mijinku?</t>
  </si>
  <si>
    <t>115. Spend your savings?</t>
  </si>
  <si>
    <t>115. Utiliser votre épargne</t>
  </si>
  <si>
    <t>115. Kashe kuɗin ajiyar ku</t>
  </si>
  <si>
    <t>309. Enumerator: Record any comments on the survey</t>
  </si>
  <si>
    <t>309. Enquêteur : Veuillez noter vos commentaires si vous en avez</t>
  </si>
  <si>
    <t xml:space="preserve">309. </t>
  </si>
  <si>
    <t>w_accuse_unfaithful</t>
  </si>
  <si>
    <t>116. Reduce spending on food or change your food consumption?</t>
  </si>
  <si>
    <t>116. Réduire les dépenses alimentaires ou changé des habitudes de consommation ?</t>
  </si>
  <si>
    <t>116. Rage kashe kuɗi akan abinci ko canza abincin da ku ka saba ci?</t>
  </si>
  <si>
    <t>w_not_permit_friends</t>
  </si>
  <si>
    <t>w_limit_fam_contact</t>
  </si>
  <si>
    <t>185. He (tries/tried) to limit your contact with your family?</t>
  </si>
  <si>
    <t>185. Il essaie de limiter vos contacts avec votre famille ?</t>
  </si>
  <si>
    <t>185. Ya na ƙoƙarin ya rage hulɗarku da danginku?</t>
  </si>
  <si>
    <t>travel</t>
  </si>
  <si>
    <t>302. How many ${hoh_livestock_act_name} did you buy?</t>
  </si>
  <si>
    <t>302. Au cours des trois derniers mois, combien de ${hoh_livestock_act_name} avez-vous acheté ?</t>
  </si>
  <si>
    <t>302. ${hoh_livestock_act_name} Nawa kuka saye?</t>
  </si>
  <si>
    <t>bus</t>
  </si>
  <si>
    <t>bas</t>
  </si>
  <si>
    <t>303. How many ${hoh_livestock_act_name} did you sell?</t>
  </si>
  <si>
    <t>303. Au cours des trois derniers mois, combien de ${hoh_livestock_act_name} avez-vous vendu ?</t>
  </si>
  <si>
    <t>303. ${hoh_livestock_act_name} nawa kuka saida?</t>
  </si>
  <si>
    <t>304. How many ${hoh_livestock_act_name} did you consume?</t>
  </si>
  <si>
    <t>304. Au cours des trois derniers mois, combien de ${hoh_livestock_act_name} avez-vous consommé ?</t>
  </si>
  <si>
    <t>304. ${hoh_livestock_act_name} Nawa kuka cinye ?</t>
  </si>
  <si>
    <t>taxi</t>
  </si>
  <si>
    <t>Taxi</t>
  </si>
  <si>
    <t>${w_emerg_sell} = 1 or ${w_emerg_borrow} = 1 or ${w_emerg_spend} = 1</t>
  </si>
  <si>
    <t>on foot</t>
  </si>
  <si>
    <t>à pied</t>
  </si>
  <si>
    <t>302. Total income: ${hoh_total_income}
Does this seem right?</t>
  </si>
  <si>
    <t>a kafa</t>
  </si>
  <si>
    <t>302. Revenu total : ${hoh_total_income}
 Cela vous semble-t-il juste ?</t>
  </si>
  <si>
    <t>302. Jimillar kuɗin shiga: ${hoh_total_income}
 ko kuna ganin hakan yayi daidai?</t>
  </si>
  <si>
    <t>w_actions</t>
  </si>
  <si>
    <t>303. Now we'll ask about income generating activity from animal husbandry in the past three months</t>
  </si>
  <si>
    <t>303. Maintenant, nous allons poser des questions sur l'activité génératrice de revenus liée à l'élevage au cours des trois derniers mois</t>
  </si>
  <si>
    <t>303. Yanzu za mu yi hira game da ayyukan samar da kuɗaɗen shiga na kiwo a cikin watanni uku da suka gabata</t>
  </si>
  <si>
    <t>motorcycle</t>
  </si>
  <si>
    <t>moto</t>
  </si>
  <si>
    <t>babur</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</si>
  <si>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</si>
  <si>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</si>
  <si>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</si>
  <si>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308. In the past three months, did you hire anyone outside your household to care for your animals?</t>
  </si>
  <si>
    <t>308. Au cours des trois derniers mois, avez-vous embauché quelqu'un en dehors de votre ménage pour s'occuper de vos animaux ?</t>
  </si>
  <si>
    <t>308. A cikin watanni uku da suka wuce, Ko kun ɗauki wani wanda ba ɗan gidanku ba don kula da dabbobinku?</t>
  </si>
  <si>
    <t>117. For ${w_emergency_name}
 What was the value of the following in CFA?</t>
  </si>
  <si>
    <t>117. Par rapport à ${w_emergency_name}
 Quelle était la valeur des éléments suivantes en CFA?</t>
  </si>
  <si>
    <t>117. Game da ${w_emergency_name}
 Nawa ne kimar waɗannan abubuwan a kuɗin CFA?</t>
  </si>
  <si>
    <t>309. In the last 3 months, for how many weeks did you hire people to care for your livestock?</t>
  </si>
  <si>
    <t>309. Au cours des trois derniers mois, combien de semaines avez-vous embauché des personnes pour s'occuper de votre bétail ?</t>
  </si>
  <si>
    <t>309. A cikin watanni 3 da suka wuce, sati nawa kuka dauki ƴan aiki don kula da dabbobinku?</t>
  </si>
  <si>
    <t>w_actions_note</t>
  </si>
  <si>
    <t>w_humiliate</t>
  </si>
  <si>
    <t>187. Say or do something to humiliate you in front of others</t>
  </si>
  <si>
    <t>187. Dit ou fait quelque chose pour vous humilier devant les autres</t>
  </si>
  <si>
    <t>187. Fadi ko yin wani abu don wulaƙanta ku a gaban wasu</t>
  </si>
  <si>
    <t>reason_nowork</t>
  </si>
  <si>
    <t>Health reasons</t>
  </si>
  <si>
    <t>Raisons de santé</t>
  </si>
  <si>
    <t>Dalilan lafiya</t>
  </si>
  <si>
    <t>w_threaten</t>
  </si>
  <si>
    <t>118. Assets you sold</t>
  </si>
  <si>
    <t>118. Les actifs que vous avez vendus</t>
  </si>
  <si>
    <t>118. Kadarorin da kuka saida</t>
  </si>
  <si>
    <t>Assets include animals, food stock</t>
  </si>
  <si>
    <t>Par exemple, des animaux, vos stocks alimentaires</t>
  </si>
  <si>
    <t>Kadarorin sun haɗa da dabbobi, ajiyar abinci</t>
  </si>
  <si>
    <t>Studies / school</t>
  </si>
  <si>
    <t>Études / école</t>
  </si>
  <si>
    <t>Karatu / makaranta</t>
  </si>
  <si>
    <t>${w_emerg_sell} = 1</t>
  </si>
  <si>
    <t>312. In the past three months, did any member of your household care for livestock owned by other people?</t>
  </si>
  <si>
    <t>312. Au cours des trois derniers mois, un membre de votre ménage s'est-il occupé du bétail appartenant à d'autres personnes ?</t>
  </si>
  <si>
    <t>312. A cikin watanni uku da suka wuce, akwai wani ɗan gidanku da ya kula da dabbobin wasu mutane?</t>
  </si>
  <si>
    <t>313. In a typical week, how many days did they do this job?</t>
  </si>
  <si>
    <t>313. Au cours d'une semaine normale, combien de jours ont-ils fait ce travail ?</t>
  </si>
  <si>
    <t>313. A cikin mako, kwana nawa suka yi wannan aikin?</t>
  </si>
  <si>
    <t>Took time off for leisure</t>
  </si>
  <si>
    <t>A pris du temps pour les loisirs</t>
  </si>
  <si>
    <t>Ya ɗauki lokaci don nashaɗi</t>
  </si>
  <si>
    <t>314. What was the daily wage paid to household members who cared for livestock owned by other people?</t>
  </si>
  <si>
    <t>314. Quel étaient les frais journaliers payés aux membres de votre ménage qui s'occupent des animaux du bétail appartenant à d'autres personnes en CFA ?</t>
  </si>
  <si>
    <t>314. Nawa ne biyan wuni na ƴan gida masu kula da dabbobin wasu mutane (a kuɗin CFA)?</t>
  </si>
  <si>
    <t>w_push_shake</t>
  </si>
  <si>
    <t>119. Loan(s) you took</t>
  </si>
  <si>
    <t>119. Les prêt(s) que vous avez contracté</t>
  </si>
  <si>
    <t>119. Bashin da kuka ɗauka</t>
  </si>
  <si>
    <t>Could not find work</t>
  </si>
  <si>
    <t>Je n'ai pas trouvé de travail</t>
  </si>
  <si>
    <t>Ban samu aiki ba</t>
  </si>
  <si>
    <t>${w_emerg_borrow} = 1</t>
  </si>
  <si>
    <t>w_slap_twist</t>
  </si>
  <si>
    <t>190. Slap you or twist your arm</t>
  </si>
  <si>
    <t>190. Vous gifler ou vous tordre le bras</t>
  </si>
  <si>
    <t>190. Mari ko murɗa hannunku</t>
  </si>
  <si>
    <t>w_punch</t>
  </si>
  <si>
    <t>120. Savings you spent?</t>
  </si>
  <si>
    <t>120. L'épargne que vous avez utilisé</t>
  </si>
  <si>
    <t>120. Ajiyar da kuka kashe</t>
  </si>
  <si>
    <t>w_kick</t>
  </si>
  <si>
    <t>${w_emerg_spend} = 1</t>
  </si>
  <si>
    <t>w_strangle_burn</t>
  </si>
  <si>
    <t>193. Try to strangle you or burn you</t>
  </si>
  <si>
    <t>193. Essayer de vous étrangler ou de vous brûler</t>
  </si>
  <si>
    <t>193. Yi ƙoƙarin shake ku ko kona ku</t>
  </si>
  <si>
    <t>w_threaten_weapon</t>
  </si>
  <si>
    <t>docs</t>
  </si>
  <si>
    <t>194. threaten you with a knife, gun, or other type of weapon</t>
  </si>
  <si>
    <t>194. Vous menacer avec un couteau, une arme à feu ou tout autre type d'arme</t>
  </si>
  <si>
    <t>194. yi muku barazana da wuka, bindiga, ko wani makami daban</t>
  </si>
  <si>
    <t>320. What type of business is this?</t>
  </si>
  <si>
    <t>320. Quel type d'entreprise est-ce?</t>
  </si>
  <si>
    <t>320. Wane irin kasuwanci ne?</t>
  </si>
  <si>
    <t>w_attack_weapon</t>
  </si>
  <si>
    <t>195. attack you with a knife, gun, or other type of weapon</t>
  </si>
  <si>
    <t>195. Vous attaquer avec un couteau, une arme à feu ou tout autre type d'arme</t>
  </si>
  <si>
    <t>195. Kawo muku hari da wuka, bindiga, ko wani makami daban</t>
  </si>
  <si>
    <t>Birth certificate</t>
  </si>
  <si>
    <t>Extrait de naissance</t>
  </si>
  <si>
    <t>Takardar shaidar haihuwa</t>
  </si>
  <si>
    <t>w_sexual_assault</t>
  </si>
  <si>
    <t>196. force you to perform sexual actswith him even when you did not want to</t>
  </si>
  <si>
    <t>Passport</t>
  </si>
  <si>
    <t>196. vous forcer à accomplir des actes sexuels avec lui même lorsque vous ne le vouliez pas</t>
  </si>
  <si>
    <t>Passeport</t>
  </si>
  <si>
    <t>Fasfo</t>
  </si>
  <si>
    <t>196. tilasta muku ka yin jima'i da shi ko da ba ki da buƙata</t>
  </si>
  <si>
    <t>National ID card</t>
  </si>
  <si>
    <t>Carte d'identité nationale</t>
  </si>
  <si>
    <t>Katin ID na kasa</t>
  </si>
  <si>
    <t>315. In a typical week, how many days did they do this job?</t>
  </si>
  <si>
    <t>315. Au cours d'une semaine normale, combien de jours ont-ils fait ce travail ?</t>
  </si>
  <si>
    <t>315. A cikin mako, kwana nawa suka yi wannan aikin?</t>
  </si>
  <si>
    <t>316. What was the daily wage paid to household members who cared for livestock owned by other people?</t>
  </si>
  <si>
    <t>316. Quel étaient les frais journaliers payés aux membres de votre ménage qui s'occupent des animaux du bétail appartenant à d'autres personnes en CFA ?</t>
  </si>
  <si>
    <t>316. Nawa ne biyan wuni na ƴan gida masu kula da dabbobin wasu mutane (a kuɗin CFA)?</t>
  </si>
  <si>
    <t>w_enum_note</t>
  </si>
  <si>
    <t>Vaccine booklet</t>
  </si>
  <si>
    <t>197. Enumerator: THANK THE RESPONDENT FOR HER COOPERATION AND REASSURE HER ABOUT THE CONFIDENTIALITY OF HER ANSWERS.</t>
  </si>
  <si>
    <t>Carnet de vaccins</t>
  </si>
  <si>
    <t>197. Enquêteur : REMERCIER LA RÉPONDANTE POUR SA COOPÉRATION ET LA RASSURER SUR LA CONFIDENTIALITÉ DE SES RÉPONSES.</t>
  </si>
  <si>
    <t>Littafin rigakafi</t>
  </si>
  <si>
    <t>197. Ɗan bincike: Ka gode wa mai bada amsa bisa haɗin kai da kuma ka tabbatar mata game da kiyaye SIRRIN HIRAR A KA YI DA ITA.</t>
  </si>
  <si>
    <t>121. I would like to ask your opinion about a several different topics. There are no right answers to these questions, we just want to understand what you think.</t>
  </si>
  <si>
    <t>121. J'aimerais vous demander votre avis sur plusieurs sujets différents. Il n'y a pas de bonnes réponses à ces questions, nous voulons juste comprendre ce que vous pensez.</t>
  </si>
  <si>
    <t>121. Ina so in tambayi ra'ayin ku game bisa batutuwa daban-daban. Babu amsoshin da suka dace ga waɗannan tambayoyin, muna son mu fafimci ra'ayinki ne kawai.</t>
  </si>
  <si>
    <t>ECOWAS ID card</t>
  </si>
  <si>
    <t>Carte d'identité CEDEAO</t>
  </si>
  <si>
    <t>Katin ID na ECOWAS</t>
  </si>
  <si>
    <t>318. Do you or another member of your household own land that is currently not used for agriculture, outside of your current home?</t>
  </si>
  <si>
    <t>318. Est-ce que vous ou un autre membre de votre ménage possédez des terres qui ne sont actuellement pas utilisées pour l'agriculture, en dehors de votre domicile actuel ?</t>
  </si>
  <si>
    <t>318. Shin kai ko wani na gidanku kuna da wasu hilaye wanda ba na noma ba bancin gidanku da kuke ciki a halin yanzu?</t>
  </si>
  <si>
    <t>speedcheck_w_end</t>
  </si>
  <si>
    <t>Travel visa</t>
  </si>
  <si>
    <t>Visa de voyage</t>
  </si>
  <si>
    <t>319. In the past three months, what is the total revenue from rent of land or other property in CFA?</t>
  </si>
  <si>
    <t>Visa ta balaguro</t>
  </si>
  <si>
    <t>319. Au cours des trois derniers mois, quel a été le revenu total provenant de la location d'un terrain ou d'une autre propriété en CFA?</t>
  </si>
  <si>
    <t>319. A cikin watanni uku da suka gabata, menene jimillar kuɗin da aka samu ta hanyar hayan filaye ko wasu kadarori (a sefa)?</t>
  </si>
  <si>
    <t>dur_w</t>
  </si>
  <si>
    <t>320. In the past three months, what is the total value of interest from loans you have given to others in CFA?</t>
  </si>
  <si>
    <t>320. Au cours des trois derniers mois, quelle est la valeur totale des intérêts des prêts que vous avez accordés à d'autres en CFA?</t>
  </si>
  <si>
    <t>320. A cikin watanni uku da suka gabata, nawa ne jimillar kudin ruwan basussuka da kuka baiwa wasu (a sefa)?</t>
  </si>
  <si>
    <t>325. In a typical week during the past three months, how many days did ${hoh_biz_name} work in the household business?</t>
  </si>
  <si>
    <t xml:space="preserve">325. </t>
  </si>
  <si>
    <t>122. I would like to ask you about how decisions are made in your household. Please tell me to what degree does your opinion matter in decisions related to the following topics:</t>
  </si>
  <si>
    <t>122. Je voudrais vous poser quelques quetions sur la prise de décision dans votre ménage, dans quelle mesure votre opinion compte-t-elle dans les décisions liées aux sujets suivants :</t>
  </si>
  <si>
    <t>122. Ina son in tambaye ku yadda ake yanke hukunci a gidanku. Da fatan za ku gaya mani matsayin ra'ayinku a yanke shawara bisa abubuwa masu zuwa:</t>
  </si>
  <si>
    <t>321. Does anyone in the household fully, or partly own and operate an income generating activity that is not farming or herding? (i.e. a shop where you sell goods, restaurant, butcher shop)?</t>
  </si>
  <si>
    <t>321. Quelqu'un dans le ménage possède-t-il entièrement ou partiellement une activité génératrice de revenus autre que l'agriculture ou l'élevage ? (C'est-à-dire un magasin où vous vendez des marchandises, un restaurant, une boucherie) ?</t>
  </si>
  <si>
    <t>321. Ko akwai wani ɗan gidanku mai sana'a wanda jarin gaba daya nashi ko na hadin gwiwa ne banda noma da kiyo? ( kantin saida kaya, gidan abinci, fawa)?</t>
  </si>
  <si>
    <t>speedcheck_hoh_start</t>
  </si>
  <si>
    <t>322. What type of business is this?</t>
  </si>
  <si>
    <t>322. Quel type d'entreprise est-ce?</t>
  </si>
  <si>
    <t>322. Wane irin kasuwanci ne?</t>
  </si>
  <si>
    <t>hoh_questions</t>
  </si>
  <si>
    <t>123. How to use money that you earn</t>
  </si>
  <si>
    <t>123. Comment utiliser l'argent que vous gagnez</t>
  </si>
  <si>
    <t>123. Yadda ake amfani da kuɗin da kuke samu</t>
  </si>
  <si>
    <t>HoH Questionnaire</t>
  </si>
  <si>
    <t>323. Specify other</t>
  </si>
  <si>
    <t>323. Autre à préciser :</t>
  </si>
  <si>
    <t>323. Baiyana wani abu daban:</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</si>
  <si>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</si>
  <si>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</si>
  <si>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327. Tuna da dukkan kuɗin da aka kashe don wannan kasuwancin, nawa ne jimillar kuɗin da kuka kashe a kan wannan kasuwancin a cikin watanni uku da suka wuce?</t>
  </si>
  <si>
    <t>hoh_note</t>
  </si>
  <si>
    <t>124. Daily household expenses (Less than 500 CFA)</t>
  </si>
  <si>
    <t>124. Dépenses quotidiennes du ménage (Moins de 500 CFA)</t>
  </si>
  <si>
    <t>124. Kashe Kuɗin gidan na yau da kullum ( Kasa da dala ɗari CFA 500)</t>
  </si>
  <si>
    <t>hhmembers</t>
  </si>
  <si>
    <t>125. Household purchases (over 500 CFA)</t>
  </si>
  <si>
    <t>125. Achats du ménage (plus de 500 CFA)</t>
  </si>
  <si>
    <t>125. Sayayya na gida (sama da dala ɗari CFA 500)</t>
  </si>
  <si>
    <t>325. How many people outside of your household do you employ in this business?</t>
  </si>
  <si>
    <t>325. Combien de personnes en dehors de votre ménage employez-vous dans cette entreprise ?</t>
  </si>
  <si>
    <t>325. Mutane nawa ne kuka dauka aiki banda ƴan gidan a wannan kasuwancin?</t>
  </si>
  <si>
    <t>hoh_roster_label</t>
  </si>
  <si>
    <t>Create line separate list of hh members</t>
  </si>
  <si>
    <t>326. How much do you pay per day for people to work in this business in CFA?</t>
  </si>
  <si>
    <t>326. Combien payez-vous par jour pour que les gens travaillent dans cette entreprise (en CFA) ?</t>
  </si>
  <si>
    <t>326. Nawa kuke biyan su a wuni (a sefa) ?</t>
  </si>
  <si>
    <t>126. What to do if someone in your household falls ill</t>
  </si>
  <si>
    <t>126. Que faire si un membre de votre ménage tombe malade</t>
  </si>
  <si>
    <t>126. Abin da za'a yi idan wani a cikin gidanku ya kamu da rashin lafiya</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</si>
  <si>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</si>
  <si>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</si>
  <si>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</si>
  <si>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hoh_hhmem_index</t>
  </si>
  <si>
    <t>327. In a typical week during the past three months, how many days did ${hoh_biz_name} work in the household business?</t>
  </si>
  <si>
    <t>327. Au cours d'une semaine normale au cours des trois derniers mois, combien de jours ${hoh_biz_name} a-t-il travaillé dans l'entreprise familiale ?</t>
  </si>
  <si>
    <t>127. Whether children attend school or not</t>
  </si>
  <si>
    <t>327. Kwanaki nawa a cikin kowane mako guda a cikin watanni uku da suka gabata, ${hoh_biz_name} yayi aiki a cikin kasuwancin gida?</t>
  </si>
  <si>
    <t>127. Que les enfants soient scolarisés ou non</t>
  </si>
  <si>
    <t>127. Ko za'a rubuta yara makaranta ko a'a</t>
  </si>
  <si>
    <t>332. Specify the activity</t>
  </si>
  <si>
    <t>332. Précisez l'activité</t>
  </si>
  <si>
    <t>332. Baiyana aikin</t>
  </si>
  <si>
    <t>333. How much does ${hoh_member_act_name} earn from this activity during an average week (that they are engaged in ${hoh_member_other_activity_name})?</t>
  </si>
  <si>
    <t>333. Combien ${hoh_member_act_name} gagne-t-il grâce à cette activité au cours d'une semaine en moyenne (pendant laquelle il est engagé comme ${hoh_member_other_activity_name}) ?</t>
  </si>
  <si>
    <t>travail domestique</t>
  </si>
  <si>
    <t>333. A takaice nawa ${hoh_member_act_name} yake samu daga wannan aiki a cikin sati (a lokacin da suke cikin aikin ${hoh_member_other_activity_name})?</t>
  </si>
  <si>
    <t>128. Whether you will migrate to find work or stay at home</t>
  </si>
  <si>
    <t>128. Si vous migrez pour trouver du travail ou rester à la maison</t>
  </si>
  <si>
    <t>hoh_hhmem_name</t>
  </si>
  <si>
    <t>128. Ko za ku yi tahiya wurin biɗa ko za ku zauna a gida</t>
  </si>
  <si>
    <t>328. Thinking about all of the revenues from this business in the past three months, what was the total amount of money coming in from this business in the last three months?</t>
  </si>
  <si>
    <t>328. Pense à tous les revenus de cette entreprise au cours des trois derniers mois, quel a été le montant total provenant de cette entreprise au cours des trois derniers mois ?</t>
  </si>
  <si>
    <t>328. Tuna da dukkan kuɗaɗen shiga na wannan kasuwancin a cikin watanni uku da suka wuce, nawa ne yawan kuɗin da aka samu daga wannan kasuwancin a cikin watanni uku da suka wuce?</t>
  </si>
  <si>
    <t>hoh_hhmem_age</t>
  </si>
  <si>
    <t>329. Thinking about all of the the expenses from this business, what was the total amount of money you spent on costs related to this business in the last three months?</t>
  </si>
  <si>
    <t>329. Pense à toutes les dépenses de cette entreprise, quel a été le montant total que vous avez dépensé pour les coûts liés à cette entreprise au cours des trois derniers mois ?</t>
  </si>
  <si>
    <t>329. Tuna da dukkan kuɗin da aka kashe don wannan kasuwancin, nawa ne jimillar kuɗin da kuka kashe a kan wannan kasuwancin a cikin watanni uku da suka wuce?</t>
  </si>
  <si>
    <t>hoh_hhmem_sex</t>
  </si>
  <si>
    <t>330. Thinking about all the revenue and expense related to this business during the past three months, you said that the net income from this business for your household is ${hoh_biz_income}. Is that correct?</t>
  </si>
  <si>
    <t>330. En pensant à tous les revenus de cette entreprise et à toutes les dépenses, vous dites que la bénéfice net de cette entreprise au cours des trois derniers mois est ${hoh_biz_income}, est-ce exact ?</t>
  </si>
  <si>
    <t>330. Ku tuna da dukkan kuɗaɗen shiga da kashe kashen kuɗi da suka shafi wannan kasuwancin a cikin watanni uku da suka wuce. Kun ce yawan riban wannan kasuwancin shine ${hoh_biz_income}. Ko hakan daidai ne?</t>
  </si>
  <si>
    <t>hoh_hhmem</t>
  </si>
  <si>
    <t>331. We have discussed work done by members of your household in agriculture, in husbandry, in a business owned by your family.</t>
  </si>
  <si>
    <t>331. Nous avons discuté du travail effectué par les membres de votre ménage dans l'agriculture, l'élevage, dans une entreprise appartenant à votre famille.</t>
  </si>
  <si>
    <t>331. “Mun tattauna bisa ayyukan da ƴan gidanku suka yi a harakar noma da kiwo, kasuwancin da ƴan gidanku suka mallaka.</t>
  </si>
  <si>
    <t>w_input</t>
  </si>
  <si>
    <t>336. In the past three months, have you or anyone in your household received money from someone who is not a member of your household and who lives elsewhere in Niger (outside your village)?</t>
  </si>
  <si>
    <t>336. Au cours des trois derniers mois, vous ou un membre de votre ménage avez reçu &lt;b&gt;de l'argent&lt;/b&gt; d'une personne qui n'est pas membre de votre ménage et qui habite &lt;b&gt;ailleurs au Niger&lt;/b&gt; (en dehors de votre village)?</t>
  </si>
  <si>
    <t>336. A cikin watanni uku da suka wuce, kai ko ɗan gidanku kun samu kuɗi daga wani da ba ɗan gidanku ba wanda yake zaune a wani gari a Nijar (wajen kauyenku)?</t>
  </si>
  <si>
    <t>332. In the past three months, did ${hoh_member_act_name} earn money from any other activity?</t>
  </si>
  <si>
    <t>332. Au cours des trois derniers mois, ${hoh_member_act_name} a-t-il gagné de l'argent grâce à une autre activité ?</t>
  </si>
  <si>
    <t>332. A cikin watanni uku da suka gabata, ${hoh_member_act_name} ya samu kuɗi daga yin wani aiki?</t>
  </si>
  <si>
    <t>hoh_roster_list</t>
  </si>
  <si>
    <t>333. What was the activity?</t>
  </si>
  <si>
    <t>333. Quelle était l'activité ?</t>
  </si>
  <si>
    <t>333. Menene aikin?</t>
  </si>
  <si>
    <t>speedcheck_hoh_rosternew_start</t>
  </si>
  <si>
    <t>129. Can you make your own decisions, without the input of anyone else if you want to regarding:</t>
  </si>
  <si>
    <t>129. Pouvez-vous prendre vos propres décisions, sans l'intervention de quelqu'un d'autre, si vous le souhaitez concernant :</t>
  </si>
  <si>
    <t>129. Za ku iya yanke shawara da kanku, ba tare da sa bakin wani ba idan kuna so dangance da:</t>
  </si>
  <si>
    <t>334. Specify the activity</t>
  </si>
  <si>
    <t>334. Précisez l'activité</t>
  </si>
  <si>
    <t>334. Baiyana aikin</t>
  </si>
  <si>
    <t>340. In the past three months, have you or anyone in your household received goods (payment in kind) from someone who is not a member of your household and who lives elsewhere in Niger (outside your village)?</t>
  </si>
  <si>
    <t>340. Au cours des trois derniers mois, vous ou un membre de votre ménage avez reçu &lt;b&gt;des biens&lt;/b&gt; (paiement en nature) d'une personne qui n'est pas membre de votre ménage et qui habite &lt;b&gt;ailleurs au Niger&lt;/b&gt; (en dehors de votre village)?</t>
  </si>
  <si>
    <t>340. A cikin watanni ukun da suka wuce, kai ko wani a cikin gidanku kun karɓi kaya (a matsayin biya) daga wani wanda ba ɗan gidanku ba ne kuma yana zaune a wani wuri a Nijar (Ba'a garinku ba)?</t>
  </si>
  <si>
    <t>hoh_definition_note</t>
  </si>
  <si>
    <t>130. How to use money that you earn</t>
  </si>
  <si>
    <t>130. Comment utiliser l'argent que vous gagnez</t>
  </si>
  <si>
    <t>130. Yadda ake amfani da kuɗin da kuke samu</t>
  </si>
  <si>
    <t>131. Daily household expenses (less than 500 CFA)</t>
  </si>
  <si>
    <t>131. Dépenses quotidiennes du ménage (moins de 500 CFA)</t>
  </si>
  <si>
    <t>131. Kashe Kuɗin gida na yau da kullum ( Kasa da dala ɗari CFA 500)</t>
  </si>
  <si>
    <t>hoh_new_hh_mems</t>
  </si>
  <si>
    <t>200. Are there new members in the household since we last spoke to you? For reference, these are the members you mentioned:
 ${hoh_roster_list}</t>
  </si>
  <si>
    <t>200. Y a-t-il de nouveaux membres dans le foyer depuis notre dernière conversation ? Pour référence, voici les membres que vous avez mentionnés : 
 ${hoh_roster_list}</t>
  </si>
  <si>
    <t>200. Shin akwai sabbin membobi a gidan tun da muka yi magana da ku a ƙarshe? Don tunani, waɗannan su ne membobin da ka ambata: 
 ${hoh_roster_list}</t>
  </si>
  <si>
    <t>hoh_new_hh_mems_num</t>
  </si>
  <si>
    <t>nopay</t>
  </si>
  <si>
    <t>201. How many?</t>
  </si>
  <si>
    <t>201. Combien?</t>
  </si>
  <si>
    <t>201. Nawa?</t>
  </si>
  <si>
    <t>Family business / land</t>
  </si>
  <si>
    <t>Entreprise familiale / terre</t>
  </si>
  <si>
    <t>Kasuwancin iyali / ƙasa</t>
  </si>
  <si>
    <t>132. Household purchases (over 500 CFA)</t>
  </si>
  <si>
    <t>132. Achats du ménage (plus de 500 CFA)</t>
  </si>
  <si>
    <t>132. Sayayya na gida (sama da dala ɗari CFA 500)</t>
  </si>
  <si>
    <t>344. In the past three months, have you or anyone in your household received money from someone who is not a member of your household and who lives in a foreign country (outside of Niger)?</t>
  </si>
  <si>
    <t>344. Au cours des trois derniers mois, vous ou un membre de votre ménage avez-vous reçu &lt;b&gt;de l'argent&lt;/b&gt; d'une personne qui n'est pas membre de votre ménage et qui habite &lt;b&gt;à l'extérieur du Niger&lt;/b&gt; (dans un autre pays)?</t>
  </si>
  <si>
    <t>344. A cikin watanni uku da suka wuce, kai ko dan gidanku kun samu kuɗi daga wanda ba dan gidanku ba da ke zaune a ƙetaren Nijar (a wata kasa)?</t>
  </si>
  <si>
    <t>Employer refused to pay me</t>
  </si>
  <si>
    <t>L'employeur a refusé de me payer</t>
  </si>
  <si>
    <t>345. How much in total did members of your household receive from people out of Niger?</t>
  </si>
  <si>
    <t>345. Combien au total les membres de votre ménage ont-ils reçu des personnes qui ne sont pas au Niger ?</t>
  </si>
  <si>
    <t>Mai gida ya ƙi biya na</t>
  </si>
  <si>
    <t>345. Nawa ne yan gidanku ya samu daga mutanen da ke zaune a ƙasar waje ba Nijar ba?</t>
  </si>
  <si>
    <t>133. What job you do</t>
  </si>
  <si>
    <t>133. Quel travail tu fais</t>
  </si>
  <si>
    <t>133. Wane aiki kuke yi</t>
  </si>
  <si>
    <t>346. How was this money transmitted to your household?</t>
  </si>
  <si>
    <t>346. Comment cet argent a-t-il été envoyé à votre ménage ?</t>
  </si>
  <si>
    <t>346. Ta wace hanya aka aikawa gidanku wannan kuɗin ?</t>
  </si>
  <si>
    <t>347. Specify other transfer method</t>
  </si>
  <si>
    <t>347. Précisez la méthode du transfert</t>
  </si>
  <si>
    <t>347. Wani daban a Bayyana</t>
  </si>
  <si>
    <t>Paid out debt through work</t>
  </si>
  <si>
    <t>348. In the past three months, have you or anyone in your household received goods (payment in kind) from someone who is not a member of your household and who lives in a foreign country (outside of Niger)?</t>
  </si>
  <si>
    <t>348. Au cours des trois derniers mois, vous ou un membre de votre ménage avez reçu &lt;b&gt;des biens&lt;/b&gt; (paiement en nature) d'une personne qui n'est pas membre de votre ménage et qui habite &lt;b&gt;à l'extérieur du Niger&lt;/b&gt; (dans un autre pays)?</t>
  </si>
  <si>
    <t>348. A cikin wata uku da suka wuce, kai ko wani a cikin gidanku an baku wasu kaya (a matsayin biya) daga wani wanda ba ɗan gidanku ba da ke zaune a ƙetaren Nijar (a wata kasa)?</t>
  </si>
  <si>
    <t>Rembourser la dette par le travail</t>
  </si>
  <si>
    <t>Biyan bashi ta hanyar aiki</t>
  </si>
  <si>
    <t>349. What was the value of the goods members of your household receive from people out of Niger?</t>
  </si>
  <si>
    <t>134. Whether you will migrate to find work</t>
  </si>
  <si>
    <t>349. Quel était la valeur au totale des biens que les membres de votre ménage ont reçu des personnes qui ne sont pas au Niger ?</t>
  </si>
  <si>
    <t>134. Si vous migrez pour trouver du travail</t>
  </si>
  <si>
    <t>349. Nawa kimar kayan da ƴan gidanku suka samo daga mutanen da ke zaune a ƙasar waje ba Nijar ba?</t>
  </si>
  <si>
    <t>134. Ko za ku yi tahiya don neman aiki</t>
  </si>
  <si>
    <t>hoh_roster_new</t>
  </si>
  <si>
    <t>Add new members to existing roster</t>
  </si>
  <si>
    <t>338. In the past three months, have you or anyone in your household received money from someone who is not a member of your household and who lives elsewhere in Niger (outside your village)?</t>
  </si>
  <si>
    <t>338. Au cours des trois derniers mois, vous ou un membre de votre ménage avez reçu &lt;b&gt;de l'argent&lt;/b&gt; d'une personne qui n'est pas membre de votre ménage et qui habite &lt;b&gt;ailleurs au Niger&lt;/b&gt; (en dehors de votre village)?</t>
  </si>
  <si>
    <t>338. A cikin watanni uku da suka wuce, kai ko ɗan gidanku kun samu kuɗi daga wani da ba ɗan gidanku ba wanda yake zaune a wani gari a Nijar (wajen kauyenku)?</t>
  </si>
  <si>
    <t>hoh_hhindex</t>
  </si>
  <si>
    <t>Index</t>
  </si>
  <si>
    <t>Self-employed but did not earn profit</t>
  </si>
  <si>
    <t>Indépendant mais n'a pas réalisé de profit</t>
  </si>
  <si>
    <t>Mai aikin kansa amma bai samu riba ba</t>
  </si>
  <si>
    <t>339. How much in total did members of your household receive from people elsewhere in Niger (in CFA)?</t>
  </si>
  <si>
    <t>339. Combien au total les membres de votre ménage ont-ils reçu des personnes qui sont quelques part au Niger (en USD)?</t>
  </si>
  <si>
    <t>339. Nawa ne ƴan gidanku suka samu daga wasu matanen da ke wani gari a Nijar (in CFA)?</t>
  </si>
  <si>
    <t>hoh_hhtext</t>
  </si>
  <si>
    <t>340. How was this money transmitted to your household?</t>
  </si>
  <si>
    <t>340. Comment cet argent a-t-il été envoyé à votre ménage ?</t>
  </si>
  <si>
    <t>340. Ta wace hanya aka aikawa gidanku wannan kuɗin ?</t>
  </si>
  <si>
    <t>hoh_hhtextfrench</t>
  </si>
  <si>
    <t>Apprenticeship</t>
  </si>
  <si>
    <t>Apprentissage</t>
  </si>
  <si>
    <t>Koyo</t>
  </si>
  <si>
    <t>341. Specify other transfer method</t>
  </si>
  <si>
    <t>341. Précisez la méthode du transfert</t>
  </si>
  <si>
    <t>341. Wani daban a Bayyana</t>
  </si>
  <si>
    <t>hoh_hhtexthausa</t>
  </si>
  <si>
    <t>342. In the past three months, have you or anyone in your household received goods (payment in kind) from someone who is not a member of your household and who lives elsewhere in Niger (outside your village)?</t>
  </si>
  <si>
    <t>342. Au cours des trois derniers mois, vous ou un membre de votre ménage avez reçu &lt;b&gt;des biens&lt;/b&gt; (paiement en nature) d'une personne qui n'est pas membre de votre ménage et qui habite &lt;b&gt;ailleurs au Niger&lt;/b&gt; (en dehors de votre village)?</t>
  </si>
  <si>
    <t>342. A cikin watanni ukun da suka wuce, kai ko wani a cikin gidanku kun karɓi kaya (a matsayin biya) daga wani wanda ba ɗan gidanku ba ne kuma yana zaune a wani wuri a Nijar (Ba'a garinku ba)?</t>
  </si>
  <si>
    <t>hoh_hhname</t>
  </si>
  <si>
    <t>Name</t>
  </si>
  <si>
    <t>135. The next set of questions are for married women only. Are you married?</t>
  </si>
  <si>
    <t>135. La série de questions suivante s'adresse uniquement aux femmes mariées. Es-tu marié?</t>
  </si>
  <si>
    <t>343. What was the value of the goods members of your household receive from people elsewhere in Niger (in CFA)?</t>
  </si>
  <si>
    <t>135. Tambayoyi na gaba na matan aure ne kawai. Ko ki na da aure?</t>
  </si>
  <si>
    <t>343. Quel était la valeur au totale des biens que les membres de votre ménage ont reçu des personnes qui sont quelques part au Niger 
(en USD)?</t>
  </si>
  <si>
    <t>343. Nawa kimar kayayyakin da ƴan gidanku suka karba daga wasu mutane a wasu wurare a Nijar (in CFA)?</t>
  </si>
  <si>
    <t>hoh_new_mem_name_last</t>
  </si>
  <si>
    <t>202. What is the last name of ${hoh_hhtext}?</t>
  </si>
  <si>
    <t>202. Quel est le nom de ${hoh_hhtextfrench} ?</t>
  </si>
  <si>
    <t>202. Menene sunan uban ${hoh_hhtexthausa}?</t>
  </si>
  <si>
    <t>hoh_new_mem_name_first</t>
  </si>
  <si>
    <t>136. I am now going to mention some things that husband and wives sometimes speak about. Please tell me if you and your spouse talk about these things</t>
  </si>
  <si>
    <t>136. Je vais maintenant mentionner certaines choses dont les maris et les femmes parlent parfois. Veuillez me dire si vous et votre conjoint parlez de ces choses</t>
  </si>
  <si>
    <t>136. Yanzu zan ambaci wasu abubuwa da mata da miji suke magana akai. Don Allah ku gaya mini idan ku da mijinku kuna magana a kan waɗannan abubuwan</t>
  </si>
  <si>
    <t>${w_married} = 1</t>
  </si>
  <si>
    <t>346. In the past three months, have you or anyone in your household received money from someone who is not a member of your household and who lives in a foreign country (outside of Niger)?</t>
  </si>
  <si>
    <t>346. Au cours des trois derniers mois, vous ou un membre de votre ménage avez-vous reçu &lt;b&gt;de l'argent&lt;/b&gt; d'une personne qui n'est pas membre de votre ménage et qui habite &lt;b&gt;à l'extérieur du Niger&lt;/b&gt; (dans un autre pays)?</t>
  </si>
  <si>
    <t>346. A cikin watanni uku da suka wuce, kai ko dan gidanku kun samu kuɗi daga wanda ba dan gidanku ba da ke zaune a ƙetaren Nijar (a wata kasa)?</t>
  </si>
  <si>
    <t>hoh_new_mem_name</t>
  </si>
  <si>
    <t>347. How much in total did members of your household receive from people out of Niger?</t>
  </si>
  <si>
    <t>347. Combien au total les membres de votre ménage ont-ils reçu des personnes qui ne sont pas au Niger ?</t>
  </si>
  <si>
    <t>347. Nawa ne yan gidanku ya samu daga mutanen da ke zaune a ƙasar waje ba Nijar ba?</t>
  </si>
  <si>
    <t>employer</t>
  </si>
  <si>
    <t>select_one relation</t>
  </si>
  <si>
    <t>hoh_new_mem_relation</t>
  </si>
  <si>
    <t>Self-employed</t>
  </si>
  <si>
    <t>Travailleur indépendant</t>
  </si>
  <si>
    <t>Aikin-kai</t>
  </si>
  <si>
    <t>137. Things that happen at work or in the fields?</t>
  </si>
  <si>
    <t>137. Des choses qui se passent au travail ou dans les champs ?</t>
  </si>
  <si>
    <t>137. Abubuwan da ke faruwa a wurin aiki ko a gona?</t>
  </si>
  <si>
    <t>Employed by individual</t>
  </si>
  <si>
    <t>Employé par un particulier</t>
  </si>
  <si>
    <t>Mutum wani mutum mai gida</t>
  </si>
  <si>
    <t>select_one sex</t>
  </si>
  <si>
    <t>hoh_new_mem_sex</t>
  </si>
  <si>
    <t>138. Things that happen in the community?</t>
  </si>
  <si>
    <t>138. Des choses qui se passent dans la communauté ?</t>
  </si>
  <si>
    <t>hoh_new_mem_age</t>
  </si>
  <si>
    <t>138. Abubuwan da ke faruwa a cikin al'umma?</t>
  </si>
  <si>
    <t>206. What is ${hoh_new_mem_name}'s age?</t>
  </si>
  <si>
    <t>206. Quel âge a ${hoh_new_mem_name} ?</t>
  </si>
  <si>
    <t>206. ${hoh_new_mem_name} Shekarun shi/ta nawa?</t>
  </si>
  <si>
    <t>Employed by private businesss</t>
  </si>
  <si>
    <t>Employé par des entreprises privées</t>
  </si>
  <si>
    <t>Yin aiki da kamfanoni masu zaman kansu</t>
  </si>
  <si>
    <t>351. What was the value of the goods members of your household receive from people out of Niger?</t>
  </si>
  <si>
    <t>351. Quel était la valeur au totale des biens que les membres de votre ménage ont reçu des personnes qui ne sont pas au Niger ?</t>
  </si>
  <si>
    <t>351. Nawa kimar kayan da ƴan gidanku suka samo daga mutanen da ke zaune a ƙasar waje ba Nijar ba?</t>
  </si>
  <si>
    <t>speedcheck_hoh_rosternew_end</t>
  </si>
  <si>
    <t>Employed by public sector</t>
  </si>
  <si>
    <t>Employé par le secteur public</t>
  </si>
  <si>
    <t>139. Who to vote for in local elections?</t>
  </si>
  <si>
    <t>Ma'aikaci na gwamnati</t>
  </si>
  <si>
    <t>139. Pour qui voter aux élections municipales ?</t>
  </si>
  <si>
    <t>352. How were these goods transmitted to your household?</t>
  </si>
  <si>
    <t>352. Comment ces biens ont-ils été envoyé à votre ménage ?</t>
  </si>
  <si>
    <t>352. Ta yaya aka aika waɗannan kayan zuwa gidanku?</t>
  </si>
  <si>
    <t>139. Wanene za'a zaɓa a zaɓen ƙananan hukumomi?</t>
  </si>
  <si>
    <t>dur_hoh_rosternew</t>
  </si>
  <si>
    <t>353. Specify other transfer method</t>
  </si>
  <si>
    <t>353. Précisez la méthode du transfert</t>
  </si>
  <si>
    <t>353. Wani daban a Bayyana</t>
  </si>
  <si>
    <t>354. In the past three months, have you or anyone in your household shared or sent money to someone who is not a member of your household and who lives elsewhere in Niger (outside your village)?</t>
  </si>
  <si>
    <t>354. Au cours des trois derniers mois, vous ou quelqu'un de votre ménage avez-vous partagé ou envoyé &lt;b&gt;de l'argent&lt;/b&gt; à quelqu'un qui n'est pas membre de votre ménage et qui habite &lt;b&gt;ailleurs au Niger&lt;/b&gt;(en dehors de votre village)</t>
  </si>
  <si>
    <t>354. A cikin watanni uku da suka wuce, kai ko wani a cikin gidanku kun bada ko kun aika kuɗi ga wani wanda ba dan gidanku ba da ke zaune a wani wuri a Nijar (wajen garinku)</t>
  </si>
  <si>
    <t>hoh_hhmembers_new</t>
  </si>
  <si>
    <t>355. How much did your household send to people elsewhere in Niger?</t>
  </si>
  <si>
    <t>355. Combien votre ménage a-t-il envoyé à des personnes qui sont quelque part au Niger ?</t>
  </si>
  <si>
    <t>140. How to you invest your money such as whether to improve your house</t>
  </si>
  <si>
    <t>355. Nawa ne gidanku ya aikawa mutanen da ke wasu wurare a Nijar?</t>
  </si>
  <si>
    <t>140. Comment investir votre argent, par exemple pour améliorer votre maison</t>
  </si>
  <si>
    <t>140. Yadda za ku kashe kuɗin ku, kamar gyaran gidanku</t>
  </si>
  <si>
    <t>hoh_roster_note</t>
  </si>
  <si>
    <t>207. I want to ask a few questions about the members of your household who are currently residing here.</t>
  </si>
  <si>
    <t>207. Je veux poser quelques questions sur les membres de votre ménage qui résident actuellement ici.</t>
  </si>
  <si>
    <t>207. Ina so in muku ƴan tambayoyi bisa yan gidanku da ke zaune a gida a yanzu.</t>
  </si>
  <si>
    <t>purpose</t>
  </si>
  <si>
    <t>For work</t>
  </si>
  <si>
    <t>Pour le travail</t>
  </si>
  <si>
    <t>Don aiki</t>
  </si>
  <si>
    <t>357. Specify other transfer method</t>
  </si>
  <si>
    <t>357. Précisez la méthode du transfert</t>
  </si>
  <si>
    <t>141. Family planning (when to have children)</t>
  </si>
  <si>
    <t>For social reasons (visit family/friends, attend ceremony)</t>
  </si>
  <si>
    <t>357. Wani daban a Bayyana</t>
  </si>
  <si>
    <t>141. Planification familiale (quand avoir des enfants)</t>
  </si>
  <si>
    <t>Pour des raisons sociales (visiter famille/amis, assister à une cérémonie)</t>
  </si>
  <si>
    <t>141. Tsarin iyali (lokacin ɗaukan ciki)</t>
  </si>
  <si>
    <t>Don dalilai na zamantakewa (ziyarci dangi/abokai, halartar bikin)</t>
  </si>
  <si>
    <t>hoh_roster</t>
  </si>
  <si>
    <t>Roster</t>
  </si>
  <si>
    <t>358. In the past three months, have you or anyone in your household shared or sent goods (payment in kind) to someone who is not a member of your household and who lives elsewhere in Niger (outside your village)?</t>
  </si>
  <si>
    <t>358. Au cours des trois derniers mois, vous ou quelqu'un de votre ménage avez-vous partagé ou envoyé &lt;b&gt;des biens&lt;/b&gt; (paiement en nature) à quelqu'un qui n'est pas membre de votre ménage et qui habite &lt;b&gt;ailleurs au Niger&lt;/b&gt; (en dehors de votre village) ?</t>
  </si>
  <si>
    <t>358. A cikin watanni uku da suka wuce, kai ko wani a cikin gidanku kun bada ko kun aika kaya (a matsayin biya) ga wanda ba dan giɗanku ba da ke zaune a wani wuri a cikin Nijar (Ba'a garinku ba)?</t>
  </si>
  <si>
    <t>speedcheck_hoh_roster_start</t>
  </si>
  <si>
    <t>Accompany/reunify with spouse</t>
  </si>
  <si>
    <t>Accompagner/réunifier avec le conjoint</t>
  </si>
  <si>
    <t>Rakiya/sake haduwa da miji</t>
  </si>
  <si>
    <t>359. What was the value of the goods members of your household sent to people elsewhere in Niger?</t>
  </si>
  <si>
    <t>359. Quel était la valeur au totale des biens que les membres de votre ménage ont envoyé aux personnes qui sont quelques part au Niger ?</t>
  </si>
  <si>
    <t>359. Nawa ne kimar kayan da ƴan gidanku suka aika wa mutane a wasu wurare a cikin Nijar?</t>
  </si>
  <si>
    <t>hoh_roster_index</t>
  </si>
  <si>
    <t>360. How were these goods transmitted to the recipient?</t>
  </si>
  <si>
    <t>360. Comment ces biens ont-ils été envoyé au destinataire ?</t>
  </si>
  <si>
    <t>360. Ta yaya aka aika waɗannan kayayyaki zuwa ga mai karɓa?</t>
  </si>
  <si>
    <t>hoh_roster_name_cases</t>
  </si>
  <si>
    <t>Member name from case management</t>
  </si>
  <si>
    <t>142. Do you and your spouse ever disagree about any of these topics?</t>
  </si>
  <si>
    <t>142. Vous et votre conjoint avez-vous déjà eu un désaccord sur ces sujets ?</t>
  </si>
  <si>
    <t>142. Ko ke da mijnki kun taɓa samun saɓani game da waɗannan batutuwa?</t>
  </si>
  <si>
    <t>For studies</t>
  </si>
  <si>
    <t>Pour les études</t>
  </si>
  <si>
    <t>Domin karatu</t>
  </si>
  <si>
    <t>361. Specify other transfer method</t>
  </si>
  <si>
    <t>361. Precisez la methode du transfert</t>
  </si>
  <si>
    <t>361. Wani daban a Bayyana</t>
  </si>
  <si>
    <t>hoh_roster_age_cases</t>
  </si>
  <si>
    <t>Member age from case management</t>
  </si>
  <si>
    <t>362. In the past three months, have you or anyone in your household shared or sent money to someone who is not a member of your household and who lives in a foreign country (outside of Niger)?</t>
  </si>
  <si>
    <t>362. Au cours des trois derniers mois, vous ou quelqu'un de votre ménage avez-vous partagé ou envoyé &lt;b&gt;de l'argent&lt;/b&gt; à quelqu'un qui n'est pas membre de votre ménage et qui habite &lt;b&gt;à l'extérieur du Niger&lt;/b&gt; (dans un autre pays)?</t>
  </si>
  <si>
    <t>362. A cikin watanni uku da suka gabata, kai ko wani a cikin gidanku kun bada ko kun aika kuɗi ga wanda ba ɗan gidanku ba da ke zaune a wajen Nijar (a wata kasa)?</t>
  </si>
  <si>
    <t>hoh_roster_sex_cases</t>
  </si>
  <si>
    <t>Member sex from case management</t>
  </si>
  <si>
    <t>For medical reasons</t>
  </si>
  <si>
    <t>Pour des raisons médicales</t>
  </si>
  <si>
    <t>363. How much did your household send to people people out of Niger?</t>
  </si>
  <si>
    <t>363. Combien votre ménage a-t-il envoyé à d'autres personnes qui sont quelque part hors du Niger ?</t>
  </si>
  <si>
    <t>363. Nawa gidanku ya aikawa wasu mutane da ke wani wuri ba a Nijar ba?</t>
  </si>
  <si>
    <t>hoh_roster_new_index</t>
  </si>
  <si>
    <t>364. How did you transmit the money to the recipient?</t>
  </si>
  <si>
    <t>364. Comment avez-vous transmis l'argent au destinataire ?</t>
  </si>
  <si>
    <t>364. Ta wace hanya kuka aika kuɗin ga mai karɓa?</t>
  </si>
  <si>
    <t>143. Do these conversations ever get contentious?</t>
  </si>
  <si>
    <t>hoh_roster_name_new</t>
  </si>
  <si>
    <t>143. Ces conversations deviennent-elles parfois controversées ?</t>
  </si>
  <si>
    <t>New member name (only populated if no more members to enumerate in the cases data)</t>
  </si>
  <si>
    <t>143. Ko waɗannan hirarrakin sun taɓa zama sabani?</t>
  </si>
  <si>
    <t>Transit (on my way somewhere else)</t>
  </si>
  <si>
    <t>Transit (en route ailleurs)</t>
  </si>
  <si>
    <t>Tafiya (a kan hanya ta zuwa wani wuri)</t>
  </si>
  <si>
    <t>365. Specify other transfer method</t>
  </si>
  <si>
    <t>365. Precisez la methode du transfert</t>
  </si>
  <si>
    <t>365. Wani daban a Bayyana</t>
  </si>
  <si>
    <t>hoh_roster_age_new</t>
  </si>
  <si>
    <t>New member age</t>
  </si>
  <si>
    <t>366. In the past three months, have you or anyone in your household shared or sent goods (payment in kind) to someone who is not a member of your household and who lives in a foreign country (outside of Niger)?</t>
  </si>
  <si>
    <t>366. Au cours des trois derniers mois, vous ou quelqu'un de votre ménage avez-vous partagé ou envoyé &lt;b&gt;des biens&lt;/b&gt; (paiement en nature) à quelqu'un qui n'est pas membre de votre ménage et qui habite &lt;b&gt;à l'extérieur du Niger&lt;/b&gt; (dans un autre pays) ?</t>
  </si>
  <si>
    <t>366. A cikin watanni uku da suka wuce, kai ko wani a cikin gidanku kun bada ko kun aika kaya (a matsayin biya) ga wanda ba ɗan gidanku ba da ke zaune a wajen Nijar (a wata kasa)?</t>
  </si>
  <si>
    <t>hoh_roster_sex_new</t>
  </si>
  <si>
    <t>New member sex</t>
  </si>
  <si>
    <t>other</t>
  </si>
  <si>
    <t>autre</t>
  </si>
  <si>
    <t>367. What was the value of the goods members of your household sent to people out of Niger?</t>
  </si>
  <si>
    <t>367. Quel était le valeur au total des biens que les membres de votre ménage ont envoyé aux personnes qui sont quelques part hors du Niger ?</t>
  </si>
  <si>
    <t>367. Nawa ne kimar kayan da ƴan gidanku suka aikawa wasu mutane da ke wani wuri ba a Nijar ba?</t>
  </si>
  <si>
    <t>hoh_roster_name</t>
  </si>
  <si>
    <t>368. How were these goods transmitted to the recipient?</t>
  </si>
  <si>
    <t>368. Comment ces biens ont-ils été envoyé au destinataire ?</t>
  </si>
  <si>
    <t>368. Ta yaya aka aika waɗannan kayayyaki zuwa ga mai karɓa?</t>
  </si>
  <si>
    <t>144. I will read you several statements. Please tell me the extent do you agree/disagree with each:</t>
  </si>
  <si>
    <t>hoh_roster_age</t>
  </si>
  <si>
    <t>144. Je vais vous lire plusieurs déclarations. Veuillez me dire dans quelle mesure êtes-vous d'accord/pas d'accord avec chacun :</t>
  </si>
  <si>
    <t>144. Zan karanta muku maganganu da yawa. Da fatan za a gaya mini iya yarda/rishin yarda da kowanne:</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</si>
  <si>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</si>
  <si>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</si>
  <si>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Cikin waɗannan maganganun da za'a zana sai ka bada amsa idan ka yarda sosai, ka yarda, baka yarda ba, baka yarda ba sam sam da shi.</t>
  </si>
  <si>
    <t>369. Specify other transfer method</t>
  </si>
  <si>
    <t>369. Precisez la methode du transfert</t>
  </si>
  <si>
    <t>369. Wani daban a Bayyana</t>
  </si>
  <si>
    <t>hoh_roster_sex</t>
  </si>
  <si>
    <t>370. In the past three months, have you received support from any of the following sources?</t>
  </si>
  <si>
    <t>370. Au cours des trois derniers mois, avez-vous reçu de l'aide de l'une des sources suivantes ?</t>
  </si>
  <si>
    <t>370. A cikin watanni uku da suka wuce, kun samu taimako daga ɗayan waɗannan hanyoyin?</t>
  </si>
  <si>
    <t>hoh_info</t>
  </si>
  <si>
    <t>208. ${hoh_roster_name}
 Sex: ${hoh_roster_sex}
 Age: ${hoh_roster_age}</t>
  </si>
  <si>
    <t>stay</t>
  </si>
  <si>
    <t>Home (owned by own household)</t>
  </si>
  <si>
    <t>Maison (appartenant à son propre ménage)</t>
  </si>
  <si>
    <t>Gida (mallakar gidan kansa)</t>
  </si>
  <si>
    <t>145. I must always respect decisions taken by my household even if you do not agree</t>
  </si>
  <si>
    <t>hoh_nationality</t>
  </si>
  <si>
    <t>145. Je dois toujours respecter les décisions prises par mon ménage même si je ne suis pas d'accord</t>
  </si>
  <si>
    <t>209. Is ${hoh_roster_name} a Nigerien national?</t>
  </si>
  <si>
    <t>209. ${hoh_roster_name} est-il un citoyen(ne) du Niger ?</t>
  </si>
  <si>
    <t>145. Dole ne in mutunta shawarar da gidanmu ya yanke ko da ba ra'ayina ba ne</t>
  </si>
  <si>
    <t>209. Ko ${hoh_roster_name} ɗan ƙasar Nijar ne?</t>
  </si>
  <si>
    <t>Home of friends/familiy (no cost)</t>
  </si>
  <si>
    <t>Maison d'amis/famille (sans frais)</t>
  </si>
  <si>
    <t>Gidan abokai/iyali (ba farashi)</t>
  </si>
  <si>
    <t>380. Specify the improvement to your business</t>
  </si>
  <si>
    <t>380. Précisez les investissements que vous avez fait dans votre entreprise</t>
  </si>
  <si>
    <t>380. Ku bayyana kuɗin da kuka kashe don haɓɓaka kasuwancin ku</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</si>
  <si>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</si>
  <si>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</si>
  <si>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</si>
  <si>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Rented accomodation alone</t>
  </si>
  <si>
    <t>Logement loué seul</t>
  </si>
  <si>
    <t>Gidan haya shi kaɗai</t>
  </si>
  <si>
    <t>146. I should always sacrifice my personal needs and wants to satisfy my parents.</t>
  </si>
  <si>
    <t>382. Specify improvement to land</t>
  </si>
  <si>
    <t>382. Précisez les améliorations de votre terre que vous avez fait</t>
  </si>
  <si>
    <t>146. Je devrais toujours sacrifier mes besoins personnels et vouloir satisfaire mes parents.</t>
  </si>
  <si>
    <t>382. Ku bayyana kuɗin da kuka kashe don haɓɓaka gonarku</t>
  </si>
  <si>
    <t>146. Dole ne ko yaushe in sadaukar da bukatuna na kaina don in gamsar da iyayena.</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</si>
  <si>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</si>
  <si>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</si>
  <si>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</si>
  <si>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Rented accomodation with others</t>
  </si>
  <si>
    <t>Logement en location avec d'autres</t>
  </si>
  <si>
    <t>384. Does your household currently have any savings that you keep in any of the following ways?</t>
  </si>
  <si>
    <t>384. Votre ménage dispose-t-il actuellement d'économies que vous conservez de l'une des manières suivantes ?</t>
  </si>
  <si>
    <t>Hayar gida tare da wasu</t>
  </si>
  <si>
    <t>384. Ko a halin yanzu gidanku na da ajiyar kuɗi daga ɗaya a cikin wanɗannan dubaru?</t>
  </si>
  <si>
    <t>hoh_nationality_country</t>
  </si>
  <si>
    <t>210. Where are they a cititzen of?</t>
  </si>
  <si>
    <t>210. D'où sont-ils citoyens ?</t>
  </si>
  <si>
    <t>210. Ƴan wace ƙasa ce?</t>
  </si>
  <si>
    <t>147. If I had an emergency that required 5,000 CFA urgently (within 3 days), I would be able to find the money.</t>
  </si>
  <si>
    <t>147. Si j'avais une urgence qui nécessitait 5 000 CFA en urgence (dans les 3 jours), je serais capable de trouver l'argent.</t>
  </si>
  <si>
    <t>147. Idan ina da biƙatar gaggawa na 5,000 CFA (a cikin kwanaki 3), zan iya samun kuɗin.</t>
  </si>
  <si>
    <t>Street</t>
  </si>
  <si>
    <t>Rue</t>
  </si>
  <si>
    <t>Titi</t>
  </si>
  <si>
    <t>hoh_nationality_country_o</t>
  </si>
  <si>
    <t>hoh_roster_in</t>
  </si>
  <si>
    <t>148. What type of person would you go to first for this money?</t>
  </si>
  <si>
    <t>148. Vers quel type de personne iriez-vous en premier pour cet argent ?</t>
  </si>
  <si>
    <t>Shelter (mosque, association)</t>
  </si>
  <si>
    <t>Abri (mosquée, association)</t>
  </si>
  <si>
    <t>Matsuguni (masallaci, ƙungiya)</t>
  </si>
  <si>
    <t>148. Wane irin mutum ne za ku fara zuwa wurin shi don wannan kuɗin?</t>
  </si>
  <si>
    <t>select_one whyno_in</t>
  </si>
  <si>
    <t>hoh_roster_notin_why</t>
  </si>
  <si>
    <t>213. Why are they not a member of this household?</t>
  </si>
  <si>
    <t>213. Pourquoi ne font-ils pas partie de ce ménage ?</t>
  </si>
  <si>
    <t>213. Me ya sa ba su cikin ƴan gidan nan ?</t>
  </si>
  <si>
    <t>hoh_roster_notin_why_o</t>
  </si>
  <si>
    <t>214. Other, specify:</t>
  </si>
  <si>
    <t>214. Autre précisez:</t>
  </si>
  <si>
    <t>214. Sauran, bayar da cikakkun bayanai:</t>
  </si>
  <si>
    <t>Hotel</t>
  </si>
  <si>
    <t>Hôtel</t>
  </si>
  <si>
    <t>Otal</t>
  </si>
  <si>
    <t>hoh_roster_notin_death</t>
  </si>
  <si>
    <t>215. Enumerator: Record any details about the death of the family member</t>
  </si>
  <si>
    <t>215. Enqueteur: Veuillez noter toute information pertinente concernant le décès</t>
  </si>
  <si>
    <t>149. Specify your relationship with this person</t>
  </si>
  <si>
    <t>149. Précisez votre relation avec cette personne</t>
  </si>
  <si>
    <t>149. Faɗi dangantakar ku da wannan mutumen</t>
  </si>
  <si>
    <t>Employer provided room</t>
  </si>
  <si>
    <t>${w_emergency_who} = -777</t>
  </si>
  <si>
    <t>Chambre fournie par l'employeur</t>
  </si>
  <si>
    <t>Maigida ya ba da daki</t>
  </si>
  <si>
    <t>387. Do you earn interest on this money ${hoh_savings_name}?</t>
  </si>
  <si>
    <t>387. Gagnez-vous des intérêts sur cet argent ${hoh_savings_name} ?</t>
  </si>
  <si>
    <t>387. Kuna samun kudin ruwa akan wannan kuɗin ${hoh_savings_name}?</t>
  </si>
  <si>
    <t>hoh_living_in_hh</t>
  </si>
  <si>
    <t>216. Is ${hoh_roster_name} currently living in your household?</t>
  </si>
  <si>
    <t>216. Est-ce que ${hoh_roster_name} vit actuellement dans votre ménage ?</t>
  </si>
  <si>
    <t>216. Ko ${hoh_roster_name} yana zaune a gidanku a halin yanzu ?</t>
  </si>
  <si>
    <t>150. The next set of questions are about your opinions regarding the roles that women and men play</t>
  </si>
  <si>
    <t>150. La prochaine série de questions porte sur vos opinions concernant les rôles que jouent les femmes et les hommes</t>
  </si>
  <si>
    <t>150. Tambayoyi na gaba sun ta'allaƙa ne da ra'ayoyin ku game da rawar da mata da maza suke takawa.</t>
  </si>
  <si>
    <t>hoh_in_niger</t>
  </si>
  <si>
    <t>hoh_in_niger_region</t>
  </si>
  <si>
    <t>151. How often, if ever do you talk about the role of women in society with other people?</t>
  </si>
  <si>
    <t>select_one countries</t>
  </si>
  <si>
    <t>hoh_out_niger</t>
  </si>
  <si>
    <t>151. À quelle fréquence, si jamais cela est arrivé, parlez-vous du rôle des femmes dans la société avec d'autres personnes ?</t>
  </si>
  <si>
    <t>151. Sau nawa, idan ya na faruwa, kuke yin magana game da taka rawan mata a cikin al'umma tare da sauran mutane?</t>
  </si>
  <si>
    <t>hoh_out_niger_o</t>
  </si>
  <si>
    <t>220. Specify other</t>
  </si>
  <si>
    <t>220. Autre à préciser</t>
  </si>
  <si>
    <t>220. Wani daban a Bayyana</t>
  </si>
  <si>
    <t>hoh_out_town</t>
  </si>
  <si>
    <t>389. During ${period}, was your household negatively affected by any of the following types of events?</t>
  </si>
  <si>
    <t>389. Au cours de ${period_french}, votre ménage a-t-il été affecté négativement par l'un des types d'événements suivants ?</t>
  </si>
  <si>
    <t>389. A lokacin ${period_hausa}, ko gidanku ya fuskanci wani daga cikin matsaloli nan masu zuwa? Zaɓi duk abin da ya dace</t>
  </si>
  <si>
    <t>390. Please briefly describe the event(s) that negatveily affected your household</t>
  </si>
  <si>
    <t>390. Veuillez décrire brièvement le/les événement(s) qui ont eu des effets négatifs sur votre ménage au cours des 3 derniers mois</t>
  </si>
  <si>
    <t>390. Da fatan za ku yi taƙaitaccen bayani a kan abin da ya shafi gidan ku</t>
  </si>
  <si>
    <t>152. In your opinion, how much influence a wife should have over the following decisions within a couple?</t>
  </si>
  <si>
    <t>hoh_out_town_o</t>
  </si>
  <si>
    <t>222. Specify other</t>
  </si>
  <si>
    <t>152. Selon vous, quelle influence une épouse devrait-elle avoir sur les décisions suivantes au sein d'un couple ?</t>
  </si>
  <si>
    <t>222. Autre à préciser</t>
  </si>
  <si>
    <t>222. Wani daban a Bayyana</t>
  </si>
  <si>
    <t>152. A ra'ayinka, wane tasiri mace ya kamata ta yi bisa yanke shawarwari da zan zana a tsakanin ta da mijinta?</t>
  </si>
  <si>
    <t>hoh_mem_in_hh</t>
  </si>
  <si>
    <t>386. Does your household currently have any savings that you keep in any of the following ways?</t>
  </si>
  <si>
    <t>386. Votre ménage dispose-t-il actuellement d'économies que vous conservez de l'une des manières suivantes ?</t>
  </si>
  <si>
    <t>386. Ko a halin yanzu gidanku na da ajiyar kuɗi daga ɗaya a cikin wanɗannan dubaru?</t>
  </si>
  <si>
    <t>hoh_illness_limit</t>
  </si>
  <si>
    <t>223. Does ${hoh_roster_name} currently suffer from any illness or disability that limits their ability to travel or work?</t>
  </si>
  <si>
    <t>223. Est-ce que ${hoh_roster_name} souffre actuellement d'une maladie ou d'un handicap qui limite sa capacité à voyager ou à travailler ?</t>
  </si>
  <si>
    <t>223. ko a halin yanzu ${hoh_roster_name} yana da rashin lafiya ko naƙasa wanda ke iya hanashi zuwa balaguro ko yin aiki?</t>
  </si>
  <si>
    <t>153. Daily household expenses (Less than 500 CFA)</t>
  </si>
  <si>
    <t>153. Dépenses quotidiennes du ménage (Moins de 500 CFA)</t>
  </si>
  <si>
    <t>153. Kashe kashen kuɗin gida na yau da kullun ( Kasa da dala ɗari CFA 500)</t>
  </si>
  <si>
    <t>391. In response to ${hoh_emergency_name}, did you or your household take the following actions?</t>
  </si>
  <si>
    <t>391. En réponse à ${hoh_emergency_name}, avez-vous vous ou votre ménage pris les mesures suivantes ??</t>
  </si>
  <si>
    <t>391. Dangance da ${hoh_emergency_name}, ku ko ƴan gindanku kun ɗauki waɗannan matakai?</t>
  </si>
  <si>
    <t>154. Household purchases worth more than 500 CFA</t>
  </si>
  <si>
    <t>154. Achats des ménages d'une valeur supérieure à 500 CFA</t>
  </si>
  <si>
    <t>154. Siyayyar gida na sama da dala ɗari 500 CFA</t>
  </si>
  <si>
    <t>392. Sell assets?</t>
  </si>
  <si>
    <t>392. Vendre des actifs</t>
  </si>
  <si>
    <t>392. Saida kadarori</t>
  </si>
  <si>
    <t>393. Borrow money?</t>
  </si>
  <si>
    <t>393. Emprunter de l'argent</t>
  </si>
  <si>
    <t>393. Bashin kuɗi</t>
  </si>
  <si>
    <t>hoh_illness_limit_type</t>
  </si>
  <si>
    <t>224. What illness limits ${hoh_roster_name} in this way?</t>
  </si>
  <si>
    <t>224. Quelle maladie limite ${hoh_roster_name} de cette manière ?</t>
  </si>
  <si>
    <t>224. Wace rashin lafiya ke tsaida ${hoh_roster_name} ta haka ?</t>
  </si>
  <si>
    <t>155. Family planning (how many children to have)</t>
  </si>
  <si>
    <t>comprehension</t>
  </si>
  <si>
    <t>155. Planification familiale (combien d'enfants avoir)</t>
  </si>
  <si>
    <t>hoh_illness_limit_type_o</t>
  </si>
  <si>
    <t>155. Tsarin iyali (ƴaƴa nawa za a haifa)</t>
  </si>
  <si>
    <t>225. Other, specify:</t>
  </si>
  <si>
    <t>Did not understand</t>
  </si>
  <si>
    <t>225. Autre précisez:</t>
  </si>
  <si>
    <t>225. Sauran, bayar da cikakkun bayanai:</t>
  </si>
  <si>
    <t>N'a pas compris</t>
  </si>
  <si>
    <t>Bai gane ba</t>
  </si>
  <si>
    <t>Understood somewhat</t>
  </si>
  <si>
    <t>Un peu compris</t>
  </si>
  <si>
    <t>Ya gane ɗan kadan</t>
  </si>
  <si>
    <t>156. Whether the husband will migrate to find work</t>
  </si>
  <si>
    <t>396. For ${hoh_emergency_name}
What was the value of the following in CFA?</t>
  </si>
  <si>
    <t>396. Par rapport à ${hoh_emergency_name}
Quelle était la valeur des éléments suivantes en CFA?</t>
  </si>
  <si>
    <t>396. Game da ${hoh_emergency_name}
 Nawa ne kimar waɗannan abubuwan a kuɗin CFA?</t>
  </si>
  <si>
    <t>156. Si le mari va migrer pour trouver du travail</t>
  </si>
  <si>
    <t>156. Ko miji zai yi tahiya don neman aiki</t>
  </si>
  <si>
    <t>Understood well</t>
  </si>
  <si>
    <t>397. Assets you sold</t>
  </si>
  <si>
    <t>397. Les actifs que vous avez vendus</t>
  </si>
  <si>
    <t>Bien compris</t>
  </si>
  <si>
    <t>397. Kadarorin da kuka saida</t>
  </si>
  <si>
    <t>Ya gane sosai</t>
  </si>
  <si>
    <t>hoh_any_children</t>
  </si>
  <si>
    <t>226. Does ${hoh_roster_name} have children?</t>
  </si>
  <si>
    <t>226. Est-ce que ${hoh_roster_name} a des enfants ?</t>
  </si>
  <si>
    <t>226. ko ${hoh_roster_name} yana da yara?</t>
  </si>
  <si>
    <t>157. Who to vote for in local elections?</t>
  </si>
  <si>
    <t>157. Pour qui voter aux élections municipales ?</t>
  </si>
  <si>
    <t>157. Wanene za'a zaɓa a zaɓen ƙananan hukumomi?</t>
  </si>
  <si>
    <t>399. Savings you spent?</t>
  </si>
  <si>
    <t>399. L'épargne que vous avez utilisé</t>
  </si>
  <si>
    <t>399. Ajiyar da kuka kashe</t>
  </si>
  <si>
    <t>hoh_children</t>
  </si>
  <si>
    <t>227. How many children is ${hoh_roster_name} responsible for?</t>
  </si>
  <si>
    <t>227. De combien d'enfants ${hoh_roster_name} est-il responsable ?</t>
  </si>
  <si>
    <t>227. Yara nawa ne ${hoh_roster_name} yake ɗauke da Nauyinsu?</t>
  </si>
  <si>
    <t>present</t>
  </si>
  <si>
    <t>Alone</t>
  </si>
  <si>
    <t>Seul</t>
  </si>
  <si>
    <t>Shi kaɗai</t>
  </si>
  <si>
    <t>select_one education</t>
  </si>
  <si>
    <t>hoh_education</t>
  </si>
  <si>
    <t>228. What is the highest level of education that ${hoh_roster_name} has completed?</t>
  </si>
  <si>
    <t>228. Quel est le plus haut niveau d'études atteint par ${hoh_roster_name} ?</t>
  </si>
  <si>
    <t>228. Menene mafi girman mastayin ilimi da ${hoh_roster_name} ya kai?</t>
  </si>
  <si>
    <t>158. To whom your daughter should marry?</t>
  </si>
  <si>
    <t>158. Avec qui votre fille devrait-elle se marier ?</t>
  </si>
  <si>
    <t>158. Wa ya kamata ƴarku ta aura?</t>
  </si>
  <si>
    <t>With spouse only</t>
  </si>
  <si>
    <t>Avec conjoint seulement</t>
  </si>
  <si>
    <t>Tare da mata kawai</t>
  </si>
  <si>
    <t>With household members</t>
  </si>
  <si>
    <t>Avec les membres du ménage</t>
  </si>
  <si>
    <t>Tare da yan gida</t>
  </si>
  <si>
    <t>400. Now I would like to ask you about any money that you and your family owe to other people; money you have borrowed from people outside your household.</t>
  </si>
  <si>
    <t>400. Maintenant, je voudrais vous poser des questions sur l'argent que vous et votre ménage devez à d'autres personnes ; l'argent que vous avez emprunté à des personnes extérieures à votre ménage.</t>
  </si>
  <si>
    <t>400. Yanzu ina son in tambaye ku game da duk wani kuɗin da ku da ƴan gidanku kuka ɗauko daga wajen wasu mutane; kuɗin da kuka aro daga mutane wanda ba ƴan gidanku ba.</t>
  </si>
  <si>
    <t>401. In the last three months did you or a member of your household try to secure a loan from any source but were refused?</t>
  </si>
  <si>
    <t>401. Au cours des trois derniers mois, vous ou un membre de votre ménage avez-vous essayé d'obtenir un prêt auprès de n'importe quelle source, mais cela a été refusé ?</t>
  </si>
  <si>
    <t>401. A cikin watanni uku da suka wuce kai ko wani dan gidanku kun yi ƙoƙarin samun bashi daga kowace hanya amma an ƙi?</t>
  </si>
  <si>
    <t>hoh_attending_school</t>
  </si>
  <si>
    <t>With non-household members</t>
  </si>
  <si>
    <t>159. Children's enrollment in school</t>
  </si>
  <si>
    <t>159. Inscription des enfants à l'école</t>
  </si>
  <si>
    <t>159. Rubuta yara a makaranta</t>
  </si>
  <si>
    <t>Avec des non-membres du ménage</t>
  </si>
  <si>
    <t>Tare da wadanda ba ƴan gida ba</t>
  </si>
  <si>
    <t>select_one schools</t>
  </si>
  <si>
    <t>hoh_school_type</t>
  </si>
  <si>
    <t>230. What kind of school is ${hoh_roster_name} enrolled in?</t>
  </si>
  <si>
    <t>230. Dans quel type d'école est inscrit ${hoh_roster_name} ?</t>
  </si>
  <si>
    <t>230. Wace irin makaranta aka rubuta ${hoh_roster_name}?</t>
  </si>
  <si>
    <t>160. Imagine one of your daughters wanted to marry someone of a different religious faith, would you give them your permission?</t>
  </si>
  <si>
    <t>160. Imaginez qu'une de vos filles veuille épouser quelqu'un d'une confession religieuse différente, leur donneriez-vous votre permission ?</t>
  </si>
  <si>
    <t>hoh_school_cost</t>
  </si>
  <si>
    <t>160. Ku ƙaddara da wata ɗiyarku ta na son ta auri wani mai bin wani addini daban, za ku bada izininku?</t>
  </si>
  <si>
    <t>231. What is the cost of school fees for the current academic year in CFA?</t>
  </si>
  <si>
    <t>231. Quel est le coût des frais de scolarité pour l'année scolaire en cours (en CFA) ?</t>
  </si>
  <si>
    <t>231. Nawa ne kuɗin makaranta na wannan shekarar (a sefa)?</t>
  </si>
  <si>
    <t>paytype</t>
  </si>
  <si>
    <t>Cash</t>
  </si>
  <si>
    <t>Especes</t>
  </si>
  <si>
    <t>Kuɗi fari</t>
  </si>
  <si>
    <t>hoh_school_absent_health</t>
  </si>
  <si>
    <t>232. In the past month (four weeks) how many days has ${hoh_roster_name} missed school for health reasons?</t>
  </si>
  <si>
    <t>232. Au cours du dernier mois (quatre semaines), combien de jours ${hoh_roster_name} a-t-il manqué l'école pour des raisons de santé ?</t>
  </si>
  <si>
    <t>232. A cikin watan da ya gabata (sati hudu), kwanaki nawa ${hoh_roster_name} yayi fashin zuwa makaranta saboda wata rishin lafiya?</t>
  </si>
  <si>
    <t>161. Imagine one of your sons wanted to marry someone of a different religious faith, would you give them your permission?</t>
  </si>
  <si>
    <t>161. Imaginez que l'un de vos fils veuille épouser quelqu'un d'une confession religieuse différente, leur donneriez-vous votre permission ?</t>
  </si>
  <si>
    <t>hoh_school_absent_work</t>
  </si>
  <si>
    <t>161. Ku ƙaddara da wani ɗanku ya na son ya auri wata ƴa mai bin wani addini daban, za ku bada izininku?</t>
  </si>
  <si>
    <t>233. In the past month (four weeks) how many days has ${hoh_roster_name} missed school for work or other reasons?</t>
  </si>
  <si>
    <t>In-kind</t>
  </si>
  <si>
    <t>233. Au cours du dernier mois (quatre semaines), combien de jours ${hoh_roster_name} a-t-il manqué l'école pour le travail ou pour d'autres raisons ?</t>
  </si>
  <si>
    <t>Nature</t>
  </si>
  <si>
    <t>233. A cikin watan da ya gabata (makonni hudu), kwanaki nawa ${hoh_roster_name} yayi fashin makaranta saboda aiki ko wasu dalilai?</t>
  </si>
  <si>
    <t>Wani kaya</t>
  </si>
  <si>
    <t>407. I will now ask you about meals people in your household have consumed in the past 7 days.</t>
  </si>
  <si>
    <t>162. Imagine one of your daughters wanted to marry someone of a different ethnic group, would you give them your permission?</t>
  </si>
  <si>
    <t>407. Je vais maintenant vous poser des questions sur les repas que les membres de votre ménage ont consommé au cours des 7 derniers jours.</t>
  </si>
  <si>
    <t>162. Imaginez qu'une de vos filles veuille épouser quelqu'un d'un groupe ethnique différent, leur donneriez-vous votre permission ?</t>
  </si>
  <si>
    <t>407. Yanzu zan tambaye ku bisa abincin da mutanen gidanku suka ci a cikin kwanaki 7 da suka wuce.</t>
  </si>
  <si>
    <t>162. Ku ƙaddara da wata ɗiyarka tana son ta auri ɗan wata kabila daban, za ku bada izininka?</t>
  </si>
  <si>
    <t>hoh_married</t>
  </si>
  <si>
    <t>234. Is ${hoh_roster_name} married?</t>
  </si>
  <si>
    <t>234. Est-ce que ${hoh_roster_name} est marié ?</t>
  </si>
  <si>
    <t>234. Ko ${hoh_roster_name} yanada aure?</t>
  </si>
  <si>
    <t>benefits</t>
  </si>
  <si>
    <t>Housing</t>
  </si>
  <si>
    <t>Logement</t>
  </si>
  <si>
    <t>Gidaje</t>
  </si>
  <si>
    <t>hoh_wives</t>
  </si>
  <si>
    <t>235. How many wives does ${hoh_new_mem_name} have?</t>
  </si>
  <si>
    <t>235. Combien de femmes a ${hoh_roster_name} ?</t>
  </si>
  <si>
    <t>235. Mata nawa ${hoh_roster_name} yake da su?</t>
  </si>
  <si>
    <t>Food</t>
  </si>
  <si>
    <t>163. Imagine one of your sons wanted to marry someone of a different ethnic group, would you give them your permission?</t>
  </si>
  <si>
    <t>Nourriture</t>
  </si>
  <si>
    <t>Abinci</t>
  </si>
  <si>
    <t>163. Imaginez que l'un de vos fils veuille épouser quelqu'un d'un groupe ethnique différent, leur donneriez-vous votre permission ?</t>
  </si>
  <si>
    <t>163. Ku ƙaddara da wani ɗanku ya na son ya auri wani ɗan wata ƙabila daban, za ku bada izininka?</t>
  </si>
  <si>
    <t>400. Loan(s) you took</t>
  </si>
  <si>
    <t>400. Les prêt(s) que vous avez contracté</t>
  </si>
  <si>
    <t>400. Bashin da kuka ɗauka</t>
  </si>
  <si>
    <t>Phone Credit</t>
  </si>
  <si>
    <t>Crédit téléphonique</t>
  </si>
  <si>
    <t>Kuɗin kira/Kiredi</t>
  </si>
  <si>
    <t>401. Savings you spent?</t>
  </si>
  <si>
    <t>401. L'épargne que vous avez utilisé</t>
  </si>
  <si>
    <t>401. Ajiyar da kuka kashe</t>
  </si>
  <si>
    <t>412. In the past week how many days have adults in your household consumed animal protein (including fish, meat, poultry)?</t>
  </si>
  <si>
    <t>412. Au cours des 7 derniers jours, combien de fois les adultes de votre ménage ont-ils consommé des protéines animales (y compris poisson, viande, volaille) ?</t>
  </si>
  <si>
    <t>412. A cikin kwanaki 7 da suka wuce sau nawa manyan gidanku suka ci abinci masu gina jiki kamar su kifi ko nama ko kaji?</t>
  </si>
  <si>
    <t>164. Please tell me the degree to which you agree or disagree with the following statements.</t>
  </si>
  <si>
    <t>164. Veuillez me dire dans quelle mesure vous êtes d'accord ou pas d'accord avec les énoncés suivants.</t>
  </si>
  <si>
    <t>164. Yanzu ina son ku gaya mini har zuwa wane matsayi kuka yarda ko baku yarda ba da waɗannan maganganun da zan zana muku.</t>
  </si>
  <si>
    <t>413. In the last 7 days, have children (&lt;14) gone a whole day without meals?</t>
  </si>
  <si>
    <t>413. Au cours des 7 derniers jours, des enfants (&lt;14) ont-ils passé une journée entière sans manger de repas ?</t>
  </si>
  <si>
    <t>413. A cikin kwanaki 7 na ƙarshe, ko yara ƴan ƙasa da shekara goma sha huɗu sun zauna tsawon wuni guda ba su ci da abinci ba?</t>
  </si>
  <si>
    <t>414. How many days?</t>
  </si>
  <si>
    <t>414. Pendant combien de jours?</t>
  </si>
  <si>
    <t>414. 154a Tsawon kwanaki nawa?</t>
  </si>
  <si>
    <t>415. In the last 7 days, have children (&lt;14) cut the size of meals or skipped meals?</t>
  </si>
  <si>
    <t>415. Au cours des 7 derniers jours, des enfants (&lt;14) ont-ils réduit la taille de leurs repas ou les ont-ils sauté?</t>
  </si>
  <si>
    <t>415. A cikin kwanaki 7 na ƙarshe, suna da yara (&lt;14) sun rage yawan abinci ko sun rasa gaba ɗaya?</t>
  </si>
  <si>
    <t>165. Middle school education for males is more important than middle school education for females.</t>
  </si>
  <si>
    <t>165. L'enseignement secondaire pour les hommes est plus important que l'enseignement secondaire pour les femmes.</t>
  </si>
  <si>
    <t>416. How many days?</t>
  </si>
  <si>
    <t>416. Pendant combien de jours?</t>
  </si>
  <si>
    <t>165. Ilimin koleji ga maza yana da mahimmanci fiye da ilimin koleji ga mata.</t>
  </si>
  <si>
    <t>416. 155a Tsawon kwanaki nawa?</t>
  </si>
  <si>
    <t>hoh_past_migration</t>
  </si>
  <si>
    <t>Past Migration</t>
  </si>
  <si>
    <t>402. Now I would like to ask you about any money that you and your family owe to other people; money you have borrowed from people outside your household.</t>
  </si>
  <si>
    <t>402. Maintenant, je voudrais vous poser des questions sur l'argent que vous et votre ménage devez à d'autres personnes ; l'argent que vous avez emprunté à des personnes extérieures à votre ménage.</t>
  </si>
  <si>
    <t>402. Yanzu ina son in tambaye ku game da duk wani kuɗin da ku da ƴan gidanku kuka ɗauko daga wajen wasu mutane; kuɗin da kuka aro daga mutane wanda ba ƴan gidanku ba.</t>
  </si>
  <si>
    <t>experience</t>
  </si>
  <si>
    <t>hoh_past_migration_note</t>
  </si>
  <si>
    <t>No did not experience</t>
  </si>
  <si>
    <t>236. We would now like to ask you about the migration history of ${hoh_roster_name}.</t>
  </si>
  <si>
    <t>Non je n'ai pas fait l'expérience</t>
  </si>
  <si>
    <t>236. Nous aimerions maintenant vous poser des questions sur l'historique de migration de ${hoh_roster_name}.</t>
  </si>
  <si>
    <t>A'a ban taɓa godawa ba</t>
  </si>
  <si>
    <t>236. Yanzu muna so mu tambaye ka tarihin zuwa biɗa na ${hoh_roster_name}.</t>
  </si>
  <si>
    <t>166. Women and men should have equal rights to their inheritance (Women should not be denied their right)</t>
  </si>
  <si>
    <t>166. Les femmes et les hommes devraient avoir des droits égaux à l'héritage (les femmes ne devraient pas être privées de leur droit)</t>
  </si>
  <si>
    <t>166. Ya kamata mata da maza su samu haƙƙi daidai akan gado (Bai Kamata a hana ma mata haƙƙinsu ba)</t>
  </si>
  <si>
    <t>Threatened</t>
  </si>
  <si>
    <t>Menacé</t>
  </si>
  <si>
    <t>Barazana</t>
  </si>
  <si>
    <t>hoh_mem_migrate</t>
  </si>
  <si>
    <t>237. Since ${period_bl}, has ${hoh_roster_name} spent more than a week (7 days) away from home?</t>
  </si>
  <si>
    <t>237. Depuis cette ${period_french_bl}, ${hoh_roster_name} a-t-il passé plus d'une semaine (7 jours) loin de chez lui ?</t>
  </si>
  <si>
    <t>237. Tun wancan ${period_hausa_bl}, ${hoh_roster_name} ya shafe fiye da mako guda (kwana 7) baya gida?</t>
  </si>
  <si>
    <t>select_multiple countries</t>
  </si>
  <si>
    <t>hoh_dest_country</t>
  </si>
  <si>
    <t>238. Since ${period_bl}, in which of the following countries has ${hoh_roster_name} spent more than one week? Select all that apply</t>
  </si>
  <si>
    <t>238. Depuis cette ${period_french_bl}, dans lequel des pays suivants hoh_roster_name a-t-il passé plus d'une semaine ? Sélectionnez tout ce qui s'y rapporte</t>
  </si>
  <si>
    <t>238. Tun daga wancan ${period_hausa_bl}, a cikin waɗanne ƙasashe ne ${hoh_roster_name} ya shafe fiye da mako ɗaya? Zaɓi duk abin da ya dace</t>
  </si>
  <si>
    <t>Experienced</t>
  </si>
  <si>
    <t>Vécu</t>
  </si>
  <si>
    <t>Kwarewa</t>
  </si>
  <si>
    <t>hoh_dest_country_o</t>
  </si>
  <si>
    <t>167. A woman can reject a marriage that her family chose for her without her consent</t>
  </si>
  <si>
    <t>167. Une femme peut refuser un mariage que sa famille a choisi pour elle sans son consentement</t>
  </si>
  <si>
    <t>167. Mace za ta iya ƙin auren da danginta suka zaɓa mata idan bata yarda ba</t>
  </si>
  <si>
    <t>hoh_dom_mig_ind</t>
  </si>
  <si>
    <t>407. In the past three months, have you or anyone in your household received money or goods from someone who is not a member of your household and lives in your village in Niger?</t>
  </si>
  <si>
    <t>407. Au cours des trois derniers mois, est-ce que vous ou un membre de votre ménage avez reçu de l'argent ou des biens d'une personne qui n'est pas membre de votre ménage et qui habite dans votre village au Niger ?</t>
  </si>
  <si>
    <t>407. A cikin wata uku da suka wuce, kai ko wani a cikin gidanku kun karɓi kuɗi ko kaya daga wani wanda ba ɗan gidanku ba kuma yana zaune a ƙauyenku a Nijar?</t>
  </si>
  <si>
    <t>hoh_border_cross_ind</t>
  </si>
  <si>
    <t>408. Do you know if the person who gave your hosuehold money was from a household that participated in the TSARI or other Mercy Corp programs?</t>
  </si>
  <si>
    <t>168. Women and men should have equal rights in making the decision to divorce.</t>
  </si>
  <si>
    <t>408. Savez-vous si la personne qui a donné l'argent à votre ménage appartenait à un ménage qui a participé au programme TSARI ou à d'autres programmes de Mercy Corp ?</t>
  </si>
  <si>
    <t>168. Les femmes et les hommes devraient avoir des droits égaux dans la décision de divorcer.</t>
  </si>
  <si>
    <t>408. Shin kun san ko mutumin da ya ba gidan ku kuɗin ɗan wani gida ne wanda suka samu shiga cikin shirin TSARI ko wasu shirye-shiryen Mercy Corp?</t>
  </si>
  <si>
    <t>168. Yakamata a ce mata da maza suna da haƙƙi daidai wajen yanke shawarar rabuwar aure.</t>
  </si>
  <si>
    <t>419. How much did your household spend on ${hoh_item} in the past month (in CFA)?</t>
  </si>
  <si>
    <t>419. Combien votre ménage a-t-il dépensé pour ${hoh_item} au cours du dernier mois (en CFA) ?</t>
  </si>
  <si>
    <t>419. Nawa ne (a CFA) gidanku ya kashe akan ${hoh_item} cikin watan da ya gabata ?</t>
  </si>
  <si>
    <t>420. Has your household spent money on the following types of expenses in the past week?</t>
  </si>
  <si>
    <t>420. Votre ménage a-t-il dépensé de l'argent pour les types de dépenses suivants au cours de la semaine dernière ?</t>
  </si>
  <si>
    <t>420. Ko gidanku sun kashe kuɗi akan ire iren waɗannan abubuwan a cikin satin da ya gabata?</t>
  </si>
  <si>
    <t>hoh_border_cross_ecowas_ind</t>
  </si>
  <si>
    <t>Excludes Burkina Faso and Mali</t>
  </si>
  <si>
    <t>health</t>
  </si>
  <si>
    <t>Very poor</t>
  </si>
  <si>
    <t>Très faible</t>
  </si>
  <si>
    <t>Babu kyau</t>
  </si>
  <si>
    <t>169. The law should not allow a man to marry more than one woman.</t>
  </si>
  <si>
    <t>169. La loi ne devrait pas permettre à un homme d'épouser plus d'une femme.</t>
  </si>
  <si>
    <t>169. Yakamata doka ta hana ma namiji ya auri fiye da mace ɗaya.</t>
  </si>
  <si>
    <t>409. I will now ask you about meals people in your household have consumed in the past 7 days.</t>
  </si>
  <si>
    <t>409. Je vais maintenant vous poser des questions sur les repas que les membres de votre ménage ont consommé au cours des 7 derniers jours.</t>
  </si>
  <si>
    <t>409. Yanzu zan tambaye ku bisa abincin da mutanen gidanku suka ci a cikin kwanaki 7 da suka wuce.</t>
  </si>
  <si>
    <t>hoh_num_dest_country</t>
  </si>
  <si>
    <t>Poor</t>
  </si>
  <si>
    <t>410. In the last 7 days, have adults gone a whole day without meals?</t>
  </si>
  <si>
    <t>Faible</t>
  </si>
  <si>
    <t>410. Au cours des 7 derniers jours, des adultes sont-ils restés une journée entière sans manger de repas ?</t>
  </si>
  <si>
    <t>Babu kyau sosai</t>
  </si>
  <si>
    <t>410. A cikin kwanaki 7 da suka wuce, ko manya gidanku sun zauna tsawon wuni guda basu ci abinci ba?</t>
  </si>
  <si>
    <t>speedcheck_hoh_rosterdest_start</t>
  </si>
  <si>
    <t>411. How many days?</t>
  </si>
  <si>
    <t>411. Pendant combien de jours?</t>
  </si>
  <si>
    <t>411. 151a Tsawon kwanaki nawa?</t>
  </si>
  <si>
    <t>hoh_countries</t>
  </si>
  <si>
    <t>Countries</t>
  </si>
  <si>
    <t>Neither good nor poor</t>
  </si>
  <si>
    <t>Ni bonne ni faible</t>
  </si>
  <si>
    <t>Ba mai kyau ba kuma ba maras kyau ba</t>
  </si>
  <si>
    <t>412. In the last 7 days, have adults cut the size of meals or skipped meals?</t>
  </si>
  <si>
    <t>412. Au cours des 7 derniers jours, les adultes ont-ils réduit la taille de leur repas ou les ont-ils sauté?</t>
  </si>
  <si>
    <t>412. A cikin kwanaki 7 na ƙarshe, ko manyan gidanku sun rage yawan abincin da suka saba ci ko sun tsallake shi?</t>
  </si>
  <si>
    <t>hoh_destinations_index</t>
  </si>
  <si>
    <t>Repeat Group Index</t>
  </si>
  <si>
    <t>413. How many days?</t>
  </si>
  <si>
    <t>413. Pendant combien de jours?</t>
  </si>
  <si>
    <t>Good</t>
  </si>
  <si>
    <t>413. Tsawon kwanaki nawa?</t>
  </si>
  <si>
    <t>Bonne</t>
  </si>
  <si>
    <t>Da kyau</t>
  </si>
  <si>
    <t>hoh_dest_index</t>
  </si>
  <si>
    <t>Country Index</t>
  </si>
  <si>
    <t>414. In the past week how many days have adults in your household consumed animal protein (including fish, meat, poultry)?</t>
  </si>
  <si>
    <t>414. Au cours des 7 derniers jours, combien de fois les adultes de votre ménage ont-ils consommé des protéines animales (y compris poisson, viande, volaille) ?</t>
  </si>
  <si>
    <t>414. A cikin kwanaki 7 da suka wuce sau nawa manyan gidanku suka ci abinci masu gina jiki kamar su kifi ko nama ko kaji?</t>
  </si>
  <si>
    <t>hoh_destination</t>
  </si>
  <si>
    <t>Country Name</t>
  </si>
  <si>
    <t>170. In your opinion, is a husband justified in hitting or beating his wife if:</t>
  </si>
  <si>
    <t>170. A votre avis, est-il justifié pour un mari de frapper ou de battre sa femme si :</t>
  </si>
  <si>
    <t>170. A ganinku, ko ya cancanta miji ya bugi matarshi ko ya bata kashi idan:</t>
  </si>
  <si>
    <t>415. In the last 7 days, have children (&lt;14) gone a whole day without meals?</t>
  </si>
  <si>
    <t>415. Au cours des 7 derniers jours, des enfants (&lt;14) ont-ils passé une journée entière sans manger de repas ?</t>
  </si>
  <si>
    <t>415. A cikin kwanaki 7 na ƙarshe, ko yara ƴan ƙasa da shekara goma sha huɗu sun zauna tsawon wuni guda ba su ci da abinci ba?</t>
  </si>
  <si>
    <t>select_multiple towns</t>
  </si>
  <si>
    <t>hoh_dest_town</t>
  </si>
  <si>
    <t>240. In ${hoh_destination}, what was the name of the city or town that ${hoh_roster_name} moved to?</t>
  </si>
  <si>
    <t>240. À ${hoh_destination}, quel était le nom de la ville dans laquelle ${hoh_roster_name} il a séjourné ?</t>
  </si>
  <si>
    <t>240. A ${hoh_destination}, menene sunan birnin da ${hoh_roster_name} ya zauna?</t>
  </si>
  <si>
    <t>Very good</t>
  </si>
  <si>
    <t>Très bonne</t>
  </si>
  <si>
    <t>Da kyau sosai</t>
  </si>
  <si>
    <t>171. She neglects the children</t>
  </si>
  <si>
    <t>171. Elle néglige les enfants</t>
  </si>
  <si>
    <t>171. Ta yi sakaci da yara</t>
  </si>
  <si>
    <t>hoh_dest_town_o</t>
  </si>
  <si>
    <t>select_multiple region</t>
  </si>
  <si>
    <t xml:space="preserve">hoh_dest_region </t>
  </si>
  <si>
    <t>agree_likert</t>
  </si>
  <si>
    <t>Strongly Disagree</t>
  </si>
  <si>
    <r>
      <rPr>
        <rFont val="Fira Code"/>
        <color rgb="FF000000"/>
        <sz val="10.0"/>
      </rPr>
      <t>482. In</t>
    </r>
    <r>
      <rPr>
        <rFont val="Fira Code"/>
        <color rgb="FF000000"/>
        <sz val="10.0"/>
      </rPr>
      <t xml:space="preserve"> ${hoh_destination}</t>
    </r>
    <r>
      <rPr>
        <rFont val="Fira Code"/>
        <color rgb="FF000000"/>
        <sz val="10.0"/>
      </rPr>
      <t>, what was the name of the region that ${hoh_roster_name} moved to?</t>
    </r>
  </si>
  <si>
    <t>Pas du tout d'accord</t>
  </si>
  <si>
    <t>482. Dans ${hoh_destination}, quel était le nom de la région vers laquelle ${hoh_roster_name} a été déplacé ?</t>
  </si>
  <si>
    <t>Ban yarda ba sam sam</t>
  </si>
  <si>
    <t>482. A ${hoh_destination}, menene sunan yankin da ${hoh_roster_name} ya koma?</t>
  </si>
  <si>
    <t>172. She argues with him</t>
  </si>
  <si>
    <t>172. Elle se dispute avec lui</t>
  </si>
  <si>
    <t>172. Ta yi mishi gardama</t>
  </si>
  <si>
    <t>hoh_dest_region_o</t>
  </si>
  <si>
    <t>243. Specify other</t>
  </si>
  <si>
    <t>243. Autre à préciser</t>
  </si>
  <si>
    <t>243. Wani daban a Bayyana</t>
  </si>
  <si>
    <t>Disagree</t>
  </si>
  <si>
    <t>Pas D'accord</t>
  </si>
  <si>
    <t>Ban yarda ba</t>
  </si>
  <si>
    <t>426. Poultry</t>
  </si>
  <si>
    <t>173. She refuses to pray</t>
  </si>
  <si>
    <t>426. Volaille</t>
  </si>
  <si>
    <t>173. Elle refuse de prier</t>
  </si>
  <si>
    <t>426. Kaji</t>
  </si>
  <si>
    <t>173. Ta ƙi yin sallah</t>
  </si>
  <si>
    <t>Neither agree nor disagree</t>
  </si>
  <si>
    <t>Ni d'accord ni en désaccord</t>
  </si>
  <si>
    <t>hoh_dest_frequency</t>
  </si>
  <si>
    <t>Babu yarda ko rashin yarda</t>
  </si>
  <si>
    <t>244. How many times did ${hoh_roster_name} travel to ${hoh_destination} since ${period}?</t>
  </si>
  <si>
    <t>244. Combien de fois ${hoh_roster_name} s'est-il rendu à ${hoh_destination} depuis la ${period_french}?</t>
  </si>
  <si>
    <t>244. Sau nawa ${hoh_roster_name} yayi tafiya zuwa ${hoh_destination} tun daga wancan ${period_hausa}?</t>
  </si>
  <si>
    <t>Agree</t>
  </si>
  <si>
    <t>D'accord</t>
  </si>
  <si>
    <t>Na yarda</t>
  </si>
  <si>
    <t>Other Countries</t>
  </si>
  <si>
    <t>174. She burns the food</t>
  </si>
  <si>
    <t>174. Elle brûle la nourriture</t>
  </si>
  <si>
    <t>174. Ta ƙona abincin</t>
  </si>
  <si>
    <t>421. How much did your household spend on ${hoh_item} in the past month (in CFA)?</t>
  </si>
  <si>
    <t>Strongly Agree</t>
  </si>
  <si>
    <t>421. Combien votre ménage a-t-il dépensé pour ${hoh_item} au cours du dernier mois (en CFA) ?</t>
  </si>
  <si>
    <t>Totalement d'accord</t>
  </si>
  <si>
    <t>421. Nawa ne (a CFA) gidanku ya kashe akan ${hoh_item} cikin watan da ya gabata ?</t>
  </si>
  <si>
    <t>Na yarda sosai</t>
  </si>
  <si>
    <t>speedcheck_hoh_rosterdest_end</t>
  </si>
  <si>
    <t>422. Has your household spent money on the following types of expenses in the past week?</t>
  </si>
  <si>
    <t>422. Votre ménage a-t-il dépensé de l'argent pour les types de dépenses suivants au cours de la semaine dernière ?</t>
  </si>
  <si>
    <t>422. Ko gidanku sun kashe kuɗi akan ire iren waɗannan abubuwan a cikin satin da ya gabata?</t>
  </si>
  <si>
    <t>dur_hoh_rosterdest</t>
  </si>
  <si>
    <t>worries</t>
  </si>
  <si>
    <t>423. How much did your household spend on ${hoh_item_week} in the past week (in CFA)?</t>
  </si>
  <si>
    <t>423. Combien votre ménage a-t-il dépensé en ${hoh_item_week} la semaine dernière (en CFA) ?</t>
  </si>
  <si>
    <t>423. Nawa ne gidan ku ya kashe (a CFA) a ${hoh_item_week} satin da ya gabata ?</t>
  </si>
  <si>
    <t>Not at all worried</t>
  </si>
  <si>
    <t>Pas du tout inquiet</t>
  </si>
  <si>
    <t>Ba damuwa ko kadan</t>
  </si>
  <si>
    <t>428. What is the phone number where we can reach you?</t>
  </si>
  <si>
    <t>428. Quel est le numéro de téléphone auquel nous pouvons vous joindre?</t>
  </si>
  <si>
    <t>428. Wace lambar waya ce zamu iya samun ku da ita?</t>
  </si>
  <si>
    <t>429. I am going to read back the phone number you just shared with me. Can you confirm this is your primary phone number? ${primary_phone}</t>
  </si>
  <si>
    <t>429. Je vais relire le numéro de téléphone que vous venez de me donner. Pouvez-vous confirmer qu'il s'agit de votre numéro de téléphone principal ? ${primary_phone}</t>
  </si>
  <si>
    <t>175. I've asked you a lot of questions about your life since our last in person interview (May/June 2024) in order to better understand your experiences. Is there anything else that has happened recently to you that has changed your life in an important way?</t>
  </si>
  <si>
    <t>429. Zan sake karanta lambar wayar da kuka bani. Zaku iya tabbatar mini da wannan itace lambar wayarku ta farko? ${primary_phone}</t>
  </si>
  <si>
    <t>175. Je vous ai posé beaucoup de questions sur votre vie depuis notre dernière enquête en personne (mai/juin 2024) écoulée afin de mieux comprendre vos expériences. Y a-t-il autre chose qui vous est arrivé récemment qui a changé votre vie de manière importante ?</t>
  </si>
  <si>
    <t>hoh_failed_prep</t>
  </si>
  <si>
    <t>245. Since ${period_bl}, was there ever a time when ${hoh_roster_name} planned to migrate but then had to cancel their plans?</t>
  </si>
  <si>
    <r>
      <rPr>
        <rFont val="Fira Code"/>
        <color rgb="FF1155CC"/>
        <sz val="10.0"/>
        <u/>
      </rPr>
      <t>175.Na</t>
    </r>
    <r>
      <rPr>
        <rFont val="Fira Code"/>
        <color rgb="FF000000"/>
        <sz val="10.0"/>
      </rPr>
      <t xml:space="preserve"> yi muku tambayoyi da yawa game da rayuwarku Tun daga tun bayan hirar mu ta ƙarshe a gaba da gaba (Mayu/Yuni 2024) suka wuce don in gane yanda kuke tahiyar rayuwarku. Ko akwai wani abu da ya faru da ku cikin kwanan nan wanda ya kawo wani mahimmin canji ga rayuwarku ?</t>
    </r>
  </si>
  <si>
    <t>245. Depuis cette ${period_french_bl}, y a-t-il déjà eu un moment où ${hoh_roster_name} avait prévu de migrer mais a ensuite dû annuler ses projets ?</t>
  </si>
  <si>
    <t>245. Tun daga ${period_hausa_bl}, ko akwai lokacin da ${hoh_roster_name} ya shirya zuwa biɗa amma sai ya soke shirinshi?</t>
  </si>
  <si>
    <t>Not very worried</t>
  </si>
  <si>
    <t>Pas très inquiet</t>
  </si>
  <si>
    <t>Ba damuwa sosai</t>
  </si>
  <si>
    <t>Somewhat worried</t>
  </si>
  <si>
    <t>Un peu inquiet</t>
  </si>
  <si>
    <t>Dan damuwa</t>
  </si>
  <si>
    <t>Enqueteur : ne pas lire les options, code basé sur la réponse</t>
  </si>
  <si>
    <t>hoh_failed_prep_country</t>
  </si>
  <si>
    <t>Ɗan bincike: kar ka zana zaɓuɓɓuka, lambar na amsar</t>
  </si>
  <si>
    <t>246. Where did they plan to migrate?</t>
  </si>
  <si>
    <t>246. Où envisageait-il de migrer ?</t>
  </si>
  <si>
    <t>246. Zuwa ina ya shirya zuwa biɗar?</t>
  </si>
  <si>
    <t>Very worried</t>
  </si>
  <si>
    <t>Très inquiet</t>
  </si>
  <si>
    <t>Damuwa sosai</t>
  </si>
  <si>
    <t>hoh_failed_prep_country_o</t>
  </si>
  <si>
    <t>247. Specify other</t>
  </si>
  <si>
    <t>247. Autre à préciser</t>
  </si>
  <si>
    <t>247. Wani daban a Bayyana</t>
  </si>
  <si>
    <t>176. Enumerator: Briefly summarize the changes described by the respondent</t>
  </si>
  <si>
    <t>hoh_failed_repeat</t>
  </si>
  <si>
    <t>176. Enquêteur : Résumez brièvement les changements décrits par le répondant</t>
  </si>
  <si>
    <t>Failed Migrations</t>
  </si>
  <si>
    <t>176. Ɗan bincike: A taƙaice rubuta canje-canjen da mai bada amsa ya gaya maka</t>
  </si>
  <si>
    <t>427. Goat</t>
  </si>
  <si>
    <t>selected(${w_other_changes}, '-777')</t>
  </si>
  <si>
    <t>427. Chèvre</t>
  </si>
  <si>
    <t>427. Akuya</t>
  </si>
  <si>
    <t>hoh_failed_index</t>
  </si>
  <si>
    <t>428. Poultry</t>
  </si>
  <si>
    <t>428. Volaille</t>
  </si>
  <si>
    <t>428. Kaji</t>
  </si>
  <si>
    <t>state_likert</t>
  </si>
  <si>
    <t>Strongly agree with Statement 1</t>
  </si>
  <si>
    <t>Tout à fait d'accord avec l'énoncé 1</t>
  </si>
  <si>
    <t>435. Please tell me the phone number you use for Whatsapp</t>
  </si>
  <si>
    <t>Amincewa sosai da Bayanin 1</t>
  </si>
  <si>
    <t>435. Veuillez me dire le numéro de téléphone que vous utilisez pour Whatsapp</t>
  </si>
  <si>
    <t>435. Don Allah ku gaya mini lambar wayar da kuke amfani da ita don yin Whatsapp</t>
  </si>
  <si>
    <t>436. I am going read back the phone number you just shared with me as your Whatsapp number. Is this the phone number you use for whatsapp? ${phone_whatsapp_number}</t>
  </si>
  <si>
    <t>436. Je vais relire le numéro de téléphone que vous nous avez donné comme votre numéro Whatsapp. Est-ce le numéro de téléphone que vous utilisez pour WhatsApp ? ${phone_whatsapp_number}</t>
  </si>
  <si>
    <t>436. Zan sake karanta lambar wayar da kuka bani a zaman lambar Whatsapp dinku. Wannan shine lambar wayar da kuke amfani da ita don yin whatsapp? ${phone_whatsapp_number}</t>
  </si>
  <si>
    <t>437. Please go back and correct the number.</t>
  </si>
  <si>
    <t>437. Veuillez revenir en arrière pour corriger le numéro.</t>
  </si>
  <si>
    <t>437. Da fatan za ka koma baya ka gyara lambar.</t>
  </si>
  <si>
    <t>Agree with Statement 1</t>
  </si>
  <si>
    <t>438. Do you have other phone numbers that you use regularly (i.e. other phone carriers)?</t>
  </si>
  <si>
    <t>438. Avez-vous d'autres numéros de téléphone que vous utilisez régulièrement (c'est-à-dire d'autres opérateurs téléphoniques) ?</t>
  </si>
  <si>
    <t>D'accord avec l'énoncé 1</t>
  </si>
  <si>
    <t>438. Ko kuna da wasu lambobin waya waɗanda kuke amfani da su kai-akai (layin wasu gidan wayar salula)?</t>
  </si>
  <si>
    <t>Amincewa da Bayanin 1</t>
  </si>
  <si>
    <t>439. How many other additional phone numbers?</t>
  </si>
  <si>
    <t>439. Y-a t-il d'autres numéros de téléphone supplémentaires ?</t>
  </si>
  <si>
    <t>439. 220 a. Ko akwai ƙarin wasu lambobin waya?</t>
  </si>
  <si>
    <t>Agree with Statement 2</t>
  </si>
  <si>
    <t>D'accord avec l'énoncé 2</t>
  </si>
  <si>
    <t>Amincewa da Bayanin 2</t>
  </si>
  <si>
    <t>440. What are these additional phone numbers?</t>
  </si>
  <si>
    <t>440. Quels sont les numéros de téléphone supplémentaires ?</t>
  </si>
  <si>
    <t>440. Waɗannene ƙarin lambobin wayan?</t>
  </si>
  <si>
    <t>441.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</si>
  <si>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</si>
  <si>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441. Idan ba za mu iya samun ku ba, ko za ku iya ba mu suna da lambar wayar wani wanda ba na gidanku ba da za mu iya kira don neman lambar ku?
 Za mu kirayi mutumen ne kawai idan bamu sameku ba bayan kira biyu zuwa uku, hakan zai taimaka mana ci gaba da tuntuɓar ku.</t>
  </si>
  <si>
    <t>Strongly agree with Statement 2</t>
  </si>
  <si>
    <t>Tout à fait d'accord avec l'énoncé 2</t>
  </si>
  <si>
    <t>442. What is the last name of this person</t>
  </si>
  <si>
    <t>442. Quel est le nom de cette personne</t>
  </si>
  <si>
    <t>442. Menene sunan uban wannan mutumen?</t>
  </si>
  <si>
    <t>443. What is the first name of this person</t>
  </si>
  <si>
    <t>443. Quel est le prénom de cette personne</t>
  </si>
  <si>
    <t>443. Menene sunan wannan mutumen?</t>
  </si>
  <si>
    <t xml:space="preserve">${speedcheck_w_nothoh_end} - ${speedcheck_w_nothoh_start} </t>
  </si>
  <si>
    <t>hoh_failed_country_index</t>
  </si>
  <si>
    <t>statement</t>
  </si>
  <si>
    <t>Statement 1</t>
  </si>
  <si>
    <t>429. As I mentioned at the beginning of our interview, we would like to stay in touch with you.</t>
  </si>
  <si>
    <t>429. Comme je l'ai mentionné au début de notre entretien, nous aimerions rester en contact avec vous.</t>
  </si>
  <si>
    <t>Énoncé 1</t>
  </si>
  <si>
    <t>429. Kamar yadda na faɗa a farkon hirarmu, muna son mu ci gaba da tuntuɓar ku.</t>
  </si>
  <si>
    <t>Bayanin 1</t>
  </si>
  <si>
    <t>hoh_failed_country</t>
  </si>
  <si>
    <t>430. What is the phone number where we can reach you?</t>
  </si>
  <si>
    <t>430. Quel est le numéro de téléphone auquel nous pouvons vous joindre?</t>
  </si>
  <si>
    <t>430. Wace lambar waya ce zamu iya samun ku da ita?</t>
  </si>
  <si>
    <t>hoh_failed_town</t>
  </si>
  <si>
    <t>248. In ${hoh_failed_country}, what was the name of the city or town that ${hoh_roster_name} planned to move to?</t>
  </si>
  <si>
    <t>Statement 2</t>
  </si>
  <si>
    <t>248. Dans ${hoh_failed_country}, quel était le nom de la ville ou du village vers lequel ${hoh_roster_name} prévoyait de voyager ?</t>
  </si>
  <si>
    <t>Énoncé 2</t>
  </si>
  <si>
    <t>248. A ƙasar ${hoh_failed_country}, menene sunan birni ko garin da sunan ${hoh_roster_name} yayi shirin zuwa?</t>
  </si>
  <si>
    <t>Bayanin 2</t>
  </si>
  <si>
    <t>177.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</si>
  <si>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177.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</si>
  <si>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Statement 3</t>
  </si>
  <si>
    <t>Énoncé 3</t>
  </si>
  <si>
    <t>177.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</si>
  <si>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hoh_failed_town_o</t>
  </si>
  <si>
    <t>Bayanin 3</t>
  </si>
  <si>
    <t>249. Specify other</t>
  </si>
  <si>
    <t>249. Autre à préciser</t>
  </si>
  <si>
    <t>249. Wani daban a Bayyana</t>
  </si>
  <si>
    <t xml:space="preserve">hoh_failed_region </t>
  </si>
  <si>
    <t>hoh_failed_region_o</t>
  </si>
  <si>
    <t>251. Specify other</t>
  </si>
  <si>
    <t>251. Autre à préciser</t>
  </si>
  <si>
    <t>251. Wani daban a Bayyana</t>
  </si>
  <si>
    <t>178. visiting your family or friends?</t>
  </si>
  <si>
    <t>178. rendre visite à votre famille ou à vos amis ?</t>
  </si>
  <si>
    <t>178. ziyartar danginku ko abokananku?</t>
  </si>
  <si>
    <t>hoh_failed_prep_count</t>
  </si>
  <si>
    <t>save_or_share</t>
  </si>
  <si>
    <t>252. How many times did they plan to migrate to ${hoh_failed_country} and fail?</t>
  </si>
  <si>
    <t>252. Combien de fois ont-ils prévu de migrer vers ${hoh_failed_country} et ont-ils échoué ?</t>
  </si>
  <si>
    <t>252. Sau nawa ya shirya zuwa ƙasar ${hoh_failed_country} kuma ya kasa?</t>
  </si>
  <si>
    <t>1. Save the surplus for the future</t>
  </si>
  <si>
    <t>1. Économisez le surplus pour l'avenir</t>
  </si>
  <si>
    <t>1. Ajiyar ƙarin don gaba</t>
  </si>
  <si>
    <t>select_multiple fail_reason</t>
  </si>
  <si>
    <t>hoh_failed_prep_reason</t>
  </si>
  <si>
    <t>253. Why did they change their plans?</t>
  </si>
  <si>
    <t>253. Pourquoi a-t-il changé son plan?</t>
  </si>
  <si>
    <t>253. Me yasa ya fasa tafiyar?</t>
  </si>
  <si>
    <t>2. Share its surplus with less fortunate households in the village</t>
  </si>
  <si>
    <t>2. Partager son surplus avec les ménages moins fortunés du village</t>
  </si>
  <si>
    <t>2. Raba ƙarin da sauran gidaje marasa galihu a garin</t>
  </si>
  <si>
    <t>179. working outside the household?</t>
  </si>
  <si>
    <t>179. travailler en dehors du ménage ?</t>
  </si>
  <si>
    <t>179. aiki a wajen gidanku?</t>
  </si>
  <si>
    <t>hoh_failed_prep_reason_o</t>
  </si>
  <si>
    <t>254. Specify other reason</t>
  </si>
  <si>
    <t>254. Précisez une autre raison</t>
  </si>
  <si>
    <t>254. Baiyana wani dalili daban</t>
  </si>
  <si>
    <t>438. I am going read back the phone number you just shared with me as your Whatsapp number. Is this the phone number you use for whatsapp? ${phone_whatsapp_number}</t>
  </si>
  <si>
    <t>438. Je vais relire le numéro de téléphone que vous nous avez donné comme votre numéro Whatsapp. Est-ce le numéro de téléphone que vous utilisez pour WhatsApp ? ${phone_whatsapp_number}</t>
  </si>
  <si>
    <t>438. Zan sake karanta lambar wayar da kuka bani a zaman lambar Whatsapp dinku. Wannan shine lambar wayar da kuke amfani da ita don yin whatsapp? ${phone_whatsapp_number}</t>
  </si>
  <si>
    <t>439. Please go back and correct the number.</t>
  </si>
  <si>
    <t>439. Veuillez revenir en arrière pour corriger le numéro.</t>
  </si>
  <si>
    <t>439. Da fatan za ka koma baya ka gyara lambar.</t>
  </si>
  <si>
    <t>speedcheck_hoh_roster_end</t>
  </si>
  <si>
    <t>attitude</t>
  </si>
  <si>
    <t>1. The entire way our society is organized must be radically changed by revolutionary action</t>
  </si>
  <si>
    <t>440. Do you have other phone numbers that you use regularly (i.e. other phone carriers)?</t>
  </si>
  <si>
    <t>1. Toute la manière dont notre société est organisée doit être radicalement changée par l'action révolutionnaire</t>
  </si>
  <si>
    <t>440. Avez-vous d'autres numéros de téléphone que vous utilisez régulièrement (c'est-à-dire d'autres opérateurs téléphoniques) ?</t>
  </si>
  <si>
    <t>1. Dukkanin yadda al'ummarmu take da tsari dole ne a canza su ta hanyar juyin juya hali</t>
  </si>
  <si>
    <t>440. Ko kuna da wasu lambobin waya waɗanda kuke amfani da su kai-akai (layin wasu gidan wayar salula)?</t>
  </si>
  <si>
    <t>dur_hoh_roster</t>
  </si>
  <si>
    <t>441. How many other additional phone numbers?</t>
  </si>
  <si>
    <t>441. Y-a t-il d'autres numéros de téléphone supplémentaires ?</t>
  </si>
  <si>
    <t>441. 220 a. Ko akwai ƙarin wasu lambobin waya?</t>
  </si>
  <si>
    <t>2. Our society must be gradually improved by reforms</t>
  </si>
  <si>
    <t>454. What is ${secondary_name2}'s relationship to you?</t>
  </si>
  <si>
    <t>2. Notre société doit être progressivement améliorée par des réformes</t>
  </si>
  <si>
    <t>454. Quelle est la relation entre ${secondary_name2} et vous ?</t>
  </si>
  <si>
    <t>454. Menene alaƙar ku da ${secondary_name2} ?</t>
  </si>
  <si>
    <t>2. Dole ne a inganta al'ummarmu a hankali ta hanyar gyara</t>
  </si>
  <si>
    <t>442. What are these additional phone numbers?</t>
  </si>
  <si>
    <t>442. Quels sont les numéros de téléphone supplémentaires ?</t>
  </si>
  <si>
    <t>442. Waɗannene ƙarin lambobin wayan?</t>
  </si>
  <si>
    <t>456. Please go back and correct the name and phone number.</t>
  </si>
  <si>
    <t>456. Veuillez revenir en arrière et corriger le nom et le numéro de téléphone.</t>
  </si>
  <si>
    <t>456. Da fatan za ka koma baya ka gyara suna da lambar waya.</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</si>
  <si>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</si>
  <si>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</si>
  <si>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</si>
  <si>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443.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</si>
  <si>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</si>
  <si>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443. Idan ba za mu iya samun ku ba, ko za ku iya ba mu suna da lambar wayar wani wanda ba na gidanku ba da za mu iya kira don neman lambar ku?
 Za mu kirayi mutumen ne kawai idan bamu sameku ba bayan kira biyu zuwa uku, hakan zai taimaka mana ci gaba da tuntuɓar ku.</t>
  </si>
  <si>
    <t>458. Please go back and enter a new phone number.</t>
  </si>
  <si>
    <t>458. Veuillez ressaisir le numéro</t>
  </si>
  <si>
    <t xml:space="preserve">458. </t>
  </si>
  <si>
    <t>hoh_members_above_7</t>
  </si>
  <si>
    <t>Members 7+</t>
  </si>
  <si>
    <t>Membres 7+</t>
  </si>
  <si>
    <t>Membobi 7+</t>
  </si>
  <si>
    <t>444. What is the last name of this person</t>
  </si>
  <si>
    <t>444. Quel est le nom de cette personne</t>
  </si>
  <si>
    <t>444. Menene sunan uban wannan mutumen?</t>
  </si>
  <si>
    <t>hoh_members_living_in_hh</t>
  </si>
  <si>
    <t>Members Living in HH</t>
  </si>
  <si>
    <t>445. What is the first name of this person</t>
  </si>
  <si>
    <t>445. Quel est le prénom de cette personne</t>
  </si>
  <si>
    <t>445. Menene sunan wannan mutumen?</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</si>
  <si>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</si>
  <si>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</si>
  <si>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</si>
  <si>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</si>
  <si>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459. How interested was the resppondent</t>
  </si>
  <si>
    <t>459. Dans quelle mesure le répondant était-il intéressé</t>
  </si>
  <si>
    <t>459. Yaya kake ganin maida hankalin mai bada amsa yake</t>
  </si>
  <si>
    <t>hoh_members_in_hh</t>
  </si>
  <si>
    <t>2. There are not enough customs and habits in my society to guide me</t>
  </si>
  <si>
    <t>446. What is their phone number?</t>
  </si>
  <si>
    <t>2. Il n'y a pas assez des us et coutumes dans ma société pour me guider</t>
  </si>
  <si>
    <t>446. Quel est leur numéro de téléphone?</t>
  </si>
  <si>
    <t>446. Menene lambar wayarsu?</t>
  </si>
  <si>
    <t>2. Babu isassun al'adu da ɗabi'a a cikin al'ummata da za su jagorance ni</t>
  </si>
  <si>
    <t>hoh_dom_mig</t>
  </si>
  <si>
    <t>447. What is ${secondary_name1}'s relationship to you?</t>
  </si>
  <si>
    <t>447. Quelle est la relation entre ${secondary_name1} et vous ?</t>
  </si>
  <si>
    <t>447. Menene alaƙar ku da ${secondary_name1} ?</t>
  </si>
  <si>
    <t>hoh_border_cross</t>
  </si>
  <si>
    <t>3. There are just about the right amount of customs and habits in my society</t>
  </si>
  <si>
    <t>3. Il y a à peu près ce qu'il faut des us et coutumes dans ma société</t>
  </si>
  <si>
    <t>3. Akwai daidai adadin al'adu da halaye a cikin al'ummata</t>
  </si>
  <si>
    <t>448. Just to confirm, is this the number? 
 ${secondary_name1}
 ${secondary_phone1}</t>
  </si>
  <si>
    <t>448. Juste pour confirmer, est-ce bien le numéro ?
 ${secondary_name1}
 ${secondary_phone1}</t>
  </si>
  <si>
    <t>180. The next set of questions are for married women only</t>
  </si>
  <si>
    <t>448. Don tabbatarwa kawai, da wannan itace lambar?
 ${secondary_name1}
 ${secondary_phone1}</t>
  </si>
  <si>
    <t>hoh_border_cross_ecowas</t>
  </si>
  <si>
    <t>449. Please go back and correct the name and phone number.</t>
  </si>
  <si>
    <t>449. Veuillez revenir en arrière et corriger le nom et le numéro de téléphone.</t>
  </si>
  <si>
    <t>449. Da fatan za ka koma baya don ka gyara suna da lambar waya.</t>
  </si>
  <si>
    <t>hoh_mig_any</t>
  </si>
  <si>
    <t>450. I am going to call this phone number to confirm it is correct. [Enumerator: Did the phone ring?]</t>
  </si>
  <si>
    <t>450. Je vais appeler ce numéro de téléphone pour confirmer qu'il est correct. [Enquêteur : Le téléphone a-t-il sonné ?]</t>
  </si>
  <si>
    <t>450. Zan kirayi wannan lambar wayar don tabbatar da daidai ce. [Ɗan bincike: Wayar ta yi ƙara?]</t>
  </si>
  <si>
    <t>451. Please go back and enter a new phone number.</t>
  </si>
  <si>
    <t>451. Veuillez ressaisir le numéro</t>
  </si>
  <si>
    <t>451. Da fatan zaku rubuta lambar</t>
  </si>
  <si>
    <t>hoh_hh_resources</t>
  </si>
  <si>
    <t>Household Resources</t>
  </si>
  <si>
    <t>181. When two people marry or live together, they share both good and bad moments. In your relationship with your husband/partner do the following happen frequently, only sometimes, or never?</t>
  </si>
  <si>
    <t>452.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</si>
  <si>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452.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</si>
  <si>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181. Lorsque deux personnes se marient ou vivent ensemble, elles partagent de bons et de mauvais moments. Dans votre relation avec votre mari/partenaire, les situations suivantes se produisent-elles a quelle frequence?</t>
  </si>
  <si>
    <t>husbandwife</t>
  </si>
  <si>
    <t>452.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</si>
  <si>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181. Idan mutum biyu suka yi aure ko suna zaune tare, suna raba lokutta masu daɗi da marasa daɗi. A cikin zamantakewarku da mijinki/abokin zaman, ko waɗannan abubuwan suna faruwa kai-aka?</t>
  </si>
  <si>
    <t>Only wife decides</t>
  </si>
  <si>
    <t>Seule la femme décide</t>
  </si>
  <si>
    <t>hoh_hh_resources_note</t>
  </si>
  <si>
    <t>Mace ce kawai ta yanke shawara</t>
  </si>
  <si>
    <t>255. Now I will ask you about how your household manages its resources.</t>
  </si>
  <si>
    <t>255. Je vais maintenant vous demander comment votre ménage gère ses ressources.</t>
  </si>
  <si>
    <t>255. Yanzu zan tambaye ku yadda gidanku yake sarrafa dukiyoyinshi.</t>
  </si>
  <si>
    <t>Somewhat more than the husband</t>
  </si>
  <si>
    <t>Un peu plus que le mari</t>
  </si>
  <si>
    <t>Da ɗan fiye da mijin</t>
  </si>
  <si>
    <t>182. He is affectionnate with you</t>
  </si>
  <si>
    <t>182. Il est affectueux avec vous</t>
  </si>
  <si>
    <t>182. Yana nuna muku soyayya</t>
  </si>
  <si>
    <t>hoh_own_home</t>
  </si>
  <si>
    <t>Equal to husband</t>
  </si>
  <si>
    <t>256. Do you or another member of the household own this house?</t>
  </si>
  <si>
    <t>Égal au mari</t>
  </si>
  <si>
    <t>256. Est-ce que vous ou un autre membre du ménage êtes propriétaire de cette maison ?</t>
  </si>
  <si>
    <t>Daidai da miji</t>
  </si>
  <si>
    <t>256. Shin wannan gidan mallakarku ne kai ko wani dan cikin gidan ?</t>
  </si>
  <si>
    <t>464. That is the end of the survey. Thank you for your time.</t>
  </si>
  <si>
    <t>464. C'est la fin de l'enquête. Merci pour votre temps.</t>
  </si>
  <si>
    <t>464. Karshen tambayoyin kenan. Na gode da lokacin da kuka bani.</t>
  </si>
  <si>
    <t>Somewhat less than husband</t>
  </si>
  <si>
    <t>hoh_home_value</t>
  </si>
  <si>
    <t>Un peu moins que le mari</t>
  </si>
  <si>
    <t>257. What is your best estimate of the value of your home in CFA?</t>
  </si>
  <si>
    <t>Kasan miji</t>
  </si>
  <si>
    <t>257. Quelle est votre meilleure estimation de la valeur de votre maison en CFA ?</t>
  </si>
  <si>
    <t>257. A ganinka wannan gidan aƙalla ya yi nawa a kudin CFA ?</t>
  </si>
  <si>
    <t>183. He respects you and your wishes</t>
  </si>
  <si>
    <t>183. Il vous respecte et respecte vos souhaits</t>
  </si>
  <si>
    <t>183. Yana girmama ku kuma ya na girmama buƙatuntu</t>
  </si>
  <si>
    <t>Only husband decides</t>
  </si>
  <si>
    <t>Seul le mari décide</t>
  </si>
  <si>
    <t>Miji ne kawai ya yanke shawara</t>
  </si>
  <si>
    <t>select_multiple assets</t>
  </si>
  <si>
    <t>hoh_durable_asset</t>
  </si>
  <si>
    <t>258. Does your household own the following goods?</t>
  </si>
  <si>
    <t>258. Votre ménage possède-t-il les biens suivants ?</t>
  </si>
  <si>
    <t>258. Ko gidanku na da kadarori masu zuwa?</t>
  </si>
  <si>
    <t>select_multiple livestock</t>
  </si>
  <si>
    <t>hoh_livestock_any</t>
  </si>
  <si>
    <t>259. Does your household own any of the following types of livestock?</t>
  </si>
  <si>
    <t>259. Votre ménage possède-t-il l'un des types de bétail suivants ?</t>
  </si>
  <si>
    <t>259. ko gidanku yana da ɗaya daga cikin irin wadannan dabbobi?</t>
  </si>
  <si>
    <t>speedcheck_hoh_livestock_start</t>
  </si>
  <si>
    <t>458. Please go back and correct the name and phone number.</t>
  </si>
  <si>
    <t>458. Veuillez revenir en arrière et corriger le nom et le numéro de téléphone.</t>
  </si>
  <si>
    <t>458. Da fatan za ka koma baya ka gyara suna da lambar waya.</t>
  </si>
  <si>
    <t>hoh_livestock</t>
  </si>
  <si>
    <t>Assets</t>
  </si>
  <si>
    <t>Actifs</t>
  </si>
  <si>
    <t>Kadara</t>
  </si>
  <si>
    <t>459. I am going to call this phone number to confirm it is correct. [Enumerator: Did the phone ring?]</t>
  </si>
  <si>
    <t>459. Je vais appeler ce numéro de téléphone pour confirmer qu'il est correct. [Enquêteur : Le téléphone a-t-il sonné ?]</t>
  </si>
  <si>
    <t>live_home</t>
  </si>
  <si>
    <t>459. Zan kirayi wannan lambar wayar don tabbatar da daidai ce. [Ɗan bincike: Wayar ta yi ƙara?]</t>
  </si>
  <si>
    <t>Will surely live at home</t>
  </si>
  <si>
    <t>hoh_livestock_name</t>
  </si>
  <si>
    <t>Est presque sûr de toujours habiter ici</t>
  </si>
  <si>
    <t xml:space="preserve">Asset Name </t>
  </si>
  <si>
    <t>Tabbas zai rayu a gida</t>
  </si>
  <si>
    <t>Nom de l'actif</t>
  </si>
  <si>
    <t>Sunan kadara</t>
  </si>
  <si>
    <t>460. Please go back and enter a new phone number.</t>
  </si>
  <si>
    <t>460. Veuillez ressaisir le numéro</t>
  </si>
  <si>
    <t xml:space="preserve">460. </t>
  </si>
  <si>
    <t>hoh_livestock_own</t>
  </si>
  <si>
    <t>260. How many ${hoh_livestock_name} does your household own?</t>
  </si>
  <si>
    <t>260. Combien de ${hoh_livestock_name} votre ménage possède-t-il ?</t>
  </si>
  <si>
    <t>260. ${hoh_livestock_name} Nawa gidan ku ya mallaka ?</t>
  </si>
  <si>
    <t>Very likely to live at home</t>
  </si>
  <si>
    <t>Est probable de toujours habiter ici'</t>
  </si>
  <si>
    <t>184. Now I am going to ask you about some situations which happen to some women. Please tell me if these apply to your relationship with your husband?</t>
  </si>
  <si>
    <t>184. Maintenant, je vais vous poser des questions sur certaines situations qui arrivent à certaines femmes. Veuillez me dire si cela s'applique à votre relation avec votre mari ?</t>
  </si>
  <si>
    <t>Yiwuwar zama a gida</t>
  </si>
  <si>
    <t>184. To, yanzu zan tambaye ku game da wasu al’amura da suke faruwa ga wasu mata. Ko kun gaya mini idan waɗannan sun shafi zamantakewarku da mijinku?</t>
  </si>
  <si>
    <t>More likely than not to live at home</t>
  </si>
  <si>
    <t>hoh_livestock_value</t>
  </si>
  <si>
    <t>Plus probable de toujours habiter ici qu'ailleurs</t>
  </si>
  <si>
    <t>261. How much is ${hoh_livestock_name} worth in CFA?</t>
  </si>
  <si>
    <t>Mafi kusantar zama a gida</t>
  </si>
  <si>
    <t>261. Combien vaut ${hoh_livestock_name} en CFA ?</t>
  </si>
  <si>
    <t>261. Nawa ne kuɗin ${hoh_livestock_name} a sefa?</t>
  </si>
  <si>
    <t>185. He does not trust your fidelty</t>
  </si>
  <si>
    <t>185. Il est jaloux et vous montre qu'il n’a pas confiance en vous ?</t>
  </si>
  <si>
    <t>185. Yana zargin ku kullum da nuna rashin yarda?</t>
  </si>
  <si>
    <t>More likely than not to live elsewhere</t>
  </si>
  <si>
    <t>Plus probable d'habiter ailleurs qu'ici</t>
  </si>
  <si>
    <t>Mai yuwuwa fiye da kada ku zauna a wani wuri</t>
  </si>
  <si>
    <t>463. How well did the respondent understand the questions?</t>
  </si>
  <si>
    <t>463. Dans quelle mesure le répondant a-t-il compris les questions ?</t>
  </si>
  <si>
    <t>463. Yaya kake ganin mai bada amsa ya fahimci tambayoyin?</t>
  </si>
  <si>
    <t>speedcheck_hoh_livestock_end</t>
  </si>
  <si>
    <t>464. Was the interview conducted in the presence of other people?</t>
  </si>
  <si>
    <t>464. L'entretien a-t-il été réalisé en présence d'autres personnes ?</t>
  </si>
  <si>
    <t>464. Ko an yi hirar ne a gaban wasu mutane?</t>
  </si>
  <si>
    <t>dur_hoh_livestock</t>
  </si>
  <si>
    <t>Very likely to live elsewhere</t>
  </si>
  <si>
    <t>Est probable d'habiter ailleurs</t>
  </si>
  <si>
    <t>Yiwuwar zama wani wuri</t>
  </si>
  <si>
    <t>465. Enumerator: Record any comments on the survey</t>
  </si>
  <si>
    <t>186. He (does/did) not permit you to meet your girl friends?</t>
  </si>
  <si>
    <t>465. Enquêteur : Veuillez noter vos commentaires si vous en avez</t>
  </si>
  <si>
    <t xml:space="preserve">465. </t>
  </si>
  <si>
    <t>186. Il ne vous a pas permis de rencontrer vos copines ?</t>
  </si>
  <si>
    <t>186. Bai baku izinin ganin ƙawayenku ba?</t>
  </si>
  <si>
    <t>speedcheck_hoh_land_start</t>
  </si>
  <si>
    <t>Will surely live elsewhere</t>
  </si>
  <si>
    <t>Est presque sûr d'habiter ailleurs</t>
  </si>
  <si>
    <t>Tabbas zai rayu a wani wuri</t>
  </si>
  <si>
    <t>466. That is the end of the survey. Thank you for your time.</t>
  </si>
  <si>
    <t>466. C'est la fin de l'enquête. Merci pour votre temps.</t>
  </si>
  <si>
    <t>466. Karshen tambayoyin kenan. Na gode da lokacin da kuka bani.</t>
  </si>
  <si>
    <t>187. He (tries/tried) to limit your contact with your family?</t>
  </si>
  <si>
    <t>187. Il essaie de limiter vos contacts avec votre famille ?</t>
  </si>
  <si>
    <t>187. Ya na ƙoƙarin ya rage hulɗarku da danginku?</t>
  </si>
  <si>
    <t>live_away</t>
  </si>
  <si>
    <t>Will surely live in Niger</t>
  </si>
  <si>
    <t>Est presque sûr de toujours habiter au Niger</t>
  </si>
  <si>
    <t>Tabbas ya fi son ya zauna ya rayu a Nijar</t>
  </si>
  <si>
    <t>Very likely to live in Niger</t>
  </si>
  <si>
    <t>Est probable de toujours habiter au Niger</t>
  </si>
  <si>
    <t>Ya fi son sosai ya zauna ya rayu a Nijar</t>
  </si>
  <si>
    <t>More likely than not to live in Niger</t>
  </si>
  <si>
    <t>Plus probable de toujours habiter au Niger qu'ailleurs</t>
  </si>
  <si>
    <t>Ya fi son zama a Nijar fiye da wani wuri</t>
  </si>
  <si>
    <t>More likely than not to live in another country</t>
  </si>
  <si>
    <t>Plus probable d'habiter ailleurs que Niger</t>
  </si>
  <si>
    <t>Ya fi son sosai ya zauna ya rayu a wani wuri</t>
  </si>
  <si>
    <t>188. Now if you will permit me, I need to ask some more questions about your relationship with your husband. Does he ever?</t>
  </si>
  <si>
    <t>188. Maintenant, si vous me le permettez, je dois poser quelques questions supplémentaires sur votre relation avec votre mari. Est-ce qu'il a jamais?</t>
  </si>
  <si>
    <t>Very likely to live in another country</t>
  </si>
  <si>
    <t>188. Yanzu idan za ki ba ni izini, Ina bukatar yin wasu tambayoyi game da dangantakarki da mijinki. Ko ya taba?</t>
  </si>
  <si>
    <t>Will surely live in another country</t>
  </si>
  <si>
    <t>Tabbas ya zauna ya rayu a wani wuri</t>
  </si>
  <si>
    <t>189. Say or do something to humiliate you in front of others</t>
  </si>
  <si>
    <t>189. Dit ou fait quelque chose pour vous humilier devant les autres</t>
  </si>
  <si>
    <t>189. Fadi ko yin wani abu don wulaƙanta ku a gaban wasu</t>
  </si>
  <si>
    <t>school_prefer_son</t>
  </si>
  <si>
    <t>190. Threaten you or someone close to you with harm</t>
  </si>
  <si>
    <t>Strongly prefer sons complete koranic school</t>
  </si>
  <si>
    <t>190. Vous menacer vous-même ou quelqu'un proche de vous à vous faire du mal</t>
  </si>
  <si>
    <t>Préfère fortement que les fils terminent l'école coranique</t>
  </si>
  <si>
    <t>190. Yi muku barazana ko wani na kusa da ku da cutarwa</t>
  </si>
  <si>
    <t>Ya fi son sosai ƴaƴa maza su kammala karatun ƙur'ani</t>
  </si>
  <si>
    <t>Somewhat prefer sons complete koranic school</t>
  </si>
  <si>
    <t>Préfère un peu que les fils terminent l'école coranique</t>
  </si>
  <si>
    <t>Ya ɗan fi son ƴaƴa maza su kammala karatun ƙur'ani</t>
  </si>
  <si>
    <t>191. Push you shake you or throw something at you</t>
  </si>
  <si>
    <t>191. Vous pousser, vous secouer ou jeter quelque chose sur vous</t>
  </si>
  <si>
    <t>191. Tura ku girgiza ku ko jefar da wani abu bisanku</t>
  </si>
  <si>
    <t>Indifferent between completion of koranic school or bacalaureat</t>
  </si>
  <si>
    <t>Indifférent entre l'achèvement de l'école coranique et de l'école formelle jusqu'au baccalauréat</t>
  </si>
  <si>
    <t>Babu zaɓi tsakanin kammala karatun kur'ani ko boko har zuwa Bak</t>
  </si>
  <si>
    <t>Somewhat prefer sons complete bacalaureat</t>
  </si>
  <si>
    <t>Préfère un peu que les fils terminent l'école jusqu'au bac</t>
  </si>
  <si>
    <t>Ya ɗan fi son ƴaƴa maza su kammala karatun boko har zuwa Bak</t>
  </si>
  <si>
    <t>192. Slap you or twist your arm</t>
  </si>
  <si>
    <t>192. Vous gifler ou vous tordre le bras</t>
  </si>
  <si>
    <t>192. Mari ko murɗa hannunku</t>
  </si>
  <si>
    <t>Strongly prefer sons complete bacalaureat</t>
  </si>
  <si>
    <t>Préfère fortement que les garçons termnent l'école jusqu'au baccalauréat</t>
  </si>
  <si>
    <t>Ya fi son sosai ƴaƴa maza su kammala karatun boko har zuwa Bak</t>
  </si>
  <si>
    <t>hoh_agriculture_note</t>
  </si>
  <si>
    <t>262. Now we'll talk about your households' agricultural and and animal husbandry activities. 
 Let's starting with the most recent agricultural season</t>
  </si>
  <si>
    <t>262. Maintenant, nous allons parler des activités agricoles et d'élevage de votre ménage.
 Commençons par la dernière saison agricole</t>
  </si>
  <si>
    <t>262. Yanzu za mu yi hira bisa aikin noma da kiwo na gidanku.</t>
  </si>
  <si>
    <t>193. Punch you with his fist or with something that could hurt you</t>
  </si>
  <si>
    <t>193. Vous frapper avec son poing ou avec quelque chose qui pourrait vous blesser</t>
  </si>
  <si>
    <t>193. Yi muku naushi da hannu ko da wani abu da zai iya cutar da ku</t>
  </si>
  <si>
    <t>work_prefer_son</t>
  </si>
  <si>
    <t>Strongly prefer sons stay and work the land</t>
  </si>
  <si>
    <t>Préfère fortement que les fils restent et travaillent la terre</t>
  </si>
  <si>
    <t>Ya fi so sosai ƴaƴa maza su zauna su yi aikin gona</t>
  </si>
  <si>
    <t>Somewhat prefer sons stay and work the land</t>
  </si>
  <si>
    <t>hoh_land_access_amt</t>
  </si>
  <si>
    <t>Préfère un peu que les fils restent et travaillent la terre</t>
  </si>
  <si>
    <t>Ya ɗan fi son ƴaƴa maza su zauna su yi aikin gona</t>
  </si>
  <si>
    <t>263. Thinking of all the agricultural land your household owned, rented or and had access to during the last agricultural season, please estimate its total size in hectres</t>
  </si>
  <si>
    <t>263. En pensant à toutes les terres agricoles que votre ménage possédait, louait ou auxquelles il avait accès au cours de la dernière saison agricole, veuillez estimer leur superficie totale en hectares</t>
  </si>
  <si>
    <t>263. A ganinka da gonakan da kuka mallaka da na haya da na aro wanda kuka noma a bana sun kai eka nawa?</t>
  </si>
  <si>
    <t>194. Kick you or drag you</t>
  </si>
  <si>
    <t>194. Vous donner un coup de pied ou vous traîner</t>
  </si>
  <si>
    <t>194. Habre ku ko jan ku</t>
  </si>
  <si>
    <t>Indifferent between sons staying and leaving</t>
  </si>
  <si>
    <t>hoh_own_hectares</t>
  </si>
  <si>
    <t>Indifférent entre les fils restent travailler la terre et partent en ville</t>
  </si>
  <si>
    <t>264. How much of this land (in hectares) do you or another member of your household own?</t>
  </si>
  <si>
    <t>264. Quelle superficie de cette terre (en hectares) vous ou un autre membre de votre ménage possédez?</t>
  </si>
  <si>
    <t>Bashi da zaɓi tsakanin ƴaƴa su zauna su yi aikin gona da su je birni</t>
  </si>
  <si>
    <t>264. Eka nawa ne mallakinku cikin wadannan gonakin, ku ko wani ɗan gidanku?</t>
  </si>
  <si>
    <t>hoh_land_sold</t>
  </si>
  <si>
    <t>265. How much of this land, if any have you sold in the past year?</t>
  </si>
  <si>
    <t>265. Quelle superficie de ce terrain, si c'est déjà arrivé, avez-vous vendu au cours de l'année écoulée ?</t>
  </si>
  <si>
    <t>265. Eka nawa ne kuka saida, idan ya taɓa faruwa, a cikin shekarar da ta gabata?</t>
  </si>
  <si>
    <t>Somewhat prefer sons go to a city to find professional opportunities</t>
  </si>
  <si>
    <t>Préfère un peu que les fils aillent en ville pour trouver des opportunités professionnelles</t>
  </si>
  <si>
    <t>Ya ɗan fi son ƴaƴa maza su je birni don neman sana'a</t>
  </si>
  <si>
    <t>hoh_land_purchased</t>
  </si>
  <si>
    <t>266. How much of this land, if any have you purchased in the past year?</t>
  </si>
  <si>
    <t>266. Quelle superficie de ce terrain, si c'est déjà arrivé, avez-vous acheté au cours de la dernière année ?</t>
  </si>
  <si>
    <t>266. Eka nawa ne kuka saye, idan ya faru, a cikin shekarar da ta gabata?</t>
  </si>
  <si>
    <t>195. Try to strangle you or burn you</t>
  </si>
  <si>
    <t>195. Essayer de vous étrangler ou de vous brûler</t>
  </si>
  <si>
    <t>Strongly prefer sons go to a city to find professional opportunities</t>
  </si>
  <si>
    <t>Préfère fortement que les fils partent en ville pour trouver des opportunités professionnelles</t>
  </si>
  <si>
    <t>195. Yi ƙoƙarin shake ku ko kona ku</t>
  </si>
  <si>
    <t>Ya fi so sosai ƴaƴa maza su je birni don neman sana'a</t>
  </si>
  <si>
    <t>hoh_rent_land</t>
  </si>
  <si>
    <t>267. How much of this land (in hectares) did you rent during the last agricultural season?</t>
  </si>
  <si>
    <t>267. Quelle superficie de cette terre (en hectares) avez-vous louée au cours de la dernière saison agricole ?</t>
  </si>
  <si>
    <t>267. Eka nawa ne kuka yi haya a lokacin noman da ta wuce?</t>
  </si>
  <si>
    <t>hoh_rent_land_amt</t>
  </si>
  <si>
    <t>268. How much did you pay to rent this land during the last agricultural season (in CFA)?</t>
  </si>
  <si>
    <t>268. A combien avez-vous loué ce terrain (en CFA) au cours de la dernière saison agricole ?</t>
  </si>
  <si>
    <t>268. A nawa kuka yi hayar wannan gonar a lokacin noman da ta wuce (a sefa)?</t>
  </si>
  <si>
    <t>speedcheck_hoh_land_end</t>
  </si>
  <si>
    <t>dur_hoh_land</t>
  </si>
  <si>
    <t>school_prefer_d</t>
  </si>
  <si>
    <t>Strongly prefer daughters complete koranic school</t>
  </si>
  <si>
    <t>Préfère fortement que les filles terminent l'école coranique</t>
  </si>
  <si>
    <t>hoh_last_season_note</t>
  </si>
  <si>
    <t>Ya fi son sosai ƴaƴa mata su kammala karatun ƙur'ani</t>
  </si>
  <si>
    <t>269. Now we will focus on agricultural activities during last agricultural season</t>
  </si>
  <si>
    <t>269. Maintenant, nous allons nous concentrer sur les activités agricoles au cours de la dernière saison agricole</t>
  </si>
  <si>
    <t>269. Yanzu za mu maida hankali kan ayyukan noma a lokacin damanar da ta wuce</t>
  </si>
  <si>
    <t>196. threaten you with a knife, gun, or other type of weapon</t>
  </si>
  <si>
    <t>196. Vous menacer avec un couteau, une arme à feu ou tout autre type d'arme</t>
  </si>
  <si>
    <t>196. yi muku barazana da wuka, bindiga, ko wani makami daban</t>
  </si>
  <si>
    <t>Somewhat prefer daughters complete koranic school</t>
  </si>
  <si>
    <t>Préfére un peu que les filles terminent l'école coranique</t>
  </si>
  <si>
    <t>Ya ɗan fi son ƴaƴa mata su kammala karatun ƙur'ani</t>
  </si>
  <si>
    <t>select_multiple crops</t>
  </si>
  <si>
    <t>hoh_crops</t>
  </si>
  <si>
    <t>270. Which of the following crops did your household grow during the last agricultural season?</t>
  </si>
  <si>
    <t>270. Laquelle des cultures suivantes votre ménage a-t-il cultivées au cours de la dernière saison agricole ?</t>
  </si>
  <si>
    <t>270. Wanne daga cikin waɗannan amfanin gidanku ya noma a damanar da ta gabata?</t>
  </si>
  <si>
    <t>Indifférent entre l'achèvement de l'école coranique et le baccalauréat</t>
  </si>
  <si>
    <t>hoh_crops_o</t>
  </si>
  <si>
    <t>Somewhat prefer daughters complete bacalaureat</t>
  </si>
  <si>
    <t>Préfère un peu que les filles terminent l'école jusqu'au bac</t>
  </si>
  <si>
    <t>Ya ɗan fi son ƴaƴa mata su kammala karatun boko har zuwa Bak</t>
  </si>
  <si>
    <t>speedcheck_hoh_cropsinfo_start</t>
  </si>
  <si>
    <t>197. attack you with a knife, gun, or other type of weapon</t>
  </si>
  <si>
    <t>197. Vous attaquer avec un couteau, une arme à feu ou tout autre type d'arme</t>
  </si>
  <si>
    <t>197. Kawo muku hari da wuka, bindiga, ko wani makami daban</t>
  </si>
  <si>
    <t>hoh_crops_info</t>
  </si>
  <si>
    <t>Crops - ${hoh_crop_name}</t>
  </si>
  <si>
    <t>Cultures - ${hoh_crop_name}</t>
  </si>
  <si>
    <t>amfanin gona - ${hoh_crop_name}</t>
  </si>
  <si>
    <t>hoh_crop_name</t>
  </si>
  <si>
    <t>Crop Name</t>
  </si>
  <si>
    <t>Nom de la culture</t>
  </si>
  <si>
    <t>Sunan amfanin gona</t>
  </si>
  <si>
    <t>Strongly prefer daughters complete bacalaureat</t>
  </si>
  <si>
    <t>Préfére fortement que les filles terminent l'école jusqu'au bac</t>
  </si>
  <si>
    <t>Ya fi son sosai ƴaƴa mata su kammala karatun boko har zuwa Bak</t>
  </si>
  <si>
    <t>hoh_crop_desc</t>
  </si>
  <si>
    <t>hoh_crop_quantity</t>
  </si>
  <si>
    <t>272. How much of ${hoh_crop_name} did your household produce?</t>
  </si>
  <si>
    <t>272. Quelle quantité de ${hoh_crop_name} votre ménage a-t-il produit ?</t>
  </si>
  <si>
    <t>272. ${hoh_crop_name} Nawa gidanku ya samu?</t>
  </si>
  <si>
    <t>select_one unit</t>
  </si>
  <si>
    <t>hoh_crop_unit</t>
  </si>
  <si>
    <t>273. Select crop unit for ${hoh_crop_name}</t>
  </si>
  <si>
    <t>273. Sélectionnez l'unité de culture pour ${hoh_crop_name}</t>
  </si>
  <si>
    <t>198. force you to perform sexual actswith him even when you did not want to</t>
  </si>
  <si>
    <t>273. Zaɓi amfanin gonar don ${hoh_crop_name}</t>
  </si>
  <si>
    <t>198. vous forcer à accomplir des actes sexuels avec lui même lorsque vous ne le vouliez pas</t>
  </si>
  <si>
    <t>198. tilasta muku ka yin jima'i da shi ko da ba ki da buƙata</t>
  </si>
  <si>
    <t>work_prefer_d</t>
  </si>
  <si>
    <t>Strongly prefer daughters stay and work the land</t>
  </si>
  <si>
    <t>${w_shm_home} = 0 and ${w_pm_home} = 0</t>
  </si>
  <si>
    <t>Préfère fortement que les filles restent et travaillent la terre</t>
  </si>
  <si>
    <t>Ya fi so sosai ƴaƴa mata su zauna su yi aikin gona</t>
  </si>
  <si>
    <t>hoh_crop_unit_o</t>
  </si>
  <si>
    <t>274. Specify other unit:</t>
  </si>
  <si>
    <t>274. Spécifiez une autre unité :</t>
  </si>
  <si>
    <t>274. Baiyana wani amfanin gonar daban:</t>
  </si>
  <si>
    <t>Somewhat prefer daughters stay and work the land</t>
  </si>
  <si>
    <t>Préfère un peu que les filles restent et travaillent la terre</t>
  </si>
  <si>
    <t>Ya ɗan fi son ƴaƴa mata su zauna su yi aikin gona</t>
  </si>
  <si>
    <t>hoh_crop_unit_name</t>
  </si>
  <si>
    <t>Unit Name</t>
  </si>
  <si>
    <t>hoh_qty_sold</t>
  </si>
  <si>
    <t>275. What quantity (${hoh_crop_unit_name}) of ${hoh_crop_name} did your household sell since the last harvest?</t>
  </si>
  <si>
    <t>275. Quelle quantité (${hoh_crop_unit_name}) de ${hoh_crop_name} votre ménage a-t-il vendu depuis la dernière récolte ?</t>
  </si>
  <si>
    <t>275. Nawa ne yawan (${hoh_crop_unit_name}) na ${hoh_crop_name} gidanku ya saida tun daga kaka na ƙarshe?</t>
  </si>
  <si>
    <t>Indifferent between daughters staying and leaving</t>
  </si>
  <si>
    <t>Indifférent entre les filles qui restent travailler la terre et partent en ville</t>
  </si>
  <si>
    <t>hoh_price_sold</t>
  </si>
  <si>
    <t>276. What was the price per ${hoh_crop_unit_name} of ${hoh_crop_name} you sold in CFA?</t>
  </si>
  <si>
    <t>276. Quel était le prix unitaire (${hoh_crop_unit_name}) de ${hoh_crop_name} que vous avez vendu en CFA ?</t>
  </si>
  <si>
    <t>276. Nawa farashin kowane ${hoh_crop_unit_name} na ${hoh_crop_name} da kuka saida a CFA?</t>
  </si>
  <si>
    <t>Somewhat prefer daughters go to a city to find professional opportunities</t>
  </si>
  <si>
    <t>Préfèrent un peu que les filles aillent en ville pour trouver des opportunités professionnelles</t>
  </si>
  <si>
    <t>Ya ɗan fi son ƴaƴa mata su je birni don neman sana'a</t>
  </si>
  <si>
    <t>hoh_qty_consume</t>
  </si>
  <si>
    <t>Strongly prefer daughters go to a city to find professional opportunities</t>
  </si>
  <si>
    <t>Préfère fortement que les filles aillent en ville pour trouver des opportunités professionnelles</t>
  </si>
  <si>
    <t>Ya fi so sosai ƴaƴa mata su je birni don neman sana'a</t>
  </si>
  <si>
    <t>hoh_price_consume</t>
  </si>
  <si>
    <t>516. If you were to sell the ${hoh_crop_name} that you consumed, what would be the price per ${hoh_crop_unit_name} in CFA?</t>
  </si>
  <si>
    <t>hoh_qty_left</t>
  </si>
  <si>
    <t>hoh_qty_left_over</t>
  </si>
  <si>
    <t>278. The amount you have left (${hoh_qty_left}) is negative. Please return and revise your responses.</t>
  </si>
  <si>
    <t>278. Le montant qu'il vous reste (${hoh_qty_left}) est négatif. Veuillez revenir et réviser vos réponses.</t>
  </si>
  <si>
    <t>278. jimillar kuɗin da suka saura (${hoh_qty_left}) maras kyau ne. Da fatan za a dawo a sake duba amsoshin.</t>
  </si>
  <si>
    <t>ethnicity</t>
  </si>
  <si>
    <t>Arab</t>
  </si>
  <si>
    <t>Arabe</t>
  </si>
  <si>
    <t>Balarabe</t>
  </si>
  <si>
    <t>hoh_qty_left_confirm</t>
  </si>
  <si>
    <t>279. Based on your responses, you had ${hoh_qty_left} ${hoh_crop_unit_name} left over. Does this sound correct?</t>
  </si>
  <si>
    <t>279. D'après vos réponses, il vous restait ${hoh_qty_left} ${hoh_crop_unit_name}. Est-ce que cela semble correct ?</t>
  </si>
  <si>
    <t>279. Dangane da amsoshinku, kuna da sauran ${hoh_qty_left} ${hoh_crop_unit_name}. Ko wannan yayi daidai?</t>
  </si>
  <si>
    <t>199. Enumerator: THANK THE RESPONDENT FOR HER COOPERATION AND REASSURE HER ABOUT THE CONFIDENTIALITY OF HER ANSWERS.</t>
  </si>
  <si>
    <t>199. Enquêteur : REMERCIER LA RÉPONDANTE POUR SA COOPÉRATION ET LA RASSURER SUR LA CONFIDENTIALITÉ DE SES RÉPONSES.</t>
  </si>
  <si>
    <t>199. Ɗan bincike: Ka gode wa mai bada amsa bisa haɗin kai da kuma ka tabbatar mata game da kiyaye SIRRIN HIRAR A KA YI DA ITA.</t>
  </si>
  <si>
    <t>Djerma/Songhai</t>
  </si>
  <si>
    <t>hoh_crop_revenue</t>
  </si>
  <si>
    <t>Ba zabarme/ba songaye</t>
  </si>
  <si>
    <t>Crops</t>
  </si>
  <si>
    <t>Cultures</t>
  </si>
  <si>
    <t>amfanin gona</t>
  </si>
  <si>
    <t>hh_agr_expenses</t>
  </si>
  <si>
    <t>Household Agriculture Expenses</t>
  </si>
  <si>
    <t>Dépenses agricoles du ménage</t>
  </si>
  <si>
    <t>Kashe kashen kuɗin aikin gona na gida</t>
  </si>
  <si>
    <t>hoh_spend_ag</t>
  </si>
  <si>
    <t>Gourmantche</t>
  </si>
  <si>
    <t>Ba gurme</t>
  </si>
  <si>
    <t>Haoussa</t>
  </si>
  <si>
    <t>hoh_spend_seeds</t>
  </si>
  <si>
    <t>Ba haushe</t>
  </si>
  <si>
    <t>hoh_spend_fert</t>
  </si>
  <si>
    <t>Kanouri-Manga</t>
  </si>
  <si>
    <t>Kanouri/ Ba mange</t>
  </si>
  <si>
    <t>hoh_spend_rent</t>
  </si>
  <si>
    <t>Peul</t>
  </si>
  <si>
    <t>hoh_spend_water</t>
  </si>
  <si>
    <t>Ba fullace</t>
  </si>
  <si>
    <t>284. Water</t>
  </si>
  <si>
    <t>284. Eau</t>
  </si>
  <si>
    <t>284. Ruwa</t>
  </si>
  <si>
    <t>Touareg</t>
  </si>
  <si>
    <t>Dépenses agricoles des ménages</t>
  </si>
  <si>
    <t>Bouzou/Ba abzine</t>
  </si>
  <si>
    <t>Kashe-kashen kuɗin aikin gona na gida</t>
  </si>
  <si>
    <t>speedcheck_hoh_cropsinfo_end</t>
  </si>
  <si>
    <t>dur_hoh_cropsinfo</t>
  </si>
  <si>
    <t>speedcheck_hoh_labor_start</t>
  </si>
  <si>
    <t>Toubou</t>
  </si>
  <si>
    <t>Ba Tube</t>
  </si>
  <si>
    <t>hoh_work_note</t>
  </si>
  <si>
    <t>285. We want to understand how many days people worked in your fields and who did this work.</t>
  </si>
  <si>
    <t>285. Nous voulons comprendre combien de jours des gens ont travaillé dans vos champs et qui a fait ce travail.</t>
  </si>
  <si>
    <t>285. Muna son mu fahimci kwanaki nawa mutane suka yi aiki a gonakinku da kuma wanda ya yi wannan aikin.</t>
  </si>
  <si>
    <t>hoh_weeks_labor</t>
  </si>
  <si>
    <t>286. Think about the last agricultural season. How many weeks were people working in your fields? This includes work by people who are members of your household and those who are not members of your household.</t>
  </si>
  <si>
    <t>286. Pensez à la dernière saison agricole. Combien de semaines au total les gens ont-ils travaillé dans vos champs ? Cela inclut le travail des personnes qui sont membres de votre ménage et celles qui ne le sont pas.</t>
  </si>
  <si>
    <t>286. Ku tuna da lokacin noma na ƙarshe. Makonni nawa mutane ke aiki a filayenku? Wannan ya haɗa da aikin mutanen da ke cikin gidanku da waɗanda ba ƴan gidanku ba ne.</t>
  </si>
  <si>
    <t>hoh_days_labor</t>
  </si>
  <si>
    <t xml:space="preserve">${speedcheck_w_end} - ${speedcheck_w_start} </t>
  </si>
  <si>
    <t>vax</t>
  </si>
  <si>
    <t>Babu ko ɗaya</t>
  </si>
  <si>
    <t>hoh_hh_labor</t>
  </si>
  <si>
    <t>Household Members Working</t>
  </si>
  <si>
    <t>Membres actifs du ménage</t>
  </si>
  <si>
    <t>Ƴan gida masu Ƙarhin aiki</t>
  </si>
  <si>
    <t>hoh_labor_index</t>
  </si>
  <si>
    <t>hoh_labor_name</t>
  </si>
  <si>
    <t>Household Name</t>
  </si>
  <si>
    <t>Nom du ménage</t>
  </si>
  <si>
    <t>Sunan gida</t>
  </si>
  <si>
    <t>hoh_ag_days_member</t>
  </si>
  <si>
    <t>Yellow Fever</t>
  </si>
  <si>
    <t>Farar masara</t>
  </si>
  <si>
    <t>Meningitis</t>
  </si>
  <si>
    <t>Sankarau</t>
  </si>
  <si>
    <t>hoh_hire_note</t>
  </si>
  <si>
    <t>289. Les questions suivantes sur le travail agricole concernent la dernière saison agricole (180 derniers jours).\</t>
  </si>
  <si>
    <t>289. Tambayoyi masu zuwa game da aikin noma na ƙarshe ne (kwanaki 180 na ƙarshe).</t>
  </si>
  <si>
    <t>COVID-19</t>
  </si>
  <si>
    <t>COVID 19</t>
  </si>
  <si>
    <t>CUTAR COVID 19</t>
  </si>
  <si>
    <t>(${w_shm_home} = -999 or (${w_shm_home} = 0 and ${w_shm_home_2w} &lt; 1)) and (${w_pm_home} = -999 or (${w_pm_home} = 0 and ${w_pm_home_2w} &lt; 1))</t>
  </si>
  <si>
    <t>hoh_hire_ag</t>
  </si>
  <si>
    <t>Polio</t>
  </si>
  <si>
    <t>Cutar shan inna</t>
  </si>
  <si>
    <t>hoh_hire_ag_num</t>
  </si>
  <si>
    <t>200. HoH Questions</t>
  </si>
  <si>
    <t>Tuberculosis</t>
  </si>
  <si>
    <t>Babban tari</t>
  </si>
  <si>
    <t>hoh_hire_ag_days</t>
  </si>
  <si>
    <t>292. How many days did each laborer work in your fields?</t>
  </si>
  <si>
    <t>292. Combien de jours chaque ouvrier a-t-il travaillé dans vos champs ?</t>
  </si>
  <si>
    <t>292. Kwanaki nawa kowane ma'aikaci yayi aiki a gonakinku?</t>
  </si>
  <si>
    <t>hoh_hire_ag_wage</t>
  </si>
  <si>
    <t>293. What was the daily wage you paid for people to work in your fields, or how much would you pay in CFA?</t>
  </si>
  <si>
    <t>293. Quel était le salaire journalier que vous payiez pour que les gens travaillent dans vos champs, ou combien paieriez-vous en CFA ?</t>
  </si>
  <si>
    <t>293. Nawa ne kuke biyan waɗanda suka yi aiki a gonakinku a dukkan wuni a sefa ?</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</si>
  <si>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</si>
  <si>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</si>
  <si>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</si>
  <si>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</si>
  <si>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pulldata('baseline_ids_fu5', 'hhmembers', 'hh_id', ${hh_id})</t>
  </si>
  <si>
    <t>hoh_confirm_total</t>
  </si>
  <si>
    <t>294. Thinking of your expenses related to labor and investment in your fields during the last agricultural season, you spent a total of ${hoh_total_paid} in CFA, is this correct?</t>
  </si>
  <si>
    <t>294. Pour toutes les dépenses pour vos champs dont nous avons parlé, vous avez payé ${hoh_total_paid} en CFA, est-ce correct ?</t>
  </si>
  <si>
    <t>294. Ku tuna da dukkan kuɗaɗen da kuka kashe a kan aikin gona a lokacin aikin noma na ƙarshe, kun kashe jimillar ${hoh_total_paid} a CFA, wannan daidai ne?</t>
  </si>
  <si>
    <t>languages</t>
  </si>
  <si>
    <t>French</t>
  </si>
  <si>
    <t>Français</t>
  </si>
  <si>
    <t>hoh_paid_ag_note</t>
  </si>
  <si>
    <t>Faransanci</t>
  </si>
  <si>
    <t>295. Now we'll ask about any work by members of your household in fields owned by other people.</t>
  </si>
  <si>
    <t>295. Nous allons maintenant poser des questions sur tout travail effectué par des membres de votre ménage dans des champs appartenant à d'autres personnes.</t>
  </si>
  <si>
    <t>295. Yanzu za mu yi tambayoyi game da duk wani aiki da ƴan gidanku suka yi a gonakin wasu mutane.</t>
  </si>
  <si>
    <t>${hhmembers}</t>
  </si>
  <si>
    <t>hoh_members_paid_ag</t>
  </si>
  <si>
    <t>296. Pensez à tout membre de votre ménage, y-a t-il des membres de votre ménage qui ont travaillé comme journaliers dans le champs de quelqu'un d'autre ?</t>
  </si>
  <si>
    <t>Arabic</t>
  </si>
  <si>
    <t>arabe</t>
  </si>
  <si>
    <t>Larabci</t>
  </si>
  <si>
    <t>speedcheck_hoh_labor_end</t>
  </si>
  <si>
    <t>dur_hoh_labor</t>
  </si>
  <si>
    <t>speedcheck_hoh_paid_start</t>
  </si>
  <si>
    <t>hoh_hh_paid</t>
  </si>
  <si>
    <t>Household Day Laborers</t>
  </si>
  <si>
    <t>Travaileurs journaliers</t>
  </si>
  <si>
    <t>Haussa</t>
  </si>
  <si>
    <t>Masu aikin wuni</t>
  </si>
  <si>
    <t>Hausa</t>
  </si>
  <si>
    <t>hoh_paid_name</t>
  </si>
  <si>
    <t>hoh_paid_age</t>
  </si>
  <si>
    <t>hoh_paid_ag</t>
  </si>
  <si>
    <t>Songhai</t>
  </si>
  <si>
    <t>Songhaï</t>
  </si>
  <si>
    <t>Songhai/ zabarmanci</t>
  </si>
  <si>
    <t>hoh_paid_ag_wage</t>
  </si>
  <si>
    <t>298. What was the daily wage paid to ${hoh_paid_name} working as a day laborer for someone else in CFA?</t>
  </si>
  <si>
    <t>298. Quel était le salaire journalier payé à ${hoh_paid_name} travaillant comme journalier pour quelqu'un d'autre en CFA ?</t>
  </si>
  <si>
    <t>298. Nawa biyan ${hoh_paid_name} na wuni a lokacin da yake barema a gonar wani a sefa?</t>
  </si>
  <si>
    <t>Tamasheq</t>
  </si>
  <si>
    <t>Buzanci</t>
  </si>
  <si>
    <t>hoh_paid_ag_total</t>
  </si>
  <si>
    <t>paid_ag * paid_ag_wage</t>
  </si>
  <si>
    <t>payé_ag * payé_ag_wage</t>
  </si>
  <si>
    <t>biya_ag * biya_ag_wage</t>
  </si>
  <si>
    <t>speedcheck_hoh_paid_end</t>
  </si>
  <si>
    <t>Fulfulde</t>
  </si>
  <si>
    <t>Hillanci/Fulatanci</t>
  </si>
  <si>
    <t>dur_hoh_paid</t>
  </si>
  <si>
    <t>hoh_ag_exp_other</t>
  </si>
  <si>
    <t>299. Thinking about the last agricultural season, did you need to pay other expenses we did not ask you about?</t>
  </si>
  <si>
    <t>299. En pensant à la dernière saison agricole, avez-vous dû faire d'autres dépenses dont nous n'avons pas parlé ?</t>
  </si>
  <si>
    <t>299. A tunaninka a lokacin noman da ya gabata, akwai wasu kashe kashen kuɗi da kuka yi wanda ba mu yi zancen su ba?</t>
  </si>
  <si>
    <t xml:space="preserve">                          </t>
  </si>
  <si>
    <t>Kanuri</t>
  </si>
  <si>
    <t>pulldata('baseline_ids_fu5', concat('hhname', ${hoh_hhmem_index}), 'hh_id', ${hh_id})</t>
  </si>
  <si>
    <t>Kanuri /Barbarci</t>
  </si>
  <si>
    <t>hoh_ag_exp_other_name</t>
  </si>
  <si>
    <t>300. What was the expense?</t>
  </si>
  <si>
    <t>300. Quelle était la dépense ?</t>
  </si>
  <si>
    <t>300. wane kashe kuɗi ne ?</t>
  </si>
  <si>
    <t>Gourmanchema</t>
  </si>
  <si>
    <t>Gourmanci</t>
  </si>
  <si>
    <t>hoh_ag_exp_other_amt</t>
  </si>
  <si>
    <t>301. What was the approximate value of ${hoh_ag_exp_other_name} in CFA?</t>
  </si>
  <si>
    <t>301. Quelle était la valeur approximative de ${hoh_ag_exp_other_name} en CFA ?</t>
  </si>
  <si>
    <t>301. Nawa farashin ${hoh_ag_exp_other_name} a wacan lokacin a sefa?</t>
  </si>
  <si>
    <t>hoh_income1</t>
  </si>
  <si>
    <t>Total wages from outside ag work</t>
  </si>
  <si>
    <t>hoh_income2</t>
  </si>
  <si>
    <t>pulldata('baseline_ids_fu5', concat('hhage', ${hoh_hhmem_index}), 'hh_id', ${hh_id})</t>
  </si>
  <si>
    <t>Total sales of own crops (not incl. own consumption)</t>
  </si>
  <si>
    <t>hoh_income3</t>
  </si>
  <si>
    <t>Wages paid for work on own farm</t>
  </si>
  <si>
    <t>Tebu</t>
  </si>
  <si>
    <t>hoh_income4</t>
  </si>
  <si>
    <t>Cost of seed</t>
  </si>
  <si>
    <t>Tubanci</t>
  </si>
  <si>
    <t>hoh_income5</t>
  </si>
  <si>
    <t>Cost of fertilizer</t>
  </si>
  <si>
    <t>hoh_income6</t>
  </si>
  <si>
    <t>Cost of machinery</t>
  </si>
  <si>
    <t>hoh_income7</t>
  </si>
  <si>
    <t>Cost of water</t>
  </si>
  <si>
    <t>hoh_income8</t>
  </si>
  <si>
    <t>Cost of other expenses</t>
  </si>
  <si>
    <t>hoh_total_income</t>
  </si>
  <si>
    <t>pulldata('baseline_ids_fu5', concat('hhsex', ${hoh_hhmem_index}), 'hh_id', ${hh_id})</t>
  </si>
  <si>
    <t>English</t>
  </si>
  <si>
    <t>total_income_confirm</t>
  </si>
  <si>
    <t>Anglais</t>
  </si>
  <si>
    <t>302. Total income: ${hoh_total_income}
 Does this seem right?</t>
  </si>
  <si>
    <t>Turanci</t>
  </si>
  <si>
    <t>302. Revenu total : ${hoh_total_income}
  Cela vous semble-t-il juste ?</t>
  </si>
  <si>
    <t>302. Jimillar kuɗin shiga: ${hoh_total_income}
  ko kuna ganin hakan yayi daidai?</t>
  </si>
  <si>
    <t>livestock_act_note</t>
  </si>
  <si>
    <t>Dioula</t>
  </si>
  <si>
    <t>concat(${hoh_hhmem_name}, ' (age: ', ${hoh_hhmem_age}, ', sex: ', ${hoh_hhmem_sex}, ')')</t>
  </si>
  <si>
    <t>speedcheck_hoh_livestockact_start</t>
  </si>
  <si>
    <t>Bambara</t>
  </si>
  <si>
    <t>hoh_livestock_activity</t>
  </si>
  <si>
    <t>Livestock Activity</t>
  </si>
  <si>
    <t>Activité d'élevage</t>
  </si>
  <si>
    <t>Ayyukan kiwo</t>
  </si>
  <si>
    <t>hoh_livestock_act_name</t>
  </si>
  <si>
    <t>hoh_livestock_bought</t>
  </si>
  <si>
    <t>304. How many ${hoh_livestock_act_name} did you buy?</t>
  </si>
  <si>
    <t>304. Au cours des trois derniers mois, combien de ${hoh_livestock_act_name} avez-vous acheté ?</t>
  </si>
  <si>
    <t>304. ${hoh_livestock_act_name} Nawa kuka saye?</t>
  </si>
  <si>
    <t>Bamiléké</t>
  </si>
  <si>
    <t>hoh_livestock_bought_val</t>
  </si>
  <si>
    <t>How much did you buy ${hoh_livestock_act_name} for in CFA?</t>
  </si>
  <si>
    <t>Chinese</t>
  </si>
  <si>
    <t>Chinois</t>
  </si>
  <si>
    <t>Canis</t>
  </si>
  <si>
    <t>hoh_livestock_sold</t>
  </si>
  <si>
    <t>305. How many ${hoh_livestock_act_name} did you sell?</t>
  </si>
  <si>
    <t>305. Au cours des trois derniers mois, combien de ${hoh_livestock_act_name} avez-vous vendu ?</t>
  </si>
  <si>
    <t>305. ${hoh_livestock_act_name} nawa kuka saida?</t>
  </si>
  <si>
    <t>join(linebreak(), ${hoh_hhmem})</t>
  </si>
  <si>
    <t>hoh_livestock_sold_val</t>
  </si>
  <si>
    <t>How much did you sell ${hoh_livestock_act_name} for in CFA?</t>
  </si>
  <si>
    <t>hoh_livestock_consumed</t>
  </si>
  <si>
    <t>306. How many ${hoh_livestock_act_name} did you consume?</t>
  </si>
  <si>
    <t>306. Au cours des trois derniers mois, combien de ${hoh_livestock_act_name} avez-vous consommé ?</t>
  </si>
  <si>
    <t>306. ${hoh_livestock_act_name} Nawa kuka cinye ?</t>
  </si>
  <si>
    <t>hoh_livestock_consumed_val</t>
  </si>
  <si>
    <t>If you were to sell the ${hoh_livestock_act_name} you consumed, how much would you sell them for in CFA?</t>
  </si>
  <si>
    <t>transmit</t>
  </si>
  <si>
    <t>hoh_livestock_expend</t>
  </si>
  <si>
    <t>307. In the past three months, how much did you spend on food and health expense for all of your animals (in CFA)?</t>
  </si>
  <si>
    <t>307. Au cours des trois derniers mois, combien avez-vous dépensé en frais de nourriture et de santé pour tous vos animaux (en CFA) ?</t>
  </si>
  <si>
    <t>307. Nawa kuka kashe akan abinci da kiwon lafiyar dukkan dabbobinku (a sefa) ?</t>
  </si>
  <si>
    <t>201. A household is a group of people, related or unrelated, who live together in the same housing, pool their resources together, share their meals and recognize the authority of the same one person who is the head of household.</t>
  </si>
  <si>
    <t>201. Un ménage est l’ensemble des personnes apparentées ou non qui vivent habituellement dans un même logement, mettent en commun leurs ressources, partagent leurs repas, et reconnaissent l’autorité d’une seule et même personne appelée chef de ménage.</t>
  </si>
  <si>
    <t>201. Gida shine mutanen da ko dangi ko a'a wanda suke rayuwa cikin gida guda, sun sa dukiyar su tare, suna cin abinci tare, kuma sun yarda da shugabancin mutum ɗaya wanda a ke ce ma mai gida.</t>
  </si>
  <si>
    <t>hoh_typical_week_note</t>
  </si>
  <si>
    <t>308. When thinking about the past three months, I would like to ask you about how many days a typical week people in your household worked. We know people may work more during some weeks rather than others, please think about what happens during most weeks.</t>
  </si>
  <si>
    <t>308.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</si>
  <si>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308. 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</si>
  <si>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</si>
  <si>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309. How many days did people in your household work to care for your animals in a typical week in the past three months?</t>
  </si>
  <si>
    <t>309. Dans les trois derniers mois, au cours d'une semaine normale, combien de jours les membres de votre ménage ont-ils travaillé pour s'occuper de vos animaux ?</t>
  </si>
  <si>
    <t>309. A cikin watanni uku da suka wuce, kwana nawa a cikin sati mutanen gidanku suka yi aiki don kula da bisashenku?</t>
  </si>
  <si>
    <t>Ta hanyar wayar hannu</t>
  </si>
  <si>
    <t>hoh_hire_livestock</t>
  </si>
  <si>
    <t>310. In the past three months, did you hire anyone outside your household to care for your animals?</t>
  </si>
  <si>
    <t>310. Au cours des trois derniers mois, avez-vous embauché quelqu'un en dehors de votre ménage pour s'occuper de vos animaux ?</t>
  </si>
  <si>
    <t>310. A cikin watanni uku da suka wuce, Ko kun ɗauki wani wanda ba ɗan gidanku ba don kula da dabbobinku?</t>
  </si>
  <si>
    <t>202. Are there new members in the household since we last spoke to you? For reference, these are the members you mentioned:
 ${hoh_roster_list}</t>
  </si>
  <si>
    <t>202. Y a-t-il de nouveaux membres dans le foyer depuis notre dernière conversation ? Pour référence, voici les membres que vous avez mentionnés : 
 ${hoh_roster_list}</t>
  </si>
  <si>
    <t>202. Shin akwai sabbin membobi a gidan tun da muka yi magana da ku a ƙarshe? Don tunani, waɗannan su ne membobin da ka ambata: 
 ${hoh_roster_list}</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</si>
  <si>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</si>
  <si>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</si>
  <si>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hoh_hire_livestock_days</t>
  </si>
  <si>
    <t>311. In the last 3 months, for how many weeks did you hire people to care for your livestock?</t>
  </si>
  <si>
    <t>311. Au cours des trois derniers mois, combien de semaines avez-vous embauché des personnes pour s'occuper de votre bétail ?</t>
  </si>
  <si>
    <t>311. A cikin watanni 3 da suka wuce, sati nawa kuka dauki ƴan aiki don kula da dabbobinku?</t>
  </si>
  <si>
    <t>hoh_hire_livestock_wage</t>
  </si>
  <si>
    <t>312. What was the weekly wage paid to people who care for your animals, or how much would you pay in CFA?</t>
  </si>
  <si>
    <t>312. Quel était les frais hebdomadaire payés aux personnes qui s'occupent de vos animaux, ou combien paieriez-vous en CFA ?</t>
  </si>
  <si>
    <t>312. 105 a. Nawa albashin mako-mako na wannan mutanen da ke kula da dabbobinku a CFA?</t>
  </si>
  <si>
    <t>203. How many?</t>
  </si>
  <si>
    <t>203. Combien?</t>
  </si>
  <si>
    <t>203. Nawa?</t>
  </si>
  <si>
    <t>hoh_hire_livestock_total</t>
  </si>
  <si>
    <t>hoh_livestock_total_confirm</t>
  </si>
  <si>
    <t>Please enter a number greater than 0!</t>
  </si>
  <si>
    <t>313. You paid ${hoh_hire_livestock_total} in CFA for people to care for your animals, is this correct?</t>
  </si>
  <si>
    <t>313. Vous avez payé ${hoh_hire_livestock_total} (en CFA) aux personnes qui s'occupent de vos animaux, est-ce exact ?</t>
  </si>
  <si>
    <t>${hoh_new_hh_mems} = 1</t>
  </si>
  <si>
    <t>313. ${hoh_hire_livestock_total} (a sefa) kuka biya, ko daidai ne?</t>
  </si>
  <si>
    <t>hoh_paid_livestock</t>
  </si>
  <si>
    <t>314. In the past three months, did any member of your household care for livestock owned by other people?</t>
  </si>
  <si>
    <t>314. Au cours des trois derniers mois, un membre de votre ménage s'est-il occupé du bétail appartenant à d'autres personnes ?</t>
  </si>
  <si>
    <t>314. A cikin watanni uku da suka wuce, akwai wani ɗan gidanku da ya kula da dabbobin wasu mutane?</t>
  </si>
  <si>
    <t>${hoh_new_hh_mems_num}</t>
  </si>
  <si>
    <t>changes</t>
  </si>
  <si>
    <t>No change</t>
  </si>
  <si>
    <t>hoh_paid_livestock_days</t>
  </si>
  <si>
    <t>Pas de changement</t>
  </si>
  <si>
    <t>Babu canji</t>
  </si>
  <si>
    <t>hoh_paid_livestock_wage</t>
  </si>
  <si>
    <t>Respondent got married</t>
  </si>
  <si>
    <t>Le répondant s'est marié</t>
  </si>
  <si>
    <t>Mai bada amsa yana da aure</t>
  </si>
  <si>
    <t>hoh_other_income_note</t>
  </si>
  <si>
    <t>317. Now we will ask about other forms of income people in your household may have earned in the past three months.</t>
  </si>
  <si>
    <t>317. Nous allons maintenant poser des questions sur les autres formes de revenus que les membres de votre ménage ont pu gagner au cours des trois derniers mois.</t>
  </si>
  <si>
    <t>317. Yanzu za mu yi tambayoyi bisa wasu hanyoyin samun kuɗin shiga da yan gidanku a cikin watanni uku da suka gabata.</t>
  </si>
  <si>
    <t>Respondent divorced</t>
  </si>
  <si>
    <t>Le répondant a divorcé</t>
  </si>
  <si>
    <t>Mai bada amsa gobro ne</t>
  </si>
  <si>
    <t>hoh_own_other</t>
  </si>
  <si>
    <t>concat("new member ", ${hoh_hhindex})</t>
  </si>
  <si>
    <t>Respondent had new baby (self or spouse)</t>
  </si>
  <si>
    <t>La répondante a eu un nouveau bébé (elle-même ou son conjoint)</t>
  </si>
  <si>
    <t>Mai bada amsa tanada jariri ita da kanta ko kishiyarta</t>
  </si>
  <si>
    <t>hoh_earn_rent</t>
  </si>
  <si>
    <t>Death of respondent's child</t>
  </si>
  <si>
    <t>hoh_earn_interest</t>
  </si>
  <si>
    <t>Décès de l'enfant du répondant</t>
  </si>
  <si>
    <t>Mutuwar ɗan mai bada amsa</t>
  </si>
  <si>
    <t>concat("nouveau membre ", ${hoh_hhindex})</t>
  </si>
  <si>
    <t>speedcheck_hoh_livestockact_end</t>
  </si>
  <si>
    <t>Death of household head</t>
  </si>
  <si>
    <t>Décès du chef de famille</t>
  </si>
  <si>
    <t>dur_hoh_livestockact</t>
  </si>
  <si>
    <t>Mutuwar maigida</t>
  </si>
  <si>
    <t>speedcheck_hoh_biz_start</t>
  </si>
  <si>
    <t>hoh_own_biz</t>
  </si>
  <si>
    <t>Death of other household member</t>
  </si>
  <si>
    <t>Décès d'un autre membre du ménage</t>
  </si>
  <si>
    <t>Mutuwar wani ɗan gida</t>
  </si>
  <si>
    <t>concat("sabon memba ", ${hoh_hhindex})</t>
  </si>
  <si>
    <t>Loss of land/housing</t>
  </si>
  <si>
    <t>Perte de terrain/logement</t>
  </si>
  <si>
    <t>Badda gonaki/gidaje</t>
  </si>
  <si>
    <t>select_one activities</t>
  </si>
  <si>
    <t>hoh_biz_type</t>
  </si>
  <si>
    <t>hoh_biz_type_o</t>
  </si>
  <si>
    <t>hoh_biz_type_name</t>
  </si>
  <si>
    <t>hoh_biz_loc</t>
  </si>
  <si>
    <t>324. Do you have a permanent location (i.e. building)?</t>
  </si>
  <si>
    <t>324. Avez-vous un emplacement permanent (c'est-à-dire un bâtiment) ?</t>
  </si>
  <si>
    <t>324. Kuna da wurin dindindin (kamar gini)?</t>
  </si>
  <si>
    <t>204. What is the last name of ${hoh_hhtext}?</t>
  </si>
  <si>
    <t>204. Quel est le nom de ${hoh_hhtextfrench} ?</t>
  </si>
  <si>
    <t>204. Menene sunan uban ${hoh_hhtexthausa}?</t>
  </si>
  <si>
    <t>fail_reason</t>
  </si>
  <si>
    <t>Insufficient funds</t>
  </si>
  <si>
    <t>hoh_biz_employ</t>
  </si>
  <si>
    <t>Fonds insuffisants</t>
  </si>
  <si>
    <t>Rashin isassun kudade</t>
  </si>
  <si>
    <t>hoh_biz_wage</t>
  </si>
  <si>
    <t>205. What is the first name of ${hoh_hhtext}?</t>
  </si>
  <si>
    <t>205. Quel est le prenom de cette personne ${hoh_hhtextfrench} ?</t>
  </si>
  <si>
    <t>205. Menene sunan ${hoh_hhtexthausa}?</t>
  </si>
  <si>
    <t>Needed to stay home to help household (e.g., on farm)</t>
  </si>
  <si>
    <t>Nécessité de rester à la maison pour aider le ménage (par exemple, à la ferme)</t>
  </si>
  <si>
    <t>Ana buƙatar zama a gida don taimakawa gida (misali, a gona)</t>
  </si>
  <si>
    <t>hoh_biz_days_total</t>
  </si>
  <si>
    <t>Members in Business</t>
  </si>
  <si>
    <t>hoh_biz_index</t>
  </si>
  <si>
    <t>Insecurity/decided it was not safe to migrate</t>
  </si>
  <si>
    <t>hoh_biz_name</t>
  </si>
  <si>
    <t>Insécurité/décide qu'il n'était pas garanti de voyager</t>
  </si>
  <si>
    <t>Rashin tsaro/yanke shawarar bai kamata ya tafi nema ba</t>
  </si>
  <si>
    <t>hoh_biz_age</t>
  </si>
  <si>
    <t>hoh_biz_days</t>
  </si>
  <si>
    <t>Too much concern about finding a job or housing in destination</t>
  </si>
  <si>
    <t>Trop d'inquiétudes pour trouver un emploi ou un logement dans la destination</t>
  </si>
  <si>
    <t>Damuwa da yawa game da tabbacin samun aiki ko matsuguni a inda za'a je</t>
  </si>
  <si>
    <t>speedcheck_hoh_biz_end</t>
  </si>
  <si>
    <t>Sickness</t>
  </si>
  <si>
    <t>dur_hoh_biz</t>
  </si>
  <si>
    <t>Maladie</t>
  </si>
  <si>
    <t>Rashin lafiya</t>
  </si>
  <si>
    <t>hoh_biz_revenue</t>
  </si>
  <si>
    <t>concat(${hoh_new_mem_name_first}, ' ', ${hoh_new_mem_name_last})</t>
  </si>
  <si>
    <t>Decided to stay home for studies/training</t>
  </si>
  <si>
    <t>A décidé de rester à la maison pour des études/une formation</t>
  </si>
  <si>
    <t>Yanke shawarar zama a gida don karatu / horo</t>
  </si>
  <si>
    <t>hoh_biz_expense</t>
  </si>
  <si>
    <t>206. What is ${hoh_new_mem_name}'s relationship to you, the household head?</t>
  </si>
  <si>
    <t>206. Quelle est la relation entre ${hoh_new_mem_name} et vous, le chef de ménage ?</t>
  </si>
  <si>
    <t>206. Menene alaƙa tsakanin ${hoh_new_mem_name} da, mai gida?</t>
  </si>
  <si>
    <t>Parents/household refused permission</t>
  </si>
  <si>
    <t>enquêteur : ne pas lire les options, code basé sur la réponse</t>
  </si>
  <si>
    <t>Les parents/le ménage ont refusé l'autorisation</t>
  </si>
  <si>
    <t>Iyaye/masu gida sun ƙi bada izini</t>
  </si>
  <si>
    <t>hoh_biz_income</t>
  </si>
  <si>
    <t>hoh_biz_income_confirm</t>
  </si>
  <si>
    <t>207. What is ${hoh_new_mem_name}'s sex?</t>
  </si>
  <si>
    <t>207. Quel est le sexe de ${hoh_new_mem_name} ?</t>
  </si>
  <si>
    <t>207. Menene jinsin ${hoh_new_mem_name}?</t>
  </si>
  <si>
    <t>hoh_members_other_activity_note</t>
  </si>
  <si>
    <t>Ne sait pas</t>
  </si>
  <si>
    <t>speedcheck_hoh_memact_start</t>
  </si>
  <si>
    <t>hoh_member_activity</t>
  </si>
  <si>
    <t>Outside Activities</t>
  </si>
  <si>
    <t>Activités extérieures</t>
  </si>
  <si>
    <t>Ayyukan da ba na gida ba</t>
  </si>
  <si>
    <t>hoh_member_act_index</t>
  </si>
  <si>
    <t>208. What is ${hoh_new_mem_name}'s age?</t>
  </si>
  <si>
    <t>208. Quel âge a ${hoh_new_mem_name} ?</t>
  </si>
  <si>
    <t>hoh_member_act_name</t>
  </si>
  <si>
    <t>208. ${hoh_new_mem_name} Shekarun shi/ta nawa?</t>
  </si>
  <si>
    <t>hoh_member_other_activity</t>
  </si>
  <si>
    <t>. &gt;= 0 and . &lt; 100</t>
  </si>
  <si>
    <t>opinion_important</t>
  </si>
  <si>
    <t>Doesn't matter at all</t>
  </si>
  <si>
    <t>Pas du tout important</t>
  </si>
  <si>
    <t>Babu muhimmanci ko kadan</t>
  </si>
  <si>
    <t>hoh_member_other_act</t>
  </si>
  <si>
    <t>matters somewhat</t>
  </si>
  <si>
    <t>Assez important</t>
  </si>
  <si>
    <t>Da muhimmanci kadan</t>
  </si>
  <si>
    <t>hoh_member_other_activity_o</t>
  </si>
  <si>
    <t>Matters a lot</t>
  </si>
  <si>
    <t>Très important</t>
  </si>
  <si>
    <t>Da muhimmanci sosai</t>
  </si>
  <si>
    <t>hoh_member_other_activity_name</t>
  </si>
  <si>
    <t>hoh_member_other_amt</t>
  </si>
  <si>
    <t>335. How much does ${hoh_member_act_name} earn from this activity during an average week (that they are engaged in ${hoh_member_other_activity_name})?</t>
  </si>
  <si>
    <t>335. Combien ${hoh_member_act_name} gagne-t-il grâce à cette activité au cours d'une semaine en moyenne (pendant laquelle il est engagé comme ${hoh_member_other_activity_name}) ?</t>
  </si>
  <si>
    <t>335. A takaice nawa ${hoh_member_act_name} yake samu daga wannan aiki a cikin sati (a lokacin da suke cikin aikin ${hoh_member_other_activity_name})?</t>
  </si>
  <si>
    <t>hoh_member_other_weeks</t>
  </si>
  <si>
    <t>336. Think about the past 3 months how many weeks did they engage in ${hoh_member_other_activity_name}?</t>
  </si>
  <si>
    <t>336. Pensez aux 3 derniers mois, combien de semaines ont-ils participé à ${hoh_member_other_activity_name} ?</t>
  </si>
  <si>
    <t>unavail_why</t>
  </si>
  <si>
    <t>336. A watanni 3 da suka gabata, sati nawa suka yi aikin ${hoh_member_other_activity_name}?</t>
  </si>
  <si>
    <t>Sick</t>
  </si>
  <si>
    <t>Malade</t>
  </si>
  <si>
    <t>Rishin lafia</t>
  </si>
  <si>
    <t>hoh_member_contribute</t>
  </si>
  <si>
    <t>337. Can you estimate how much ${hoh_member_act_name} contributes to the household common pot in a typical week (excluding labor) including both cash and in goods?</t>
  </si>
  <si>
    <t>337. Pouvez-vous estimer la contribution de ${hoh_member_act_name} au fond commun du ménage au cours d'une semaine normale (hors main-d'œuvre), y compris en espèces et en nature ?</t>
  </si>
  <si>
    <t>337. Ko za ku iya kimanta gudunmawar kuɗi da kaya da ${hoh_member_act_name} ya kawo gidan a cikin sati guda (banda aiki)?</t>
  </si>
  <si>
    <t xml:space="preserve">${speedcheck_hoh_rosternew_end} - ${speedcheck_hoh_rosternew_start} </t>
  </si>
  <si>
    <t>speedcheck_hoh_memact_end</t>
  </si>
  <si>
    <t>ya rasou</t>
  </si>
  <si>
    <t>dur_hoh_memact</t>
  </si>
  <si>
    <t>hoh_remittance_qs</t>
  </si>
  <si>
    <t>Questions about remittances</t>
  </si>
  <si>
    <t>saki</t>
  </si>
  <si>
    <t>speedcheck_hoh_remit_start</t>
  </si>
  <si>
    <t>hoh_remit_rec_niger</t>
  </si>
  <si>
    <t>if(${hoh_new_hh_mems} = 0, ${hhmembers}, ${hhmembers} + ${hoh_new_hh_mems_num})</t>
  </si>
  <si>
    <t>Away from home</t>
  </si>
  <si>
    <t>Exode</t>
  </si>
  <si>
    <t>tabarada</t>
  </si>
  <si>
    <t>209. I want to ask a few questions about the members of your household who are currently residing here.</t>
  </si>
  <si>
    <t>209. Je veux poser quelques questions sur les membres de votre ménage qui résident actuellement ici.</t>
  </si>
  <si>
    <t>Visited another village</t>
  </si>
  <si>
    <t>209. Ina so in muku ƴan tambayoyi bisa yan gidanku da ke zaune a gida a yanzu.</t>
  </si>
  <si>
    <t>hoh_remit_rec_niger_amt</t>
  </si>
  <si>
    <t>Rendu visite dans un autre village</t>
  </si>
  <si>
    <t>Ya ziyarci wani kauye</t>
  </si>
  <si>
    <t>select_multiple money_transfer</t>
  </si>
  <si>
    <t>hoh_remit_rec_niger_how</t>
  </si>
  <si>
    <t>hoh_remit_rec_niger_how_o</t>
  </si>
  <si>
    <t>hoh_goods_rec_niger</t>
  </si>
  <si>
    <t>${hoh_hhmembers_new}</t>
  </si>
  <si>
    <t>hoh_goods_rec_niger_amt</t>
  </si>
  <si>
    <t>343. Quel était la valeur au totale des biens que les membres de votre ménage ont reçu des personnes qui sont quelques part au Niger 
 (en USD)?</t>
  </si>
  <si>
    <t>select_multiple goods_transfer</t>
  </si>
  <si>
    <t>hoh_goods_rec_niger_how</t>
  </si>
  <si>
    <t>344. How were these goods transmitted to your household?</t>
  </si>
  <si>
    <t>344. Comment ces biens ont-ils été envoyé à votre ménage ?</t>
  </si>
  <si>
    <t>344. Ta yaya aka aika waɗannan kayayyakin zuwa gidanku?</t>
  </si>
  <si>
    <t>hoh_goods_rec_niger_how_o</t>
  </si>
  <si>
    <t>345. Specify other transfer method</t>
  </si>
  <si>
    <t>345. Précisez la méthode du transfert</t>
  </si>
  <si>
    <t>345. Wani daban a Bayyana</t>
  </si>
  <si>
    <t>hoh_remit_rec_out</t>
  </si>
  <si>
    <t>hoh_remit_rec_out_amt</t>
  </si>
  <si>
    <t>hoh_remit_rec_out_how</t>
  </si>
  <si>
    <t>348. How was this money transmitted to your household?</t>
  </si>
  <si>
    <t>348. Comment cet argent a-t-il été envoyé à votre ménage ?</t>
  </si>
  <si>
    <t>348. Ta wace hanya aka aikawa gidanku wannan kuɗin ?</t>
  </si>
  <si>
    <t>pulldata('baseline_ids_fu5', concat('hhname', ${hoh_roster_index}), 'hh_id', ${hh_id})</t>
  </si>
  <si>
    <t>hoh_remit_rec_out_how_o</t>
  </si>
  <si>
    <t>349. Specify other transfer method</t>
  </si>
  <si>
    <t>349. Précisez la méthode du transfert</t>
  </si>
  <si>
    <t>349. Wani daban a Bayyana</t>
  </si>
  <si>
    <t>hoh_goods_rec_out</t>
  </si>
  <si>
    <t>350. In the past three months, have you or anyone in your household received goods (payment in kind) from someone who is not a member of your household and who lives in a foreign country (outside of Niger)?</t>
  </si>
  <si>
    <t>350. Au cours des trois derniers mois, vous ou un membre de votre ménage avez reçu &lt;b&gt;des biens&lt;/b&gt; (paiement en nature) d'une personne qui n'est pas membre de votre ménage et qui habite &lt;b&gt;à l'extérieur du Niger&lt;/b&gt; (dans un autre pays)?</t>
  </si>
  <si>
    <t>350. A cikin wata uku da suka wuce, kai ko wani a cikin gidanku an baku wasu kaya (a matsayin biya) daga wani wanda ba ɗan gidanku ba da ke zaune a ƙetaren Nijar (a wata kasa)?</t>
  </si>
  <si>
    <t>pulldata('baseline_ids_fu5', concat('hhage', ${hoh_roster_index}), 'hh_id', ${hh_id})</t>
  </si>
  <si>
    <t>hoh_goods_rec_out_amt</t>
  </si>
  <si>
    <t>hoh_goods_rec_out_how</t>
  </si>
  <si>
    <t>pulldata('baseline_ids_fu5', concat('hhsex', ${hoh_roster_index}), 'hh_id', ${hh_id})</t>
  </si>
  <si>
    <t>hoh_goods_rec_out_how_o</t>
  </si>
  <si>
    <t>hoh_remit_send_niger</t>
  </si>
  <si>
    <t>empty(${hoh_roster_name_cases})</t>
  </si>
  <si>
    <t xml:space="preserve">${hoh_roster_index} - ${hhmembers} </t>
  </si>
  <si>
    <t>hoh_remit_send_niger_amt</t>
  </si>
  <si>
    <t>hoh_remit_send_niger_how</t>
  </si>
  <si>
    <t>356. How did you transmit the money to the recipient?</t>
  </si>
  <si>
    <t>356. Comment avez-vous envoyé l'argent au destinataire ?</t>
  </si>
  <si>
    <t>356. Ta wace hanya kuka aika kuɗin ga mai karɓa?</t>
  </si>
  <si>
    <t>indexed-repeat(${hoh_new_mem_name}, ${hoh_roster_new}, ${hoh_roster_new_index})</t>
  </si>
  <si>
    <t>hoh_remit_send_niger_how_o</t>
  </si>
  <si>
    <t>hoh_goods_send_niger</t>
  </si>
  <si>
    <t>indexed-repeat(${hoh_new_mem_age}, ${hoh_roster_new}, ${hoh_roster_new_index})</t>
  </si>
  <si>
    <t>hoh_goods_send_niger_amt</t>
  </si>
  <si>
    <t>hoh_goods_send_niger_how</t>
  </si>
  <si>
    <t>if(indexed-repeat(${hoh_new_mem_sex}, ${hoh_roster_new}, ${hoh_roster_new_index}) = 1, 'Male', 'Female')</t>
  </si>
  <si>
    <t>hoh_goods_send_niger_how_o</t>
  </si>
  <si>
    <t>hoh_remit_send_out</t>
  </si>
  <si>
    <t>hoh_remit_send_out_amt</t>
  </si>
  <si>
    <t>if(empty(${hoh_roster_name_cases}), ${hoh_roster_name_new}, ${hoh_roster_name_cases})</t>
  </si>
  <si>
    <t>hoh_remit_send_out_how</t>
  </si>
  <si>
    <t>hoh_remit_send_out_how_o</t>
  </si>
  <si>
    <t>if(empty(${hoh_roster_name_cases}), ${hoh_roster_age_new}, ${hoh_roster_age_cases})</t>
  </si>
  <si>
    <t>hoh_goods_send_out</t>
  </si>
  <si>
    <t>hoh_goods_send_out_amt</t>
  </si>
  <si>
    <t>if(empty(${hoh_roster_name_cases}), ${hoh_roster_sex_new}, ${hoh_roster_sex_cases})</t>
  </si>
  <si>
    <t>hoh_goods_send_out_how</t>
  </si>
  <si>
    <t>hoh_goods_send_out_how_o</t>
  </si>
  <si>
    <t>210. ${hoh_roster_name}
 Sex: ${hoh_roster_sex}
 Age: ${hoh_roster_age}</t>
  </si>
  <si>
    <t>select_multiple support</t>
  </si>
  <si>
    <t>hoh_receive_support</t>
  </si>
  <si>
    <t>hoh_receive_support_amt</t>
  </si>
  <si>
    <t>371. How much did ou receive from all the sources combined?</t>
  </si>
  <si>
    <t>371. Combien avez-vous reçu de toutes les sources confondues ?</t>
  </si>
  <si>
    <t>371. Nawa kuka samu daga duk hanyoyin shiga gaba ɗayan su?</t>
  </si>
  <si>
    <t>211. Is ${hoh_roster_name} a Nigerien national?</t>
  </si>
  <si>
    <t>211. ${hoh_roster_name} est-il un citoyen(ne) du Niger ?</t>
  </si>
  <si>
    <t>211. Ko ${hoh_roster_name} ɗan ƙasar Nijar ne?</t>
  </si>
  <si>
    <t>hoh_income_gifts</t>
  </si>
  <si>
    <t>372. In addition to the transfers we just discussed, what is the total value of income from charity or gifts your household has received &lt;b&gt;in the past three months&lt;/b&gt; in CFA?</t>
  </si>
  <si>
    <t>372. En dehors des transferts qu'on vient de citer, quelle est la valeur totale des revenus provenant d'œuvres caritatives ou de cadeaux que votre ménage a reçus &lt;b&gt; au cours des trois derniers mois&lt;/b&gt; (en CFA) ?</t>
  </si>
  <si>
    <t>372. Nawa ne yawan kuɗin taimako ko kyauta da ƴan gidanku suka samu a cikin watanni uku da suka gabata (a sefa) ?</t>
  </si>
  <si>
    <t>speedcheck_hoh_remit_end</t>
  </si>
  <si>
    <t>dur_hoh_remit</t>
  </si>
  <si>
    <t>speedcheck_hoh_homeimprove_start</t>
  </si>
  <si>
    <t>hoh_improve</t>
  </si>
  <si>
    <t>Improvements</t>
  </si>
  <si>
    <t>Améliorations</t>
  </si>
  <si>
    <t>212. Where are they a cititzen of?</t>
  </si>
  <si>
    <t>Ingantawa</t>
  </si>
  <si>
    <t>212. D'où sont-ils citoyens ?</t>
  </si>
  <si>
    <t>212. Ƴan wace ƙasa ce?</t>
  </si>
  <si>
    <t>hoh_improve_home</t>
  </si>
  <si>
    <t>373. In the past three months did your household make a significant investment or improvement in the house you reside in?</t>
  </si>
  <si>
    <t>373. &lt;b&gt; Au cours des trois derniers mois&lt;/b&gt;, votre ménage a-t-il fait un investissement important ou des améliorations dans la maison que vous habitez ?</t>
  </si>
  <si>
    <t>373. A cikin watanni uku da suka wuce, gidanku ya saka wani babban jari ko ya gyara gidan da kuke zaune?</t>
  </si>
  <si>
    <t>${hoh_nationality} = 0</t>
  </si>
  <si>
    <t>filter != 0</t>
  </si>
  <si>
    <t>hoh_improve_add_rooms</t>
  </si>
  <si>
    <t>374. Build additional rooms</t>
  </si>
  <si>
    <t>374. Construire des chambres supplémentaires</t>
  </si>
  <si>
    <t>374. Ginin ƙarin ɗakuna</t>
  </si>
  <si>
    <t>213. Please enter the nationality of ${hoh_roster_name}</t>
  </si>
  <si>
    <t>213. Veuillez saisir la nationalité de ${hoh_roster_name}</t>
  </si>
  <si>
    <t>213. Da fatan za a shigar da ƙasar ${hoh_roster_name}</t>
  </si>
  <si>
    <t>${hoh_nationality_country} = -777</t>
  </si>
  <si>
    <t>hoh_improve_floors</t>
  </si>
  <si>
    <t>375. Improve floors</t>
  </si>
  <si>
    <t>375. Améliorer les sols</t>
  </si>
  <si>
    <t>375. Inganta filalayen gida</t>
  </si>
  <si>
    <t>hoh_improve_walls</t>
  </si>
  <si>
    <t>376. Improve walls</t>
  </si>
  <si>
    <t>376. Réfectionner les murs</t>
  </si>
  <si>
    <t>376. gyara katangun gida</t>
  </si>
  <si>
    <t>214. Is ${hoh_roster_name} still a member of this household?</t>
  </si>
  <si>
    <t>214. ${hoh_roster_name} est-il toujours membre de ce ménage ?</t>
  </si>
  <si>
    <t>214. Ko suna yana cikin ƴan gidan nan?</t>
  </si>
  <si>
    <t>hoh_improve_roof</t>
  </si>
  <si>
    <t>377. Improve roof</t>
  </si>
  <si>
    <t>377. Réfectionner le toit</t>
  </si>
  <si>
    <t>377. gyara rufin gida</t>
  </si>
  <si>
    <t>not(empty(${hoh_roster_name_cases}))</t>
  </si>
  <si>
    <t>hoh_improve_o</t>
  </si>
  <si>
    <t>378. Other improvement</t>
  </si>
  <si>
    <t>378. Autre amélioration</t>
  </si>
  <si>
    <t>378. Wasu gyare gyare daban</t>
  </si>
  <si>
    <t>hoh_improve_other</t>
  </si>
  <si>
    <t>215. Why are they not a member of this household?</t>
  </si>
  <si>
    <t>379. Specify other improvement (i.e. connect to electricity, build latrine)</t>
  </si>
  <si>
    <t>215. Pourquoi ne font-ils pas partie de ce ménage ?</t>
  </si>
  <si>
    <t>379. Précisez les autres améliorations (c.-à-d. connecter de l'électricité, construire des latrines)</t>
  </si>
  <si>
    <t>215. Me ya sa ba su cikin ƴan gidan nan ?</t>
  </si>
  <si>
    <t>379. Baiyana wasu abubuwan ingantawa (kamar sa wutar lantarki, gina salga (masai ) )</t>
  </si>
  <si>
    <t xml:space="preserve">${hoh_roster_in} = 0 </t>
  </si>
  <si>
    <t>hoh_improve_home_amt</t>
  </si>
  <si>
    <t>380. Approximately how much did all of these investments together cost in CFA?</t>
  </si>
  <si>
    <t>380. Combien ont coûté approximativement tous ces investissements (en CFA) ?</t>
  </si>
  <si>
    <t>380. Aƙalla nawa aka kashe akan waɗannan ayyukan a sefa?</t>
  </si>
  <si>
    <t>216. Other, specify:</t>
  </si>
  <si>
    <t>hoh_improve_business</t>
  </si>
  <si>
    <t>216. Autre précisez:</t>
  </si>
  <si>
    <t>381. In the past 3 months did you make any investments in your non-agricultural business?</t>
  </si>
  <si>
    <t>216. Sauran, bayar da cikakkun bayanai:</t>
  </si>
  <si>
    <t>381. Au cours des 3 derniers mois, avez-vous fait des investissements dans votre entreprise non agricole ?</t>
  </si>
  <si>
    <t>381. A cikin watanni 3 da suka gabata, kun zuba jari a cikin harkokinku da ba na noma ba?</t>
  </si>
  <si>
    <t>selected(${hoh_roster_notin_why}, '-777')</t>
  </si>
  <si>
    <t>hoh_improve_business_o</t>
  </si>
  <si>
    <t>382. Specify the improvement to your business</t>
  </si>
  <si>
    <t>382. Précisez les investissements que vous avez fait dans votre entreprise</t>
  </si>
  <si>
    <t>382. Ku bayyana kuɗin da kuka kashe don haɓɓaka kasuwancin ku</t>
  </si>
  <si>
    <t>hoh_improve_land</t>
  </si>
  <si>
    <t>383. In the past 3 months did you make any investments to improve the productivity of your land?</t>
  </si>
  <si>
    <t>383. Au cours des 3 derniers mois, avez-vous fait des investissements pour améliorer la productivité de votre terre ?</t>
  </si>
  <si>
    <t>383. A cikin watanni 3 da suka gabata, kun zuba kudi don inganta samun amfanin gonakinku?</t>
  </si>
  <si>
    <t>hoh_roster_notin_death_rel</t>
  </si>
  <si>
    <t>Please indicate the relation of this member to ${pm_name}</t>
  </si>
  <si>
    <t>Veuillez indiquer la relation de ce membre avec ${pm_name}</t>
  </si>
  <si>
    <t>hoh_improve_land_other</t>
  </si>
  <si>
    <t>Da fatan za a nuna alakar wannan memba zuwa ${pm_name}</t>
  </si>
  <si>
    <t>384. Specify improvement to land</t>
  </si>
  <si>
    <t>384. Précisez les améliorations de votre terre que vous avez fait</t>
  </si>
  <si>
    <t>384. Ku bayyana kuɗin da kuka kashe don haɓɓaka gonarku</t>
  </si>
  <si>
    <t>selected(${hoh_roster_notin_why}, '4')</t>
  </si>
  <si>
    <t>speedcheck_hoh_homeimprove_end</t>
  </si>
  <si>
    <t>dur_hoh_homeimprove</t>
  </si>
  <si>
    <t>speedcheck_hoh_savings_start</t>
  </si>
  <si>
    <t>hoh_use_money_note</t>
  </si>
  <si>
    <t>385. Now I will ask you about different ways your household may use money that you earn.</t>
  </si>
  <si>
    <t>385. Je vais maintenant vous poser des questions sur les différentes façons dont votre ménage peut utiliser l'argent que vous gagnez.</t>
  </si>
  <si>
    <t>385. Yanzu zan yi muku tambayoyi game hanyoyi daban-daban da gidanku ke iya amfani da su don kashe kuɗin da yake samu.</t>
  </si>
  <si>
    <t>217. Enumerator: Record any details about the death of the family member</t>
  </si>
  <si>
    <t>217. Enqueteur: Veuillez noter toute information pertinente concernant le décès</t>
  </si>
  <si>
    <t>hoh_savings_type</t>
  </si>
  <si>
    <t>218. Is ${hoh_roster_name} currently living in your household?</t>
  </si>
  <si>
    <t>218. Est-ce que ${hoh_roster_name} vit actuellement dans votre ménage ?</t>
  </si>
  <si>
    <t>hoh_savings_type_o</t>
  </si>
  <si>
    <t>218. Ko ${hoh_roster_name} yana zaune a gidanku a halin yanzu ?</t>
  </si>
  <si>
    <t>387. Specify other:</t>
  </si>
  <si>
    <t>387. Autre a préciser :</t>
  </si>
  <si>
    <t>387. Baiyana wani abu daban:</t>
  </si>
  <si>
    <t>${hoh_roster_in} = 1</t>
  </si>
  <si>
    <t>hoh_savings_amt</t>
  </si>
  <si>
    <t>hoh_savings_code</t>
  </si>
  <si>
    <t>hoh_savings_name</t>
  </si>
  <si>
    <t>Sunan irin tanadi</t>
  </si>
  <si>
    <t>hoh_savings_type_amt</t>
  </si>
  <si>
    <t>388. Please share with us your best estimate of the value in CFA ${hoh_savings_name}</t>
  </si>
  <si>
    <t>388. Veuillez nous dire votre meilleure estimation de la valeur en CFA ${hoh_savings_name}</t>
  </si>
  <si>
    <t>388. Da fatan zaku baiyana mini yawan kuɗin a tsammaninku ${hoh_savings_name} a CFA</t>
  </si>
  <si>
    <t>219. Is ${hoh_roster_name} currently living in Niger?</t>
  </si>
  <si>
    <t>219. Est-ce que ${hoh_roster_name} vit actuellement au Niger ?</t>
  </si>
  <si>
    <t>219. Ko ${hoh_roster_name} yana zaune a Nijar a halin yanzu?</t>
  </si>
  <si>
    <t>${hoh_living_in_hh} = 0</t>
  </si>
  <si>
    <t>hoh_savings_interest</t>
  </si>
  <si>
    <t>389. Do you earn interest on this money ${hoh_savings_name}?</t>
  </si>
  <si>
    <t>389. Gagnez-vous des intérêts sur cet argent ${hoh_savings_name} ?</t>
  </si>
  <si>
    <t>389. Kuna samun kudin ruwa akan wannan kuɗin ${hoh_savings_name}?</t>
  </si>
  <si>
    <t>220. What region is ${hoh_roster_name} currently living in?</t>
  </si>
  <si>
    <t>220. Dans quelle région vit actuellement ${hoh_roster_name} ?</t>
  </si>
  <si>
    <t>220. A cikin wace jaha ce ${hoh_roster_name} yake zaune a yanzu?</t>
  </si>
  <si>
    <t>speedcheck_hoh_savings_end</t>
  </si>
  <si>
    <t>dur_hoh_savings</t>
  </si>
  <si>
    <t>${hoh_in_niger} = 1</t>
  </si>
  <si>
    <t>hoh_savings_total</t>
  </si>
  <si>
    <t>hoh_savings_confirm</t>
  </si>
  <si>
    <t>390. Total savings: ${hoh_savings_total}: Does this look correct?</t>
  </si>
  <si>
    <t>390. Économies totales : ${hoh_savings_total} : cela vous semble correct ?</t>
  </si>
  <si>
    <t>390. Jimillar ajiya: ${hoh_savings_total}: kuna ganin ​​wannan yayi daidai?</t>
  </si>
  <si>
    <t>221. What country is ${hoh_roster_name} currently living in?</t>
  </si>
  <si>
    <t>221. Dans quel pays vit actuellement ${hoh_roster_name} ?</t>
  </si>
  <si>
    <t>221. A cikin wace kasa ce ${hoh_roster_name} yake zaune a yanzu?</t>
  </si>
  <si>
    <t>hoh_emergency</t>
  </si>
  <si>
    <t>391. During ${period}, was your household negatively affected by any of the following types of events?</t>
  </si>
  <si>
    <t>391. Au cours de ${period_french}, votre ménage a-t-il été affecté négativement par l'un des types d'événements suivants ?</t>
  </si>
  <si>
    <t>391. A lokacin ${period_hausa}, ko gidanku ya fuskanci wani daga cikin matsaloli nan masu zuwa? Zaɓi duk abin da ya dace</t>
  </si>
  <si>
    <t>${hoh_in_niger} = 0</t>
  </si>
  <si>
    <t>filter != 1 and filter != 2</t>
  </si>
  <si>
    <t>hoh_emergency_o</t>
  </si>
  <si>
    <t>392. Please briefly describe the event(s) that negatveily affected your household</t>
  </si>
  <si>
    <t>392. Veuillez décrire brièvement le/les événement(s) qui ont eu des effets négatifs sur votre ménage au cours des 3 derniers mois</t>
  </si>
  <si>
    <t>392. Da fatan za ku yi taƙaitaccen bayani a kan abin da ya shafi gidan ku</t>
  </si>
  <si>
    <t>speedcheck_hoh_emerg_start</t>
  </si>
  <si>
    <t>hoh_emerg_resp</t>
  </si>
  <si>
    <t>${hoh_out_niger} = -777</t>
  </si>
  <si>
    <t>hoh_emergency_name</t>
  </si>
  <si>
    <t>hoh_emerg_yes</t>
  </si>
  <si>
    <t>hoh_emerg_note</t>
  </si>
  <si>
    <t>393. In response to ${hoh_emergency_name}, did you or your household take the following actions?</t>
  </si>
  <si>
    <t>393. En réponse à ${hoh_emergency_name}, avez-vous vous ou votre ménage pris les mesures suivantes ??</t>
  </si>
  <si>
    <t>393. Dangance da ${hoh_emergency_name}, ku ko ƴan gindanku kun ɗauki waɗannan matakai?</t>
  </si>
  <si>
    <t>223. Enumerator: Select town</t>
  </si>
  <si>
    <t>223. Enquêteur : Sélectionnez la ville</t>
  </si>
  <si>
    <t>223. Ɗan bincike: Zaɓi gari</t>
  </si>
  <si>
    <t>search('towns', 'matches', 'country_id', ${hoh_out_niger})</t>
  </si>
  <si>
    <t>hoh_emerg_sell</t>
  </si>
  <si>
    <t>394. Sell assets?</t>
  </si>
  <si>
    <t>394. Vendre des actifs</t>
  </si>
  <si>
    <t>394. Saida kadarori</t>
  </si>
  <si>
    <t>${hoh_in_niger} = 0 and ${hoh_out_niger} != -999</t>
  </si>
  <si>
    <t>hoh_emerg_borrow</t>
  </si>
  <si>
    <t>395. Borrow money?</t>
  </si>
  <si>
    <t>395. Emprunter de l'argent</t>
  </si>
  <si>
    <t>395. Bashin kuɗi</t>
  </si>
  <si>
    <t>hoh_emerg_spend</t>
  </si>
  <si>
    <t>396. Spend your savings?</t>
  </si>
  <si>
    <t>396. Utiliser votre épargne</t>
  </si>
  <si>
    <t>396. Kashe kuɗin ajiyar ku</t>
  </si>
  <si>
    <t>224. Specify other</t>
  </si>
  <si>
    <t>224. Autre à préciser</t>
  </si>
  <si>
    <t>hoh_emerg_consume</t>
  </si>
  <si>
    <t>224. Wani daban a Bayyana</t>
  </si>
  <si>
    <t>397. Reduce spending on food or change your food consumption?</t>
  </si>
  <si>
    <t>397. Réduire les dépenses alimentaires ou changé des habitudes de consommation ?</t>
  </si>
  <si>
    <t>397. Rage kashe kuɗi akan abinci ko canza abincin?</t>
  </si>
  <si>
    <t>${hoh_out_town} = -777</t>
  </si>
  <si>
    <t>hoh_emerg_amt</t>
  </si>
  <si>
    <t>hoh_emerg_note2</t>
  </si>
  <si>
    <t>398. For ${hoh_emergency_name}
 What was the value of the following in CFA?</t>
  </si>
  <si>
    <t>398. Par rapport à ${hoh_emergency_name}
 Quelle était la valeur des éléments suivantes en CFA?</t>
  </si>
  <si>
    <t>398. Game da ${hoh_emergency_name}
  Nawa ne kimar waɗannan abubuwan a kuɗin CFA?</t>
  </si>
  <si>
    <t>${hoh_living_in_hh} = 1 or empty(${hoh_roster_name_cases})</t>
  </si>
  <si>
    <t>hoh_emerg_sell_amt</t>
  </si>
  <si>
    <t>399. Assets you sold</t>
  </si>
  <si>
    <t>399. Les actifs que vous avez vendus</t>
  </si>
  <si>
    <t>399. Kadarorin da kuka saida</t>
  </si>
  <si>
    <t>hoh_emerg_borrow_amt</t>
  </si>
  <si>
    <t>225. Does ${hoh_roster_name} currently suffer from any illness or disability that limits their ability to travel or work?</t>
  </si>
  <si>
    <t>225. Est-ce que ${hoh_roster_name} souffre actuellement d'une maladie ou d'un handicap qui limite sa capacité à voyager ou à travailler ?</t>
  </si>
  <si>
    <t>225. ko a halin yanzu ${hoh_roster_name} yana da rashin lafiya ko naƙasa wanda ke iya hanashi zuwa balaguro ko yin aiki?</t>
  </si>
  <si>
    <t>${hoh_roster_age} &gt; 7</t>
  </si>
  <si>
    <t>hoh_emerg_spend_amt</t>
  </si>
  <si>
    <t>226. What illness limits ${hoh_roster_name} in this way?</t>
  </si>
  <si>
    <t>226. Quelle maladie limite ${hoh_roster_name} de cette manière ?</t>
  </si>
  <si>
    <t>226. Wace rashin lafiya ke tsaida ${hoh_roster_name} ta haka ?</t>
  </si>
  <si>
    <t>${hoh_illness_limit} = 1</t>
  </si>
  <si>
    <t>speedcheck_hoh_emerg_end</t>
  </si>
  <si>
    <t>dur_hoh_emerg</t>
  </si>
  <si>
    <t>speedcheck_hoh_credit_start</t>
  </si>
  <si>
    <t>hoh_owe_note</t>
  </si>
  <si>
    <t>227. Other, specify:</t>
  </si>
  <si>
    <t>227. Autre précisez:</t>
  </si>
  <si>
    <t>227. Sauran, bayar da cikakkun bayanai:</t>
  </si>
  <si>
    <t>selected(${hoh_illness_limit_type}, '-777')</t>
  </si>
  <si>
    <t>hoh_credit_refuse</t>
  </si>
  <si>
    <t>403. In the last three months did you or a member of your household try to secure a loan from any source but were refused?</t>
  </si>
  <si>
    <t>403. Au cours des trois derniers mois, vous ou un membre de votre ménage avez-vous essayé d'obtenir un prêt auprès de n'importe quelle source, mais cela a été refusé ?</t>
  </si>
  <si>
    <t>403. A cikin watanni uku da suka wuce kai ko wani dan gidanku kun yi ƙoƙarin samun bashi daga kowace hanya amma an ƙi?</t>
  </si>
  <si>
    <t>hoh_credit_refuse_amt</t>
  </si>
  <si>
    <t>404. What was the value of the loan in CFA?</t>
  </si>
  <si>
    <t>404. Quelle était la valeur du prêt en CFA?</t>
  </si>
  <si>
    <t>404. Nawa ne yawan kuɗin bashin a sefa?</t>
  </si>
  <si>
    <t>228. Does ${hoh_roster_name} have children?</t>
  </si>
  <si>
    <t>228. Est-ce que ${hoh_roster_name} a des enfants ?</t>
  </si>
  <si>
    <t>228. ko ${hoh_roster_name} yana da yara?</t>
  </si>
  <si>
    <t>hoh_borrow_total</t>
  </si>
  <si>
    <t>405. Think about all the people you or members of your household owe money, including recent loans, what is the total value your household owes (in CFA)?</t>
  </si>
  <si>
    <t>405. Pensez à toutes les personnes que vous ou les membres de votre ménage devez de l'argent, y compris les prêts récents, quelle est la valeur totale que votre ménage doit (en CFA) ?</t>
  </si>
  <si>
    <t>405. Ku tuna da duk mutanen da ke bin da ƴan gidanku kuɗi, dukan basussuka sabi da tsohi, nawa jimillar kuɗin a ke bin gidanku (a kuɗin sefa CFA)?</t>
  </si>
  <si>
    <t>(${hoh_roster_sex} = 1 and ${hoh_roster_age} &gt; 18) or (${hoh_roster_sex} = 0 and ${hoh_roster_age} &gt; 15)</t>
  </si>
  <si>
    <t>hoh_borrow_ppm</t>
  </si>
  <si>
    <t>406. Do you know if a loan was given to your household by a household that participated in the TSARI or other Mercy Corp programs?</t>
  </si>
  <si>
    <t>406. Savez-vous si un prêt a été accordé à votre ménage par un ménage ayant participé au programme TSARI ou à d'autres programmes de Mercy Corp ?</t>
  </si>
  <si>
    <t>406. Kun san ko gidan ku ya ɗauki ramcen kuɗi daga wani gidan da yake cikin shirin TSARI ko wasu shirye-shiryen Mercy Corp?</t>
  </si>
  <si>
    <t>hoh_transfer_village</t>
  </si>
  <si>
    <t>229. How many children is ${hoh_roster_name} responsible for?</t>
  </si>
  <si>
    <t>229. De combien d'enfants ${hoh_roster_name} est-il responsable ?</t>
  </si>
  <si>
    <t>229. Yara nawa ne ${hoh_roster_name} yake ɗauke da Nauyinsu?</t>
  </si>
  <si>
    <t>${hoh_any_children}=1</t>
  </si>
  <si>
    <t>hoh_transfer_village_ppm</t>
  </si>
  <si>
    <t>speedcheck_hoh_credit_end</t>
  </si>
  <si>
    <t>dur_hoh_credit</t>
  </si>
  <si>
    <t>speedcheck_hoh_foodinsec_start</t>
  </si>
  <si>
    <t>230. What is the highest level of education that ${hoh_roster_name} has completed?</t>
  </si>
  <si>
    <t>230. Quel est le plus haut niveau d'études atteint par ${hoh_roster_name} ?</t>
  </si>
  <si>
    <t>hoh_meals_note</t>
  </si>
  <si>
    <t>230. Menene mafi girman mastayin ilimi da ${hoh_roster_name} ya kai?</t>
  </si>
  <si>
    <t>${hoh_roster_age} &gt;= 14</t>
  </si>
  <si>
    <t>hoh_adults_skip_days</t>
  </si>
  <si>
    <t>231. Is ${hoh_roster_name} currently enrolled in school?</t>
  </si>
  <si>
    <t>231. Est-ce que ${hoh_roster_name} est actuellement inscrit à l'école ?</t>
  </si>
  <si>
    <t>hoh_adults_skip_days_num</t>
  </si>
  <si>
    <t>231. Ko ${hoh_roster_name} yana yin lakwal a halin yanzu?</t>
  </si>
  <si>
    <t xml:space="preserve">(${hoh_roster_age} &gt; 4 and ${hoh_roster_age} &lt; 27) </t>
  </si>
  <si>
    <t>hoh_adults_skip_meals</t>
  </si>
  <si>
    <t>hoh_adults_skip_meal_num</t>
  </si>
  <si>
    <t>232. What kind of school is ${hoh_roster_name} enrolled in?</t>
  </si>
  <si>
    <t>232. Dans quel type d'école est inscrit ${hoh_roster_name} ?</t>
  </si>
  <si>
    <t>232. Wace irin makaranta aka rubuta ${hoh_roster_name}?</t>
  </si>
  <si>
    <t>hoh_adult_protein</t>
  </si>
  <si>
    <t>${hoh_attending_school} = 1</t>
  </si>
  <si>
    <t>hoh_child_skip_days</t>
  </si>
  <si>
    <t>233. What is the cost of school fees for the current academic year in CFA?</t>
  </si>
  <si>
    <t>233. Quel est le coût des frais de scolarité pour l'année scolaire en cours (en CFA) ?</t>
  </si>
  <si>
    <t>233. Nawa ne kuɗin makaranta na wannan shekarar (a sefa)?</t>
  </si>
  <si>
    <t>hoh_child_skip_days_num</t>
  </si>
  <si>
    <t>416. 154a Tsawon kwanaki nawa?</t>
  </si>
  <si>
    <t xml:space="preserve">. &gt;= 0 </t>
  </si>
  <si>
    <t>hoh_child_skip_meals</t>
  </si>
  <si>
    <t>${hoh_attending_school}=1</t>
  </si>
  <si>
    <t>417. In the last 7 days, have children (&lt;14) cut the size of meals or skipped meals?</t>
  </si>
  <si>
    <t>417. Au cours des 7 derniers jours, des enfants (&lt;14) ont-ils réduit la taille de leurs repas ou les ont-ils sauté?</t>
  </si>
  <si>
    <t>417. A cikin kwanaki 7 na ƙarshe, suna da yara (&lt;14) sun rage yawan abinci ko sun rasa gaba ɗaya?</t>
  </si>
  <si>
    <t>hoh_child_skip_meals_num</t>
  </si>
  <si>
    <t>418. How many days?</t>
  </si>
  <si>
    <t>418. Pendant combien de jours?</t>
  </si>
  <si>
    <t>418. 155a Tsawon kwanaki nawa?</t>
  </si>
  <si>
    <t>234. In the past month (four weeks) how many days has ${hoh_roster_name} missed school for health reasons?</t>
  </si>
  <si>
    <t>234. Au cours du dernier mois (quatre semaines), combien de jours ${hoh_roster_name} a-t-il manqué l'école pour des raisons de santé ?</t>
  </si>
  <si>
    <t>234. A cikin watan da ya gabata (sati hudu), kwanaki nawa ${hoh_roster_name} yayi fashin zuwa makaranta saboda wata rishin lafiya?</t>
  </si>
  <si>
    <t>hoh_child_protein</t>
  </si>
  <si>
    <t>419. In the past week how many days have children in your household consumed animal protein (inlcuding fish, meat, poultry)?</t>
  </si>
  <si>
    <t>419. Au cours des 7 derniers jours, combien de fois les enfants de votre ménage ont-ils consommé des protéines animales (y compris poisson, viande, volaille) ?</t>
  </si>
  <si>
    <t>419. A cikin kwanaki 7 da suka gabata sau nawa yara a cikin gidanku suka ci abinci masu gina jiki kamar su kifi, nama, kaji ?</t>
  </si>
  <si>
    <t>. &gt;= 0 and . &lt;= 28</t>
  </si>
  <si>
    <t>Please enter an integer between 0 and 28 days</t>
  </si>
  <si>
    <t>speedcheck_hoh_foodinsec_end</t>
  </si>
  <si>
    <t>dur_hoh_foodinsec</t>
  </si>
  <si>
    <t>hoh_consumption</t>
  </si>
  <si>
    <t>235. In the past month (four weeks) how many days has ${hoh_roster_name} missed school for work or other reasons?</t>
  </si>
  <si>
    <t>235. Au cours du dernier mois (quatre semaines), combien de jours ${hoh_roster_name} a-t-il manqué l'école pour le travail ou pour d'autres raisons ?</t>
  </si>
  <si>
    <t>speedcheck_hoh_cons_start</t>
  </si>
  <si>
    <t>235. A cikin watan da ya gabata (makonni hudu), kwanaki nawa ${hoh_roster_name} yayi fashin makaranta saboda aiki ko wasu dalilai?</t>
  </si>
  <si>
    <t>hoh_monthly_consumption_any</t>
  </si>
  <si>
    <t>420. Has your household spent money on the following types of expenses in the past month?</t>
  </si>
  <si>
    <t>420. Votre ménage a-t-il dépensé de l'argent pour les types de dépenses suivants au cours du dernier mois ?</t>
  </si>
  <si>
    <t>420. Shin gidanku ya kashe kuɗi akan irin waɗannan abubuwan a cikin watan da ya gabata?</t>
  </si>
  <si>
    <t>hoh_cons_month</t>
  </si>
  <si>
    <t>236. Is ${hoh_roster_name} married?</t>
  </si>
  <si>
    <t>236. Est-ce que ${hoh_roster_name} est marié ?</t>
  </si>
  <si>
    <t>236. Ko ${hoh_roster_name} yanada aure?</t>
  </si>
  <si>
    <t>hoh_item</t>
  </si>
  <si>
    <t>hoh_monthly_consumption_amt</t>
  </si>
  <si>
    <t>if(${hoh_roster_sex} = 1, ${hoh_roster_age} &gt;= 17, ${hoh_roster_age} &gt;= 14)</t>
  </si>
  <si>
    <t>237. How many wives does ${hoh_new_mem_name} have?</t>
  </si>
  <si>
    <t>237. Combien de femmes a ${hoh_roster_name} ?</t>
  </si>
  <si>
    <t>237. Mata nawa ${hoh_roster_name} yake da su?</t>
  </si>
  <si>
    <t>hoh_weekly_consumption_any</t>
  </si>
  <si>
    <t>. &gt; 0 and . &lt; 10</t>
  </si>
  <si>
    <t>${hoh_married} = 1 and ${hoh_roster_sex} = 1</t>
  </si>
  <si>
    <t>hoh_cons_week</t>
  </si>
  <si>
    <t>hoh_item_week</t>
  </si>
  <si>
    <t>hoh_weekly_consumption_amt</t>
  </si>
  <si>
    <t>hoh_ramadan</t>
  </si>
  <si>
    <t>hoh_purchase</t>
  </si>
  <si>
    <t>424. For Ramadan, did your household purchase any of the following?</t>
  </si>
  <si>
    <t>424. Pour le Ramadan, votre ménage a-t-il acheté l'un des produits suivants ?</t>
  </si>
  <si>
    <t>424. Ga watan azumi, gidanku ya sayi ɗaya daga cikin wadannan?</t>
  </si>
  <si>
    <t>hoh_purchase_clothing</t>
  </si>
  <si>
    <t>425. Clothing</t>
  </si>
  <si>
    <t>(${hoh_roster_in} = 1 or empty(${hoh_roster_name_cases})) and ${hoh_roster_age} &gt; 17</t>
  </si>
  <si>
    <t>425. Vêtements</t>
  </si>
  <si>
    <t>425. Tufafi</t>
  </si>
  <si>
    <t>hoh_purchase_sheep</t>
  </si>
  <si>
    <t>426. Sheep</t>
  </si>
  <si>
    <t>426. Mouton</t>
  </si>
  <si>
    <t>426. Rago</t>
  </si>
  <si>
    <t>hoh_purchase_goat</t>
  </si>
  <si>
    <t>238. We would now like to ask you about the migration history of ${hoh_roster_name}.</t>
  </si>
  <si>
    <t>238. Nous aimerions maintenant vous poser des questions sur l'historique de migration de ${hoh_roster_name}.</t>
  </si>
  <si>
    <t>238. Yanzu muna so mu tambaye ka tarihin zuwa biɗa na ${hoh_roster_name}.</t>
  </si>
  <si>
    <t>hoh_purchase_poultry</t>
  </si>
  <si>
    <t>speedcheck_hoh_cons_end</t>
  </si>
  <si>
    <t>dur_hoh_cons</t>
  </si>
  <si>
    <t>speedcheck_hoh_end</t>
  </si>
  <si>
    <t>239. Since ${period}, has ${hoh_roster_name} spent more than a week (7 days) away from home?</t>
  </si>
  <si>
    <t>239. Depuis cette ${period_french}, ${hoh_roster_name} a-t-il passé plus d'une semaine (7 jours) loin de chez lui ?</t>
  </si>
  <si>
    <t>dur_hoh</t>
  </si>
  <si>
    <t>239. Tun wancan ${period_hausa}, ${hoh_roster_name} ya shafe fiye da mako guda (kwana 7) baya gida?</t>
  </si>
  <si>
    <t>If don't know, enter -999</t>
  </si>
  <si>
    <t>Si la réponse est "Ne sait pas", saisissez -999</t>
  </si>
  <si>
    <t>followup</t>
  </si>
  <si>
    <t>Follow Up Questions</t>
  </si>
  <si>
    <t>Questions de suivi</t>
  </si>
  <si>
    <t>Tambayoyi na bibiya</t>
  </si>
  <si>
    <t>speedcheck_outro_start</t>
  </si>
  <si>
    <t>followup_note</t>
  </si>
  <si>
    <t>240. Since ${period}, in which of the following countries has ${hoh_roster_name} spent more than one week? Select all that apply</t>
  </si>
  <si>
    <t>240. Depuis cette ${period_french}, dans lequel des pays suivants hoh_roster_name a-t-il passé plus d'une semaine ? Sélectionnez tout ce qui s'y rapporte</t>
  </si>
  <si>
    <t>240. Tun daga wancan ${period_hausa}, a cikin waɗanne ƙasashe ne ${hoh_roster_name} ya shafe fiye da mako ɗaya? Zaɓi duk abin da ya dace</t>
  </si>
  <si>
    <t>not(count-selected(.) &gt; 1 and selected(., '-999'))</t>
  </si>
  <si>
    <t>primary_phone</t>
  </si>
  <si>
    <t>${hoh_mem_migrate} = 1</t>
  </si>
  <si>
    <t>filter != 1</t>
  </si>
  <si>
    <t>primary_phone_confirm</t>
  </si>
  <si>
    <t>431. I am going to read back the phone number you just shared with me. Can you confirm this is your primary phone number? ${primary_phone}</t>
  </si>
  <si>
    <t>431. Je vais relire le numéro de téléphone que vous venez de me donner. Pouvez-vous confirmer qu'il s'agit de votre numéro de téléphone principal ? ${primary_phone}</t>
  </si>
  <si>
    <t>431. Zan sake karanta lambar wayar da kuka bani. Zaku iya tabbatar mini da wannan itace lambar wayarku ta farko? ${primary_phone}</t>
  </si>
  <si>
    <t>primary_phone_2</t>
  </si>
  <si>
    <t>432. Please go back and correct the number.</t>
  </si>
  <si>
    <t>432. Veuillez revenir en arrière pour corriger le numéro.</t>
  </si>
  <si>
    <t>432. ko za ka koma baya ka gyara lambar.</t>
  </si>
  <si>
    <t>select_one call</t>
  </si>
  <si>
    <t>primary_phone_test</t>
  </si>
  <si>
    <t>433. I am going to call this phone number to confirm it is correct.</t>
  </si>
  <si>
    <t>selected(${hoh_dest_country}, '-777')</t>
  </si>
  <si>
    <t>433. Je vais appeler ce numéro de téléphone pour confirmer qu'il est correct.</t>
  </si>
  <si>
    <t>433. Zan kirayi wannan lambar don tabbatar da cewa daidai ce.</t>
  </si>
  <si>
    <t>primary_phone_test_note</t>
  </si>
  <si>
    <t>434. Please go back and enter a new phone number.</t>
  </si>
  <si>
    <t>434. Veuillez revenir en arrière pour entrer un nouveau numéro de téléphone.</t>
  </si>
  <si>
    <t>434. Ko za ka koma baya ka shigar da sabuwar lambar waya.</t>
  </si>
  <si>
    <t>use_whatsapp</t>
  </si>
  <si>
    <t>435. Do you have a Whatsapp account/ phone number you use for WhatsApp?</t>
  </si>
  <si>
    <t>435. Avez-vous un compte/numéro de téléphone Whatsapp que vous utilisez pour WhatsApp ?</t>
  </si>
  <si>
    <t>435. Kuna yin WhatsApp / lambar wayar da kuke amfani da ita ta WhatsApp ce?</t>
  </si>
  <si>
    <t>phone_whatsapp</t>
  </si>
  <si>
    <t>436. Is this the phone number you use for whatsapp?</t>
  </si>
  <si>
    <t>436. Est-ce le numéro de téléphone que vous utilisez pour WhatsApp ?</t>
  </si>
  <si>
    <t>436. Wannan ita ce lambar wayar da kuke amfani da ita don yin whatsapp?</t>
  </si>
  <si>
    <t>if(selected(${hoh_dest_country}, '1'), 1 , 0)</t>
  </si>
  <si>
    <t>phone_whatsapp_number</t>
  </si>
  <si>
    <t>437. Please tell me the phone number you use for Whatsapp</t>
  </si>
  <si>
    <t>437. Veuillez me dire le numéro de téléphone que vous utilisez pour Whatsapp</t>
  </si>
  <si>
    <t>437. Don Allah ku gaya mini lambar wayar da kuke amfani da ita don yin Whatsapp</t>
  </si>
  <si>
    <t>phone_whatsapp_confirm</t>
  </si>
  <si>
    <t>whatsapp_mismatch</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</si>
  <si>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</si>
  <si>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primary_other_phone</t>
  </si>
  <si>
    <t>primary_other_phones</t>
  </si>
  <si>
    <t>other_phones</t>
  </si>
  <si>
    <t>Other Phones</t>
  </si>
  <si>
    <t>primary_other_phone_num</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</si>
  <si>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</si>
  <si>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secondary_contact1</t>
  </si>
  <si>
    <t>443.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</si>
  <si>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</si>
  <si>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443. Idan ba za mu iya samun ku ba, ko za ku iya ba mu suna da lambar wayar wani wanda ba na gidanku ba da za mu iya kira don neman lambar ku?
  Za mu kirayi mutumen ne kawai idan bamu sameku ba bayan kira biyu zuwa uku, hakan zai taimaka mana ci gaba da tuntuɓar ku.</t>
  </si>
  <si>
    <t>count-selected(${hoh_dest_country})</t>
  </si>
  <si>
    <t>secondary_name_create1</t>
  </si>
  <si>
    <t>Name of Secondary Contact 1</t>
  </si>
  <si>
    <t>secondary_name1_last</t>
  </si>
  <si>
    <t>secondary_name1_first</t>
  </si>
  <si>
    <t>secondary_name1</t>
  </si>
  <si>
    <t>secondary_phone1</t>
  </si>
  <si>
    <t>secondary_relation1</t>
  </si>
  <si>
    <t>not(selected(${hoh_dest_country}, '-999'))</t>
  </si>
  <si>
    <t>${hoh_num_dest_country}</t>
  </si>
  <si>
    <t>secondary_phone1_confirm</t>
  </si>
  <si>
    <t>448. Just to confirm, is this the number? 
  ${secondary_name1}
  ${secondary_phone1}</t>
  </si>
  <si>
    <t>448. Juste pour confirmer, est-ce bien le numéro ?
  ${secondary_name1}
  ${secondary_phone1}</t>
  </si>
  <si>
    <t>448. Don tabbatarwa kawai, da wannan itace lambar?
  ${secondary_name1}
  ${secondary_phone1}</t>
  </si>
  <si>
    <t>secondary_phone1_note</t>
  </si>
  <si>
    <t>secondary_phone1_test</t>
  </si>
  <si>
    <t>secondary_phone1_test_note</t>
  </si>
  <si>
    <t>secondary_contact2</t>
  </si>
  <si>
    <t>secondary_name_create2</t>
  </si>
  <si>
    <t>Name of Secondary Contact 2</t>
  </si>
  <si>
    <t>selected-at(${hoh_dest_country}, index()-1)</t>
  </si>
  <si>
    <t>secondary_name2_last</t>
  </si>
  <si>
    <t>453. What is the last name of this person</t>
  </si>
  <si>
    <t>453. Quel est le nom de cette personne?</t>
  </si>
  <si>
    <t>453. Menene sunan uban wannan mutumen?</t>
  </si>
  <si>
    <t>secondary_name2_first</t>
  </si>
  <si>
    <t>454. What is the first name of this person</t>
  </si>
  <si>
    <t>454. Quel est le prénom de cette personne?</t>
  </si>
  <si>
    <t>454. Menene sunan wannan mutumen?</t>
  </si>
  <si>
    <t>if(${hoh_dest_index} = -777, ${hoh_dest_country_o}, choice-label(${hoh_dest_country}, ${hoh_dest_index}))</t>
  </si>
  <si>
    <t>secondary_name2</t>
  </si>
  <si>
    <t>secondary_phone2</t>
  </si>
  <si>
    <t>455. What is their phone number?</t>
  </si>
  <si>
    <t>455. Quel est leur numéro de téléphone?</t>
  </si>
  <si>
    <t>455. Menene lambar wayarsu?</t>
  </si>
  <si>
    <t>242. In ${hoh_destination}, what was the name of the city or town that ${hoh_roster_name} moved to?</t>
  </si>
  <si>
    <t>242. À ${hoh_destination}, quel était le nom de la ville dans laquelle ${hoh_roster_name} il a séjourné ?</t>
  </si>
  <si>
    <t>242. A ${hoh_destination}, menene sunan birnin da ${hoh_roster_name} ya zauna?</t>
  </si>
  <si>
    <t>search('towns', 'matches', 'country_id', ${hoh_dest_index})</t>
  </si>
  <si>
    <t>not(${hoh_dest_index} = 1 or ${hoh_dest_index} = -999)</t>
  </si>
  <si>
    <t>secondary_relation2</t>
  </si>
  <si>
    <t>456. What is ${secondary_name2}'s relationship to you?</t>
  </si>
  <si>
    <t>456. Quelle est la relation entre ${secondary_name2} et vous ?</t>
  </si>
  <si>
    <t>456. Menene alaƙar ku da ${secondary_name2} ?</t>
  </si>
  <si>
    <t>secondary_phone2_confirm</t>
  </si>
  <si>
    <t>457. Just to confirm, is this the number? 
  ${secondary_name2}
  ${secondary_phone2}</t>
  </si>
  <si>
    <t>457. Juste pour confirmer, est-ce bien le numéro ?
  ${secondary_name2}
  ${secondary_phone2}</t>
  </si>
  <si>
    <t>457. Don tabbatar kawai, da wannan itace lambar?
  ${secondary_name2}
  ${secondary_phone2}</t>
  </si>
  <si>
    <t>secondary_phone2_note</t>
  </si>
  <si>
    <t>selected(${hoh_dest_town}, '-777')</t>
  </si>
  <si>
    <t>secondary_phone2_test</t>
  </si>
  <si>
    <t>secondary_phone2_test_note</t>
  </si>
  <si>
    <t>460. Da fatan zaku rubuta lambar</t>
  </si>
  <si>
    <t>244. In ${hoh_destination}, what was the name of the region that ${hoh_roster_name} moved to?</t>
  </si>
  <si>
    <t>244. Dans ${hoh_destination}, quel était le nom de la région vers laquelle ${hoh_roster_name} a été déplacé ?</t>
  </si>
  <si>
    <t>244. A ${hoh_destination}, menene sunan yankin da ${hoh_roster_name} ya koma?</t>
  </si>
  <si>
    <t>enum_end</t>
  </si>
  <si>
    <t>${hoh_dest_index} = 1</t>
  </si>
  <si>
    <t>Final Enumerator questions</t>
  </si>
  <si>
    <t>Questions finales de l'enquêteur</t>
  </si>
  <si>
    <t>Tambayoyin ƙarshe na ɗan bincike</t>
  </si>
  <si>
    <t>select_one interest</t>
  </si>
  <si>
    <t>resp_interest</t>
  </si>
  <si>
    <t>461. How interested was the resppondent</t>
  </si>
  <si>
    <t>461. Dans quelle mesure le répondant était-il intéressé</t>
  </si>
  <si>
    <t>461. Yaya kake ganin maida hankalin mai bada amsa yake</t>
  </si>
  <si>
    <t>245. Specify other</t>
  </si>
  <si>
    <t>245. Autre à préciser</t>
  </si>
  <si>
    <t>245. Wani daban a Bayyana</t>
  </si>
  <si>
    <t>selected(${hoh_dest_region}, '-777')</t>
  </si>
  <si>
    <t>select_one patient</t>
  </si>
  <si>
    <t>resp_patient</t>
  </si>
  <si>
    <t>462. How impatient was the respondent?</t>
  </si>
  <si>
    <t>462. À quel point le répondant était-il impatient ?</t>
  </si>
  <si>
    <t>462. Yaya kake ganin rashin haƙurin mai bada amsa?</t>
  </si>
  <si>
    <t>select_one comprehension</t>
  </si>
  <si>
    <t>resp_understand</t>
  </si>
  <si>
    <t>246. How many times did ${hoh_roster_name} travel to ${hoh_destination} since ${period}?</t>
  </si>
  <si>
    <t>246. Combien de fois ${hoh_roster_name} s'est-il rendu à ${hoh_destination} depuis la ${period_french}?</t>
  </si>
  <si>
    <t>246. Sau nawa ${hoh_roster_name} yayi tafiya zuwa ${hoh_destination} tun daga wancan ${period_hausa}?</t>
  </si>
  <si>
    <t>not(selected(${hoh_dest_index}, '-999'))</t>
  </si>
  <si>
    <t>select_one present</t>
  </si>
  <si>
    <t>other_people</t>
  </si>
  <si>
    <t>comment</t>
  </si>
  <si>
    <t>465. Ɗan bincike: Yi rikodin duk wani sharhi akan binciken</t>
  </si>
  <si>
    <t>gps</t>
  </si>
  <si>
    <t>Collect GPS</t>
  </si>
  <si>
    <t>Collecteur de GPS</t>
  </si>
  <si>
    <t>Mai daukan GPS</t>
  </si>
  <si>
    <t>speedcheck_outro_end</t>
  </si>
  <si>
    <t>dur_outro</t>
  </si>
  <si>
    <t>Tambayoyin ɗan bincike na ƙarshe</t>
  </si>
  <si>
    <t>thankyou</t>
  </si>
  <si>
    <t xml:space="preserve">${speedcheck_hoh_rosterdest_end} - ${speedcheck_hoh_rosterdest_start} </t>
  </si>
  <si>
    <t>247. Since ${period}, was there ever a time when ${hoh_roster_name} planned to migrate but then had to cancel their plans?</t>
  </si>
  <si>
    <t>247. Depuis cette ${period_french}, y a-t-il déjà eu un moment où ${hoh_roster_name} avait prévu de migrer mais a ensuite dû annuler ses projets ?</t>
  </si>
  <si>
    <t>247. Tun daga ${period_hausa}, ko akwai lokacin da ${hoh_roster_name} ya shirya zuwa biɗa amma sai ya soke shirinshi?</t>
  </si>
  <si>
    <t>248. Where did they plan to migrate?</t>
  </si>
  <si>
    <t>248. Où envisageait-il de migrer ?</t>
  </si>
  <si>
    <t>248. Zuwa ina ya shirya zuwa biɗar?</t>
  </si>
  <si>
    <t>${hoh_failed_prep} = 1</t>
  </si>
  <si>
    <t>${hoh_failed_prep_country} = -777</t>
  </si>
  <si>
    <t>count-selected(${hoh_failed_prep_country})</t>
  </si>
  <si>
    <t>selected-at(${hoh_failed_prep_country}, ${hoh_failed_index}-1)</t>
  </si>
  <si>
    <t>if(${hoh_failed_country_index} = -777, ${hoh_failed_prep_country_o}, choice-label(${hoh_failed_prep_country}, ${hoh_failed_country_index}))</t>
  </si>
  <si>
    <t>250. In ${hoh_failed_country}, what was the name of the city or town that ${hoh_roster_name} planned to move to?</t>
  </si>
  <si>
    <t>250. Dans ${hoh_failed_country}, quel était le nom de la ville ou du village vers lequel ${hoh_roster_name} prévoyait de voyager ?</t>
  </si>
  <si>
    <t>250. A ƙasar ${hoh_failed_country}, menene sunan birni ko garin da sunan ${hoh_roster_name} yayi shirin zuwa?</t>
  </si>
  <si>
    <t>search('towns', 'matches', 'country_id', ${hoh_failed_country_index})</t>
  </si>
  <si>
    <t>not(${hoh_failed_country_index} = 1 or ${hoh_failed_country_index} = -999)</t>
  </si>
  <si>
    <t>selected(${hoh_failed_town} , '-777')</t>
  </si>
  <si>
    <t>${hoh_failed_country_index} = 1</t>
  </si>
  <si>
    <t>253. Specify other</t>
  </si>
  <si>
    <t>253. Autre à préciser</t>
  </si>
  <si>
    <t>253. Wani daban a Bayyana</t>
  </si>
  <si>
    <t>selected(${hoh_failed_region}, '-777')</t>
  </si>
  <si>
    <t>254. How many times did they plan to migrate to ${hoh_failed_country} and fail?</t>
  </si>
  <si>
    <t>254. Combien de fois ont-ils prévu de migrer vers ${hoh_failed_country} et ont-ils échoué ?</t>
  </si>
  <si>
    <t>254. Sau nawa ya shirya zuwa ƙasar ${hoh_failed_country} kuma ya kasa?</t>
  </si>
  <si>
    <t>${hoh_failed_country_index} != -999</t>
  </si>
  <si>
    <t>255. Why did they change their plans?</t>
  </si>
  <si>
    <t>255. Pourquoi a-t-il changé son plan?</t>
  </si>
  <si>
    <t>255. Me yasa ya fasa tafiyar?</t>
  </si>
  <si>
    <t>256. Specify other reason</t>
  </si>
  <si>
    <t>256. Précisez une autre raison</t>
  </si>
  <si>
    <t>256. Baiyana wani dalili daban</t>
  </si>
  <si>
    <t>selected(${hoh_failed_prep_reason}, '-777')</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</si>
  <si>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</si>
  <si>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</si>
  <si>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</si>
  <si>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</si>
  <si>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</si>
  <si>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</si>
  <si>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</si>
  <si>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</si>
  <si>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257. Now I will ask you about how your household manages its resources.</t>
  </si>
  <si>
    <t>257. Je vais maintenant vous demander comment votre ménage gère ses ressources.</t>
  </si>
  <si>
    <t>257. Yanzu zan tambaye ku yadda gidanku yake sarrafa dukiyoyinshi.</t>
  </si>
  <si>
    <t>258. Do you or another member of the household own this house?</t>
  </si>
  <si>
    <t>258. Est-ce que vous ou un autre membre du ménage êtes propriétaire de cette maison ?</t>
  </si>
  <si>
    <t>258. Shin wannan gidan mallakarku ne kai ko wani dan cikin gidan ?</t>
  </si>
  <si>
    <t>259. What is your best estimate of the value of your home in CFA?</t>
  </si>
  <si>
    <t>259. Quelle est votre meilleure estimation de la valeur de votre maison en CFA ?</t>
  </si>
  <si>
    <t>259. A ganinka wannan gidan aƙalla ya yi nawa a kudin CFA ?</t>
  </si>
  <si>
    <t>${hoh_own_home} = 1</t>
  </si>
  <si>
    <t>260. Does your household own the following goods?</t>
  </si>
  <si>
    <t>260. Votre ménage possède-t-il les biens suivants ?</t>
  </si>
  <si>
    <t>260. Ko gidanku na da kadarori masu zuwa?</t>
  </si>
  <si>
    <t>261. Does your household own any of the following types of livestock?</t>
  </si>
  <si>
    <t>261. Votre ménage possède-t-il l'un des types de bétail suivants ?</t>
  </si>
  <si>
    <t>261. ko gidanku yana da ɗaya daga cikin irin wadannan dabbobi?</t>
  </si>
  <si>
    <t>not(selected(${hoh_livestock_any}, '0'))</t>
  </si>
  <si>
    <t>count-selected(${hoh_livestock_any})</t>
  </si>
  <si>
    <t>choice-label(${hoh_livestock_any}, selected-at(${hoh_livestock_any}, index()-1))</t>
  </si>
  <si>
    <t>262. How many ${hoh_livestock_name} does your household own?</t>
  </si>
  <si>
    <t>262. Combien de ${hoh_livestock_name} votre ménage possède-t-il ?</t>
  </si>
  <si>
    <t>262. ${hoh_livestock_name} Nawa gidan ku ya mallaka ?</t>
  </si>
  <si>
    <t>. &gt;= 1 and . &lt;= 1000</t>
  </si>
  <si>
    <t>263. How much is ${hoh_livestock_name} worth in CFA?</t>
  </si>
  <si>
    <t>263. Combien vaut ${hoh_livestock_name} en CFA ?</t>
  </si>
  <si>
    <t>263. Nawa ne kuɗin ${hoh_livestock_name} a sefa?</t>
  </si>
  <si>
    <t xml:space="preserve">${speedcheck_hoh_livestock_end} - ${speedcheck_hoh_livestock_start} </t>
  </si>
  <si>
    <t>264. Now we'll talk about your households' agricultural and and animal husbandry activities. 
 Let's starting with the most recent agricultural season</t>
  </si>
  <si>
    <t>264. Maintenant, nous allons parler des activités agricoles et d'élevage de votre ménage.
 Commençons par la dernière saison agricole</t>
  </si>
  <si>
    <t>264. Yanzu za mu yi hira bisa aikin noma da kiwo na gidanku.</t>
  </si>
  <si>
    <t>265. Thinking of all the agricultural land your household owned, rented or and had access to during the last agricultural season, please estimate its total size in hectres</t>
  </si>
  <si>
    <t>265. En pensant à toutes les terres agricoles que votre ménage possédait, louait ou auxquelles il avait accès au cours de la dernière saison agricole, veuillez estimer leur superficie totale en hectares</t>
  </si>
  <si>
    <t>265. A ganinka da gonakan da kuka mallaka da na haya da na aro wanda kuka noma a bana sun kai eka nawa?</t>
  </si>
  <si>
    <t>266. How much of this land (in hectares) do you or another member of your household own?</t>
  </si>
  <si>
    <t>266. Quelle superficie de cette terre (en hectares) vous ou un autre membre de votre ménage possédez?</t>
  </si>
  <si>
    <t>266. Eka nawa ne mallakinku cikin wadannan gonakin, ku ko wani ɗan gidanku?</t>
  </si>
  <si>
    <t>. &lt;= ${hoh_land_access_amt}</t>
  </si>
  <si>
    <t>267. How much of this land, if any have you sold in the past year?</t>
  </si>
  <si>
    <t>267. Quelle superficie de ce terrain, si c'est déjà arrivé, avez-vous vendu au cours de l'année écoulée ?</t>
  </si>
  <si>
    <t>267. Eka nawa ne kuka saida, idan ya taɓa faruwa, a cikin shekarar da ta gabata?</t>
  </si>
  <si>
    <t>268. How much of this land, if any have you purchased in the past year?</t>
  </si>
  <si>
    <t>268. Quelle superficie de ce terrain, si c'est déjà arrivé, avez-vous acheté au cours de la dernière année ?</t>
  </si>
  <si>
    <t>268. Eka nawa ne kuka saye, idan ya faru, a cikin shekarar da ta gabata?</t>
  </si>
  <si>
    <t>269. How much of this land (in hectares) did you rent during the last agricultural season?</t>
  </si>
  <si>
    <t>269. Quelle superficie de cette terre (en hectares) avez-vous louée au cours de la dernière saison agricole ?</t>
  </si>
  <si>
    <t>269. Eka nawa ne kuka yi haya a lokacin noman da ta wuce?</t>
  </si>
  <si>
    <t>270. How much did you pay to rent this land during the last agricultural season (in CFA)?</t>
  </si>
  <si>
    <t>270. A combien avez-vous loué ce terrain (en CFA) au cours de la dernière saison agricole ?</t>
  </si>
  <si>
    <t>270.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</si>
  <si>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</si>
  <si>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</si>
  <si>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</si>
  <si>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</si>
  <si>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</si>
  <si>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271. Now we will focus on agricultural activities during last agricultural season</t>
  </si>
  <si>
    <t>271. Maintenant, nous allons nous concentrer sur les activités agricoles au cours de la dernière saison agricole</t>
  </si>
  <si>
    <t>271. Yanzu za mu maida hankali kan ayyukan noma a lokacin damanar da ta wuce</t>
  </si>
  <si>
    <t>272. Which of the following crops did your household grow during the last agricultural season?</t>
  </si>
  <si>
    <t>272. Laquelle des cultures suivantes votre ménage a-t-il cultivées au cours de la dernière saison agricole ?</t>
  </si>
  <si>
    <t>272. Wanne daga cikin waɗannan amfanin gidanku ya noma a damanar da ta gabata?</t>
  </si>
  <si>
    <t>not(count-selected(.) &gt; 1 and selected(., 0))</t>
  </si>
  <si>
    <t>273. Specify other:</t>
  </si>
  <si>
    <t>273. Précisez la culture</t>
  </si>
  <si>
    <t>273. Baiyana wani abu daban:</t>
  </si>
  <si>
    <t>selected(${hoh_crops}, '-777')</t>
  </si>
  <si>
    <t>${hoh_crops} != 0</t>
  </si>
  <si>
    <t>count-selected(${hoh_crops})</t>
  </si>
  <si>
    <t>if(selected-at(${hoh_crops}, index()-1) = '-777', ${hoh_crops_o}, choice-label(${hoh_crops}, selected-at(${hoh_crops}, index()-1)))</t>
  </si>
  <si>
    <t>274. How much of ${hoh_crop_name} did your household produce?</t>
  </si>
  <si>
    <t>274. Quelle quantité de ${hoh_crop_name} votre ménage a-t-il produit ?</t>
  </si>
  <si>
    <t>274. ${hoh_crop_name} Nawa gidanku ya samu?</t>
  </si>
  <si>
    <t>275. Select crop unit for ${hoh_crop_name}</t>
  </si>
  <si>
    <t>275. Sélectionnez l'unité de culture pour ${hoh_crop_name}</t>
  </si>
  <si>
    <t>275. Zaɓi amfanin gonar don ${hoh_crop_name}</t>
  </si>
  <si>
    <t>276. Specify other unit:</t>
  </si>
  <si>
    <t>276. Spécifiez une autre unité :</t>
  </si>
  <si>
    <t>276. Baiyana wani amfanin gonar daban:</t>
  </si>
  <si>
    <t>${hoh_crop_unit} = -777</t>
  </si>
  <si>
    <t>if(${hoh_crop_unit} = -777, ${hoh_crop_unit_o}, choice-label(${hoh_crop_unit}, ${hoh_crop_unit}))</t>
  </si>
  <si>
    <t>277. What quantity (${hoh_crop_unit_name}) of ${hoh_crop_name} did your household sell since the last harvest?</t>
  </si>
  <si>
    <t>277. Quelle quantité (${hoh_crop_unit_name}) de ${hoh_crop_name} votre ménage a-t-il vendu depuis la dernière récolte ?</t>
  </si>
  <si>
    <t>277. Nawa ne yawan (${hoh_crop_unit_name}) na ${hoh_crop_name} gidanku ya saida tun daga kaka na ƙarshe?</t>
  </si>
  <si>
    <t>. &lt;= ${hoh_crop_quantity}</t>
  </si>
  <si>
    <t>278. What was the price per ${hoh_crop_unit_name} of ${hoh_crop_name} you sold in CFA?</t>
  </si>
  <si>
    <t>278. Quel était le prix unitaire (${hoh_crop_unit_name}) de ${hoh_crop_name} que vous avez vendu en CFA ?</t>
  </si>
  <si>
    <t>278. Nawa farashin kowane ${hoh_crop_unit_name} na ${hoh_crop_name} da kuka saida a CFA?</t>
  </si>
  <si>
    <t>${hoh_qty_sold} &gt; 0</t>
  </si>
  <si>
    <t>279. How many ${hoh_crop_unit_name}s of ${hoh_crop_name} did your household consume?</t>
  </si>
  <si>
    <t>279. Quelle quantité (${hoh_crop_unit_name}) de ${hoh_crop_name} votre ménage a-t-il consommé ?</t>
  </si>
  <si>
    <t>279. Nawa yawan ${hoh_crop_unit_name} na ${hoh_crop_name} gidanku ya cinye?</t>
  </si>
  <si>
    <t>280.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</si>
  <si>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</si>
  <si>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</si>
  <si>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${hoh_qty_consume} &gt; 0</t>
  </si>
  <si>
    <t>${hoh_crop_quantity} - ${hoh_qty_sold} - ${hoh_qty_consume}</t>
  </si>
  <si>
    <t>281. The amount you have left (${hoh_qty_left}) is negative. Please return and revise your responses.</t>
  </si>
  <si>
    <t>281. Le montant qu'il vous reste (${hoh_qty_left}) est négatif. Veuillez revenir et réviser vos réponses.</t>
  </si>
  <si>
    <t>281. jimillar kuɗin da suka saura (${hoh_qty_left}) maras kyau ne. Da fatan za a dawo a sake duba amsoshin.</t>
  </si>
  <si>
    <t>${hoh_qty_left} &lt; 0</t>
  </si>
  <si>
    <t>282. Based on your responses, you had ${hoh_qty_left} ${hoh_crop_unit_name} left over. Does this sound correct?</t>
  </si>
  <si>
    <t>282. D'après vos réponses, il vous restait ${hoh_qty_left} ${hoh_crop_unit_name}. Est-ce que cela semble correct ?</t>
  </si>
  <si>
    <t>282. Dangane da amsoshinku, kuna da sauran ${hoh_qty_left} ${hoh_crop_unit_name}. Ko wannan yayi daidai?</t>
  </si>
  <si>
    <t>${hoh_qty_left} &gt;= 0</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</si>
  <si>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</si>
  <si>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</si>
  <si>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</si>
  <si>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</si>
  <si>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${hoh_qty_left} &gt; 0</t>
  </si>
  <si>
    <t>${hoh_qty_sold} * ${hoh_price_sold}</t>
  </si>
  <si>
    <t>283. How much did your household spend on the following types of expenses during the last agricultural season in CFA?</t>
  </si>
  <si>
    <t>283. Combien votre ménage a-t-il dépensé pour les types de dépenses suivantes au cours de la dernière saison agricole (en CFA) ?</t>
  </si>
  <si>
    <t>283. Nawa ne gidanku ya kashe akan waɗannan abubuwan a lokacin noman da ya wuce (a sefa)?</t>
  </si>
  <si>
    <t>284. Seeds</t>
  </si>
  <si>
    <t>284. Semences</t>
  </si>
  <si>
    <t>284. Iri</t>
  </si>
  <si>
    <t>285. Fertilizer</t>
  </si>
  <si>
    <t>285. Engrais</t>
  </si>
  <si>
    <t>285. Takin zamani</t>
  </si>
  <si>
    <t>286. Renting machines and tools (i.e. for plowing or spraying)</t>
  </si>
  <si>
    <t>286. Location de machines et d'outils (c'est-à-dire pour labourer ou pulvériser)</t>
  </si>
  <si>
    <t>286. Hayar injina da kayan aiki ( don noma ko feshi)</t>
  </si>
  <si>
    <t>287. Water</t>
  </si>
  <si>
    <t>287. Eau</t>
  </si>
  <si>
    <t>287. Ruwa</t>
  </si>
  <si>
    <t>${speedcheck_hoh_cropsinfo_end} - ${speedcheck_hoh_cropsinfo_start}</t>
  </si>
  <si>
    <t>288. We want to understand how many days people worked in your fields and who did this work.</t>
  </si>
  <si>
    <t>288. Nous voulons comprendre combien de jours des gens ont travaillé dans vos champs et qui a fait ce travail.</t>
  </si>
  <si>
    <t>288. Muna son mu fahimci kwanaki nawa mutane suka yi aiki a gonakinku da kuma wanda ya yi wannan aikin.</t>
  </si>
  <si>
    <t>289. Think about the last agricultural season. How many weeks were people working in your fields? This includes work by people who are members of your household and those who are not members of your household.</t>
  </si>
  <si>
    <t>289. Pensez à la dernière saison agricole. Combien de semaines au total les gens ont-ils travaillé dans vos champs ? Cela inclut le travail des personnes qui sont membres de votre ménage et celles qui ne le sont pas.</t>
  </si>
  <si>
    <t>289. Ku tuna da lokacin noma na ƙarshe. Makonni nawa mutane ke aiki a filayenku? Wannan ya haɗa da aikin mutanen da ke cikin gidanku da waɗanda ba ƴan gidanku ba ne.</t>
  </si>
  <si>
    <t>. &gt;= 0 and . &lt;= 26</t>
  </si>
  <si>
    <t>290. Think about a typical week during the last agricultural season. How many days were people working in your fields? This includes work by people who are members of your household and those who are not members of your household.</t>
  </si>
  <si>
    <t>290. Pensez à une semaine typique au cours de la dernière saison agricole. Combien de jours les gens ont-ils travaillé dans vos champs par semaine ? Cela inclut le travail des personnes qui sont membres de votre ménage et celles qui ne le sont pas.</t>
  </si>
  <si>
    <t>290. Ku tuna da mako guda na lokacin damana ta ƙarshe. Kwanaki nawa mutane suke aiki a gonkinku a cikin kowane sati? Wannan ya haɗa da aikin mutanen da ke cikin gidan ku da waɗanda ba 'yan gidan ku ba ne.</t>
  </si>
  <si>
    <t>count-selected(${hoh_members_above_7})</t>
  </si>
  <si>
    <t>selected-at(${hoh_members_above_7}, index()-1)</t>
  </si>
  <si>
    <t>indexed-repeat(${hoh_roster_name}, ${hoh_roster}, ${hoh_labor_index})</t>
  </si>
  <si>
    <t>291. Can you estimate how many days during the last agricultural season did ${hoh_labor_name} work in field?</t>
  </si>
  <si>
    <t>291. Pouvez-vous estimer combien de jours au cours de la dernière saison agricole ${hoh_labor_name} a-t-il travaillé dans les champs ?</t>
  </si>
  <si>
    <t>291. Za ku iya ƙiyasin kwanaki nawa a lokacin noman da ya gabata ${hoh_labor_name} ya yi aikin a noma?</t>
  </si>
  <si>
    <t>. &gt;= 0 and . &lt;= 180</t>
  </si>
  <si>
    <t>292. The following questions about agricultural labor are for the last agricultural season (last 180 days).</t>
  </si>
  <si>
    <t>292. Les questions suivantes sur le travail agricole concernent la dernière saison agricole (180 derniers jours).\</t>
  </si>
  <si>
    <t>292. Tambayoyi masu zuwa game da aikin noma na ƙarshe ne (kwanaki 180 na ƙarshe).</t>
  </si>
  <si>
    <t>293. Did you hire anyone outside of your household to work in your fields?</t>
  </si>
  <si>
    <t>293. Avez-vous embauché quelqu'un en dehors de votre ménage pour travailler dans vos champs ?</t>
  </si>
  <si>
    <t>293. Ko kun ɗauki wani dan barema da ba ɗan gidanku ba don yin aiki a gonakinku?</t>
  </si>
  <si>
    <t>${hoh_days_labor} &gt; 0</t>
  </si>
  <si>
    <t>294. How many different people did you hire people to work in your fields?</t>
  </si>
  <si>
    <t>294. Combien de personnes avez-vous embauchées pour travailler dans vos champs ?</t>
  </si>
  <si>
    <t>294. Mutane nawa kuka ɗauka don yin aiki a gonakinku?</t>
  </si>
  <si>
    <t>${hoh_hire_ag} = 1</t>
  </si>
  <si>
    <t>295. How many days did each laborer work in your fields?</t>
  </si>
  <si>
    <t>295. Combien de jours chaque ouvrier a-t-il travaillé dans vos champs ?</t>
  </si>
  <si>
    <t>295. Kwanaki nawa kowane ma'aikaci yayi aiki a gonakinku?</t>
  </si>
  <si>
    <t>296. What was the daily wage you paid for people to work in your fields, or how much would you pay in CFA?</t>
  </si>
  <si>
    <t>296. Quel était le salaire journalier que vous payiez pour que les gens travaillent dans vos champs, ou combien paieriez-vous en CFA ?</t>
  </si>
  <si>
    <t>296. Nawa ne kuke biyan waɗanda suka yi aiki a gonakinku a dukkan wuni a sefa ?</t>
  </si>
  <si>
    <t>${hoh_income3} + ${hoh_income4} + ${hoh_income5} + ${hoh_income6} + ${hoh_income7} + ${hoh_income8}</t>
  </si>
  <si>
    <t>297. Thinking of your expenses related to labor and investment in your fields during the last agricultural season, you spent a total of ${hoh_total_paid} in CFA, is this correct?</t>
  </si>
  <si>
    <t>297. Pour toutes les dépenses pour vos champs dont nous avons parlé, vous avez payé ${hoh_total_paid} en CFA, est-ce correct ?</t>
  </si>
  <si>
    <t>297. Ku tuna da dukkan kuɗaɗen da kuka kashe a kan aikin gona a lokacin aikin noma na ƙarshe, kun kashe jimillar ${hoh_total_paid} a CFA, wannan daidai ne?</t>
  </si>
  <si>
    <t>. = 1</t>
  </si>
  <si>
    <t>Veuillez revenir et corriger vos réponses aux questions 88 à 93.</t>
  </si>
  <si>
    <t>298. Now we'll ask about any work by members of your household in fields owned by other people.</t>
  </si>
  <si>
    <t>298. Nous allons maintenant poser des questions sur tout travail effectué par des membres de votre ménage dans des champs appartenant à d'autres personnes.</t>
  </si>
  <si>
    <t>298. Yanzu za mu yi tambayoyi game da duk wani aiki da ƴan gidanku suka yi a gonakin wasu mutane.</t>
  </si>
  <si>
    <t>299. Have any family members worked as a day labor in fields for someone else?</t>
  </si>
  <si>
    <t>299. Pensez à tout membre de votre ménage, y-a t-il des membres de votre ménage qui ont travaillé comme journaliers dans le champs de quelqu'un d'autre ?</t>
  </si>
  <si>
    <t>299. Ko wani ɗan gidanku ya yi aiki a matsayin ɗan barema a gonar wani?</t>
  </si>
  <si>
    <t xml:space="preserve">${speedcheck_hoh_labor_end} - ${speedcheck_hoh_labor_start} </t>
  </si>
  <si>
    <t>${hoh_members_paid_ag} = 1</t>
  </si>
  <si>
    <t>indexed-repeat(${hoh_roster_name}, ${hoh_roster}, index())</t>
  </si>
  <si>
    <t>indexed-repeat(${hoh_roster_age}, ${hoh_roster}, index())</t>
  </si>
  <si>
    <t>300. Can you estimate how many days ${hoh_paid_name} worked as a day laborer in the fields for someone else?</t>
  </si>
  <si>
    <t>300. Pouvez-vous estimer combien de jours ${hoh_paid_name} a travaillé comme journalier dans les champs d'autres personnes ?</t>
  </si>
  <si>
    <t>300. Za ku iya misalta ko wuni nawa ${hoh_paid_name} yayi aiki a matsayin ma'aikacin barema a gonar wasu mutane?</t>
  </si>
  <si>
    <t>${hoh_paid_age} &gt; 7</t>
  </si>
  <si>
    <t>301. What was the daily wage paid to ${hoh_paid_name} working as a day laborer for someone else in CFA?</t>
  </si>
  <si>
    <t>301. Quel était le salaire journalier payé à ${hoh_paid_name} travaillant comme journalier pour quelqu'un d'autre en CFA ?</t>
  </si>
  <si>
    <t>301. Nawa biyan ${hoh_paid_name} na wuni a lokacin da yake barema a gonar wani a sefa?</t>
  </si>
  <si>
    <t>${hoh_paid_ag} &gt; 0</t>
  </si>
  <si>
    <t>${hoh_paid_ag} * ${hoh_paid_ag_wage}</t>
  </si>
  <si>
    <t xml:space="preserve">${speedcheck_hoh_paid_end} - ${speedcheck_hoh_paid_start} </t>
  </si>
  <si>
    <t>302. Thinking about the last agricultural season, did you need to pay other expenses we did not ask you about?</t>
  </si>
  <si>
    <t>302. En pensant à la dernière saison agricole, avez-vous dû faire d'autres dépenses dont nous n'avons pas parlé ?</t>
  </si>
  <si>
    <t>302. A tunaninka a lokacin noman da ya gabata, akwai wasu kashe kashen kuɗi da kuka yi wanda ba mu yi zancen su ba?</t>
  </si>
  <si>
    <t>303. What was the expense?</t>
  </si>
  <si>
    <t>303. Quelle était la dépense ?</t>
  </si>
  <si>
    <t>303. wane kashe kuɗi ne ?</t>
  </si>
  <si>
    <t>${hoh_ag_exp_other}=1</t>
  </si>
  <si>
    <t>304. What was the approximate value of ${hoh_ag_exp_other_name} in CFA?</t>
  </si>
  <si>
    <t>304. Quelle était la valeur approximative de ${hoh_ag_exp_other_name} en CFA ?</t>
  </si>
  <si>
    <t>304. Nawa farashin ${hoh_ag_exp_other_name} a wacan lokacin a sefa?</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</si>
  <si>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</si>
  <si>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</si>
  <si>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</si>
  <si>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</si>
  <si>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</si>
  <si>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</si>
  <si>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</si>
  <si>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</si>
  <si>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</si>
  <si>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305. Total income: ${hoh_total_income}
 Does this seem right?</t>
  </si>
  <si>
    <t>305. Revenu total : ${hoh_total_income}
 Cela vous semble-t-il juste ?</t>
  </si>
  <si>
    <t>305. Jimillar kuɗin shiga: ${hoh_total_income}
 ko kuna ganin hakan yayi daidai?</t>
  </si>
  <si>
    <t>Veuillez revenir et corriger vos réponses aux questions 82 à 87 et 95 à 97</t>
  </si>
  <si>
    <t>306. Now we'll ask about income generating activity from animal husbandry in the past three months</t>
  </si>
  <si>
    <t>306. Maintenant, nous allons poser des questions sur l'activité génératrice de revenus liée à l'élevage au cours des trois derniers mois</t>
  </si>
  <si>
    <t>306. Yanzu za mu yi hira game da ayyukan samar da kuɗaɗen shiga na kiwo a cikin watanni uku da suka gabata</t>
  </si>
  <si>
    <t>choice-label(${hoh_livestock_any}, index())</t>
  </si>
  <si>
    <t>307. How many ${hoh_livestock_act_name} did you buy?</t>
  </si>
  <si>
    <t>307. Au cours des trois derniers mois, combien de ${hoh_livestock_act_name} avez-vous acheté ?</t>
  </si>
  <si>
    <t>307. ${hoh_livestock_act_name} Nawa kuka saye?</t>
  </si>
  <si>
    <t>308. How much did you buy ${hoh_livestock_act_name} for in CFA?</t>
  </si>
  <si>
    <t>570. Pour combien avez-vous acheté ${hoh_livestock_act_name} en CFA ?</t>
  </si>
  <si>
    <t>570. A nawa kuka sayi ${hoh_livestock_act_name} a kuɗin CFA?</t>
  </si>
  <si>
    <t>You mentioned that you bought ${hoh_livestock_bought} individual ${hoh_livestock_act_name}. Please report the total price you received in CFA.</t>
  </si>
  <si>
    <t>${hoh_livestock_bought} &gt; 0</t>
  </si>
  <si>
    <t>309. How many ${hoh_livestock_act_name} did you sell?</t>
  </si>
  <si>
    <t>309. Au cours des trois derniers mois, combien de ${hoh_livestock_act_name} avez-vous vendu ?</t>
  </si>
  <si>
    <t>309. ${hoh_livestock_act_name} nawa kuka saida?</t>
  </si>
  <si>
    <t>310. How much did you sell ${hoh_livestock_act_name} for in CFA?</t>
  </si>
  <si>
    <t>572. Pour combien avez-vous vendu ${hoh_livestock_act_name} en CFA ?</t>
  </si>
  <si>
    <t>572. Nawa kuka sayar da ${hoh_livestock_act_name} a kuɗin CFA?</t>
  </si>
  <si>
    <t>You mentioned that you sold ${hoh_livestock_sold} individual ${hoh_livestock_act_name}. Please report the total amount you received in CFA.</t>
  </si>
  <si>
    <t>${hoh_livestock_sold} &gt; 0</t>
  </si>
  <si>
    <t>311. How many ${hoh_livestock_act_name} did you consume?</t>
  </si>
  <si>
    <t>311. Au cours des trois derniers mois, combien de ${hoh_livestock_act_name} avez-vous consommé ?</t>
  </si>
  <si>
    <t>311. ${hoh_livestock_act_name} Nawa kuka cinye ?</t>
  </si>
  <si>
    <t>312.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</si>
  <si>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</si>
  <si>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</si>
  <si>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You mentioned that you consumed ${hoh_livestock_consumed} individual ${hoh_livestock_act_name}. Please report the total amount you would receive in CFA.</t>
  </si>
  <si>
    <t>${hoh_livestock_consumed} &gt; 0</t>
  </si>
  <si>
    <t>313. In the past three months, how much did you spend on food and health expense for all of your animals (in CFA)?</t>
  </si>
  <si>
    <t>313. Au cours des trois derniers mois, combien avez-vous dépensé en frais de nourriture et de santé pour tous vos animaux (en CFA) ?</t>
  </si>
  <si>
    <t>313. Nawa kuka kashe akan abinci da kiwon lafiyar dukkan dabbobinku (a sefa) ?</t>
  </si>
  <si>
    <t>314. When thinking about the past three months, I would like to ask you about how many days a typical week people in your household worked. We know people may work more during some weeks rather than others, please think about what happens during most weeks.</t>
  </si>
  <si>
    <t>314.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</si>
  <si>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314. Tuna da watanni uku da suka wuce. Ina son in tambaye ku game da yawan kwanaki da ƴan gidanku ke yin aiki a cikin sati na yau da kullun. Mun san da mutane na iya yin aiki a cikin wani sati fiye da wani satin, amma yi tunanin abinda ke kasancewa a yawancin makonni.</t>
  </si>
  <si>
    <t>315. How many days did people in your household work to care for your animals in a typical week in the past three months?</t>
  </si>
  <si>
    <t>315. Dans les trois derniers mois, au cours d'une semaine normale, combien de jours les membres de votre ménage ont-ils travaillé pour s'occuper de vos animaux ?</t>
  </si>
  <si>
    <t>315. A cikin watanni uku da suka wuce, kwana nawa a cikin sati mutanen gidanku suka yi aiki don kula da bisashenku?</t>
  </si>
  <si>
    <t>. &lt;= 7</t>
  </si>
  <si>
    <t>316. In the past three months, did you hire anyone outside your household to care for your animals?</t>
  </si>
  <si>
    <t>316. Au cours des trois derniers mois, avez-vous embauché quelqu'un en dehors de votre ménage pour s'occuper de vos animaux ?</t>
  </si>
  <si>
    <t>316. A cikin watanni uku da suka wuce, Ko kun ɗauki wani wanda ba ɗan gidanku ba don kula da dabbobinku?</t>
  </si>
  <si>
    <t>317. In the last 3 months, for how many weeks did you hire people to care for your livestock?</t>
  </si>
  <si>
    <t>317. Au cours des trois derniers mois, combien de semaines avez-vous embauché des personnes pour s'occuper de votre bétail ?</t>
  </si>
  <si>
    <t>317. A cikin watanni 3 da suka wuce, sati nawa kuka dauki ƴan aiki don kula da dabbobinku?</t>
  </si>
  <si>
    <t>. &lt;= 12</t>
  </si>
  <si>
    <t>${hoh_hire_livestock} = 1</t>
  </si>
  <si>
    <t>318. What was the weekly wage paid to people who care for your animals, or how much would you pay in CFA?</t>
  </si>
  <si>
    <t>318. Quel était les frais hebdomadaire payés aux personnes qui s'occupent de vos animaux, ou combien paieriez-vous en CFA ?</t>
  </si>
  <si>
    <t>318. 105 a. Nawa albashin mako-mako na wannan mutanen da ke kula da dabbobinku a CFA?</t>
  </si>
  <si>
    <t>${hoh_hire_livestock_days} * ${hoh_hire_livestock_wage} * 12</t>
  </si>
  <si>
    <t>319. You paid ${hoh_hire_livestock_total} in CFA for people to care for your animals, is this correct?</t>
  </si>
  <si>
    <t>319. Vous avez payé ${hoh_hire_livestock_total} (en CFA) aux personnes qui s'occupent de vos animaux, est-ce exact ?</t>
  </si>
  <si>
    <t>319. ${hoh_hire_livestock_total} (a sefa) kuka biya, ko daidai ne?</t>
  </si>
  <si>
    <t>320. In the past three months, did any member of your household care for livestock owned by other people?</t>
  </si>
  <si>
    <t>320. Au cours des trois derniers mois, un membre de votre ménage s'est-il occupé du bétail appartenant à d'autres personnes ?</t>
  </si>
  <si>
    <t>320. A cikin watanni uku da suka wuce, akwai wani ɗan gidanku da ya kula da dabbobin wasu mutane?</t>
  </si>
  <si>
    <t>321. In a typical week, how many days did they do this job?</t>
  </si>
  <si>
    <t>321. Au cours d'une semaine normale, combien de jours ont-ils fait ce travail ?</t>
  </si>
  <si>
    <t>321. A cikin mako, kwana nawa suka yi wannan aikin?</t>
  </si>
  <si>
    <t>${hoh_paid_livestock} = 1</t>
  </si>
  <si>
    <t>322. What was the daily wage paid to household members who cared for livestock owned by other people?</t>
  </si>
  <si>
    <t>322. Quel étaient les frais journaliers payés aux membres de votre ménage qui s'occupent des animaux du bétail appartenant à d'autres personnes en CFA ?</t>
  </si>
  <si>
    <t>322. Nawa ne biyan wuni na ƴan gida masu kula da dabbobin wasu mutane (a kuɗin CFA)?</t>
  </si>
  <si>
    <t>323. Now we will ask about other forms of income people in your household may have earned in the past three months.</t>
  </si>
  <si>
    <t>323. Nous allons maintenant poser des questions sur les autres formes de revenus que les membres de votre ménage ont pu gagner au cours des trois derniers mois.</t>
  </si>
  <si>
    <t>323. Yanzu za mu yi tambayoyi bisa wasu hanyoyin samun kuɗin shiga da yan gidanku a cikin watanni uku da suka gabata.</t>
  </si>
  <si>
    <t>324. Do you or another member of your household own land that is currently not used for agriculture, outside of your current home?</t>
  </si>
  <si>
    <t>324. Est-ce que vous ou un autre membre de votre ménage possédez des terres qui ne sont actuellement pas utilisées pour l'agriculture, en dehors de votre domicile actuel ?</t>
  </si>
  <si>
    <t>324. Shin kai ko wani na gidanku kuna da wasu hilaye wanda ba na noma ba bancin gidanku da kuke ciki a halin yanzu?</t>
  </si>
  <si>
    <t>325. In the past three months, what is the total revenue from rent of land or other property in CFA?</t>
  </si>
  <si>
    <t>325. Au cours des trois derniers mois, quel a été le revenu total provenant de la location d'un terrain ou d'une autre propriété en CFA?</t>
  </si>
  <si>
    <t>325. A cikin watanni uku da suka gabata, menene jimillar kuɗin da aka samu ta hanyar hayan filaye ko wasu kadarori (a sefa)?</t>
  </si>
  <si>
    <t>${hoh_own_other} = 1</t>
  </si>
  <si>
    <t>326. In the past three months, what is the total value of interest from loans you have given to others in CFA?</t>
  </si>
  <si>
    <t>326. Au cours des trois derniers mois, quelle est la valeur totale des intérêts des prêts que vous avez accordés à d'autres en CFA?</t>
  </si>
  <si>
    <t>326. A cikin watanni uku da suka gabata, nawa ne jimillar kudin ruwan basussuka da kuka baiwa wasu (a sefa)?</t>
  </si>
  <si>
    <t xml:space="preserve">${speedcheck_hoh_livestockact_end} - ${speedcheck_hoh_livestockact_start} </t>
  </si>
  <si>
    <t>327. Does anyone in the household fully, or partly own and operate an income generating activity that is not farming or herding? (i.e. a shop where you sell goods, restaurant, butcher shop)?</t>
  </si>
  <si>
    <t>327. Quelqu'un dans le ménage possède-t-il entièrement ou partiellement une activité génératrice de revenus autre que l'agriculture ou l'élevage ? (C'est-à-dire un magasin où vous vendez des marchandises, un restaurant, une boucherie) ?</t>
  </si>
  <si>
    <t>327. Ko akwai wani ɗan gidanku mai sana'a wanda jarin gaba daya nashi ko na hadin gwiwa ne banda noma da kiyo? ( kantin saida kaya, gidan abinci, fawa)?</t>
  </si>
  <si>
    <t>328. What type of business is this?</t>
  </si>
  <si>
    <t>328. Quel type d'entreprise est-ce?</t>
  </si>
  <si>
    <t>328. Wane irin kasuwanci ne?</t>
  </si>
  <si>
    <t>${hoh_own_biz} = 1</t>
  </si>
  <si>
    <t>329. Specify other</t>
  </si>
  <si>
    <t>329. Autre à préciser :</t>
  </si>
  <si>
    <t>329. Baiyana wani abu daban:</t>
  </si>
  <si>
    <t>${hoh_biz_type} = -777</t>
  </si>
  <si>
    <t>if(${hoh_biz_type} = -777, ${hoh_biz_type_o}, choice-label(${hoh_biz_type}, ${hoh_biz_type}))</t>
  </si>
  <si>
    <t>330. Do you have a permanent location (i.e. building)?</t>
  </si>
  <si>
    <t>330. Avez-vous un emplacement permanent (c'est-à-dire un bâtiment) ?</t>
  </si>
  <si>
    <t>330. Kuna da wurin dindindin (kamar gini)?</t>
  </si>
  <si>
    <t>331. How many people outside of your household do you employ in this business?</t>
  </si>
  <si>
    <t>331. Combien de personnes en dehors de votre ménage employez-vous dans cette entreprise ?</t>
  </si>
  <si>
    <t>331. Mutane nawa ne kuka dauka aiki banda ƴan gidan a wannan kasuwancin?</t>
  </si>
  <si>
    <t>332. How much do you pay per day for people to work in this business in CFA?</t>
  </si>
  <si>
    <t>332. Combien payez-vous par jour pour que les gens travaillent dans cette entreprise (en CFA) ?</t>
  </si>
  <si>
    <t>332. Nawa kuke biyan su a wuni (a sefa) ?</t>
  </si>
  <si>
    <t>${hoh_own_biz} = 1 and ${hoh_biz_employ} = 1</t>
  </si>
  <si>
    <t>count-selected(${hoh_members_in_hh})</t>
  </si>
  <si>
    <t>selected-at(${hoh_members_in_hh}, index()-1)</t>
  </si>
  <si>
    <t>indexed-repeat(${hoh_roster_name}, ${hoh_roster}, ${hoh_biz_index})</t>
  </si>
  <si>
    <t>indexed-repeat(${hoh_roster_age}, ${hoh_roster}, ${hoh_biz_index})</t>
  </si>
  <si>
    <t>333. In a typical week during the past three months, how many days did ${hoh_biz_name} work in the household business?</t>
  </si>
  <si>
    <t>333. Au cours d'une semaine normale au cours des trois derniers mois, combien de jours ${hoh_biz_name} a-t-il travaillé dans l'entreprise familiale ?</t>
  </si>
  <si>
    <t>333. Kwanaki nawa a cikin kowane mako guda a cikin watanni uku da suka gabata, ${hoh_biz_name} yayi aiki a cikin kasuwancin gida?</t>
  </si>
  <si>
    <t>${hoh_own_biz} = 1 and ${hoh_biz_age} &gt;= 7</t>
  </si>
  <si>
    <t xml:space="preserve">${speedcheck_hoh_biz_end} - ${speedcheck_hoh_biz_start} </t>
  </si>
  <si>
    <t>334. Thinking about all of the revenues from this business in the past three months, what was the total amount of money coming in from this business in the last three months?</t>
  </si>
  <si>
    <t>334. Pense à tous les revenus de cette entreprise au cours des trois derniers mois, quel a été le montant total provenant de cette entreprise au cours des trois derniers mois ?</t>
  </si>
  <si>
    <t>334. Tuna da dukkan kuɗaɗen shiga na wannan kasuwancin a cikin watanni uku da suka wuce, nawa ne yawan kuɗin da aka samu daga wannan kasuwancin a cikin watanni uku da suka wuce?</t>
  </si>
  <si>
    <t>335. Thinking about all of the the expenses from this business, what was the total amount of money you spent on costs related to this business in the last three months?</t>
  </si>
  <si>
    <t>335. Pense à toutes les dépenses de cette entreprise, quel a été le montant total que vous avez dépensé pour les coûts liés à cette entreprise au cours des trois derniers mois ?</t>
  </si>
  <si>
    <t>335. Tuna da dukkan kuɗin da aka kashe don wannan kasuwancin, nawa ne jimillar kuɗin da kuka kashe a kan wannan kasuwancin a cikin watanni uku da suka wuce?</t>
  </si>
  <si>
    <t>${hoh_biz_revenue} - ${hoh_biz_expense}</t>
  </si>
  <si>
    <t>336. Thinking about all the revenue and expense related to this business during the past three months, you said that the net income from this business for your household is ${hoh_biz_income}. Is that correct?</t>
  </si>
  <si>
    <t>336. En pensant à tous les revenus de cette entreprise et à toutes les dépenses, vous dites que la bénéfice net de cette entreprise au cours des trois derniers mois est ${hoh_biz_income}, est-ce exact ?</t>
  </si>
  <si>
    <t>336. Ku tuna da dukkan kuɗaɗen shiga da kashe kashen kuɗi da suka shafi wannan kasuwancin a cikin watanni uku da suka wuce. Kun ce yawan riban wannan kasuwancin shine ${hoh_biz_income}. Ko hakan daidai ne?</t>
  </si>
  <si>
    <t>337. We have discussed work done by members of your household in agriculture, in husbandry, in a business owned by your family.</t>
  </si>
  <si>
    <t>337. Nous avons discuté du travail effectué par les membres de votre ménage dans l'agriculture, l'élevage, dans une entreprise appartenant à votre famille.</t>
  </si>
  <si>
    <t>337. “Mun tattauna bisa ayyukan da ƴan gidanku suka yi a harakar noma da kiwo, kasuwancin da ƴan gidanku suka mallaka.</t>
  </si>
  <si>
    <t>indexed-repeat(${hoh_roster_name}, ${hoh_roster}, ${hoh_member_act_index})</t>
  </si>
  <si>
    <t>338. In the past three months, did ${hoh_member_act_name} earn money from any other activity?</t>
  </si>
  <si>
    <t>338. Au cours des trois derniers mois, ${hoh_member_act_name} a-t-il gagné de l'argent grâce à une autre activité ?</t>
  </si>
  <si>
    <t>338. A cikin watanni uku da suka gabata, ${hoh_member_act_name} ya samu kuɗi daga yin wani aiki?</t>
  </si>
  <si>
    <t>339. What was the activity?</t>
  </si>
  <si>
    <t>339. Quelle était l'activité ?</t>
  </si>
  <si>
    <t>339. Menene aikin?</t>
  </si>
  <si>
    <t>${hoh_member_other_activity} = 1</t>
  </si>
  <si>
    <t>340. Specify the activity</t>
  </si>
  <si>
    <t>340. Précisez l'activité</t>
  </si>
  <si>
    <t>340. Baiyana aikin</t>
  </si>
  <si>
    <t>${hoh_member_other_activity} = 1 and ${hoh_member_other_act} = '-777'</t>
  </si>
  <si>
    <t>if(${hoh_member_other_act} = '-777', ${hoh_member_other_activity_o}, choice-label(${hoh_member_other_act}, ${hoh_member_other_act}))</t>
  </si>
  <si>
    <t>341. How much does ${hoh_member_act_name} earn from this activity during an average week (that they are engaged in ${hoh_member_other_activity_name})?</t>
  </si>
  <si>
    <t>341. Combien ${hoh_member_act_name} gagne-t-il grâce à cette activité au cours d'une semaine en moyenne (pendant laquelle il est engagé comme ${hoh_member_other_activity_name}) ?</t>
  </si>
  <si>
    <t>341. A takaice nawa ${hoh_member_act_name} yake samu daga wannan aiki a cikin sati (a lokacin da suke cikin aikin ${hoh_member_other_activity_name})?</t>
  </si>
  <si>
    <t>342. Think about the past 3 months how many weeks did they engage in ${hoh_member_other_activity_name}?</t>
  </si>
  <si>
    <t>342. Pensez aux 3 derniers mois, combien de semaines ont-ils participé à ${hoh_member_other_activity_name} ?</t>
  </si>
  <si>
    <t>342. A watanni 3 da suka gabata, sati nawa suka yi aikin ${hoh_member_other_activity_name}?</t>
  </si>
  <si>
    <t>343. Can you estimate how much ${hoh_member_act_name} contributes to the household common pot in a typical week (excluding labor) including both cash and in goods?</t>
  </si>
  <si>
    <t>343. Pouvez-vous estimer la contribution de ${hoh_member_act_name} au fond commun du ménage au cours d'une semaine normale (hors main-d'œuvre), y compris en espèces et en nature ?</t>
  </si>
  <si>
    <t>343. Ko za ku iya kimanta gudunmawar kuɗi da kaya da ${hoh_member_act_name} ya kawo gidan a cikin sati guda (banda aiki)?</t>
  </si>
  <si>
    <t xml:space="preserve"> ${speedcheck_hoh_memact_end} - ${speedcheck_hoh_memact_start}</t>
  </si>
  <si>
    <t>344. In the past three months, have you or anyone in your household received money from someone who is not a member of your household and who lives elsewhere in Niger (outside your village)?</t>
  </si>
  <si>
    <t>344. Au cours des trois derniers mois, vous ou un membre de votre ménage avez reçu &lt;b&gt;de l'argent&lt;/b&gt; d'une personne qui n'est pas membre de votre ménage et qui habite &lt;b&gt;ailleurs au Niger&lt;/b&gt; (en dehors de votre village)?</t>
  </si>
  <si>
    <t>344. A cikin watanni uku da suka wuce, kai ko ɗan gidanku kun samu kuɗi daga wani da ba ɗan gidanku ba wanda yake zaune a wani gari a Nijar (wajen kauyenku)?</t>
  </si>
  <si>
    <t>345. How much in total did members of your household receive from people elsewhere in Niger (in CFA)?</t>
  </si>
  <si>
    <t>345. Combien au total les membres de votre ménage ont-ils reçu des personnes qui sont quelques part au Niger (en USD)?</t>
  </si>
  <si>
    <t>345. Nawa ne ƴan gidanku suka samu daga wasu matanen da ke wani gari a Nijar (in CFA)?</t>
  </si>
  <si>
    <t>${hoh_remit_rec_niger} = 1</t>
  </si>
  <si>
    <t>selected(${hoh_remit_rec_niger_how}, '-777')</t>
  </si>
  <si>
    <t>348. In the past three months, have you or anyone in your household received goods (payment in kind) from someone who is not a member of your household and who lives elsewhere in Niger (outside your village)?</t>
  </si>
  <si>
    <t>348. Au cours des trois derniers mois, vous ou un membre de votre ménage avez reçu &lt;b&gt;des biens&lt;/b&gt; (paiement en nature) d'une personne qui n'est pas membre de votre ménage et qui habite &lt;b&gt;ailleurs au Niger&lt;/b&gt; (en dehors de votre village)?</t>
  </si>
  <si>
    <t>348. A cikin watanni ukun da suka wuce, kai ko wani a cikin gidanku kun karɓi kaya (a matsayin biya) daga wani wanda ba ɗan gidanku ba ne kuma yana zaune a wani wuri a Nijar (Ba'a garinku ba)?</t>
  </si>
  <si>
    <t>349. What was the value of the goods members of your household receive from people elsewhere in Niger (in CFA)?</t>
  </si>
  <si>
    <t>349. Quel était la valeur au totale des biens que les membres de votre ménage ont reçu des personnes qui sont quelques part au Niger 
 (en USD)?</t>
  </si>
  <si>
    <t>349. Nawa kimar kayayyakin da ƴan gidanku suka karba daga wasu mutane a wasu wurare a Nijar (in CFA)?</t>
  </si>
  <si>
    <t>${hoh_goods_rec_niger} = 1</t>
  </si>
  <si>
    <t>350. How were these goods transmitted to your household?</t>
  </si>
  <si>
    <t>350. Comment ces biens ont-ils été envoyé à votre ménage ?</t>
  </si>
  <si>
    <t>350. Ta yaya aka aika waɗannan kayayyakin zuwa gidanku?</t>
  </si>
  <si>
    <t>351. Specify other transfer method</t>
  </si>
  <si>
    <t>351. Précisez la méthode du transfert</t>
  </si>
  <si>
    <t>351. Wani daban a Bayyana</t>
  </si>
  <si>
    <t>selected(${hoh_goods_rec_niger_how}, '-777')</t>
  </si>
  <si>
    <t>352. In the past three months, have you or anyone in your household received money from someone who is not a member of your household and who lives in a foreign country (outside of Niger)?</t>
  </si>
  <si>
    <t>352. Au cours des trois derniers mois, vous ou un membre de votre ménage avez-vous reçu &lt;b&gt;de l'argent&lt;/b&gt; d'une personne qui n'est pas membre de votre ménage et qui habite &lt;b&gt;à l'extérieur du Niger&lt;/b&gt; (dans un autre pays)?</t>
  </si>
  <si>
    <t>352. A cikin watanni uku da suka wuce, kai ko dan gidanku kun samu kuɗi daga wanda ba dan gidanku ba da ke zaune a ƙetaren Nijar (a wata kasa)?</t>
  </si>
  <si>
    <t>353. How much in total did members of your household receive from people out of Niger?</t>
  </si>
  <si>
    <t>353. Combien au total les membres de votre ménage ont-ils reçu des personnes qui ne sont pas au Niger ?</t>
  </si>
  <si>
    <t>353. Nawa ne yan gidanku ya samu daga mutanen da ke zaune a ƙasar waje ba Nijar ba?</t>
  </si>
  <si>
    <t>${hoh_remit_rec_out} = 1</t>
  </si>
  <si>
    <t>354. How was this money transmitted to your household?</t>
  </si>
  <si>
    <t>354. Comment cet argent a-t-il été envoyé à votre ménage ?</t>
  </si>
  <si>
    <t>354. Ta wace hanya aka aikawa gidanku wannan kuɗin ?</t>
  </si>
  <si>
    <t>355. Specify other transfer method</t>
  </si>
  <si>
    <t>355. Précisez la méthode du transfert</t>
  </si>
  <si>
    <t>355. Wani daban a Bayyana</t>
  </si>
  <si>
    <t>${hoh_remit_rec_out_how} = '-777'</t>
  </si>
  <si>
    <t>356. In the past three months, have you or anyone in your household received goods (payment in kind) from someone who is not a member of your household and who lives in a foreign country (outside of Niger)?</t>
  </si>
  <si>
    <t>356. Au cours des trois derniers mois, vous ou un membre de votre ménage avez reçu &lt;b&gt;des biens&lt;/b&gt; (paiement en nature) d'une personne qui n'est pas membre de votre ménage et qui habite &lt;b&gt;à l'extérieur du Niger&lt;/b&gt; (dans un autre pays)?</t>
  </si>
  <si>
    <t>356. A cikin wata uku da suka wuce, kai ko wani a cikin gidanku an baku wasu kaya (a matsayin biya) daga wani wanda ba ɗan gidanku ba da ke zaune a ƙetaren Nijar (a wata kasa)?</t>
  </si>
  <si>
    <t>357. What was the value of the goods members of your household receive from people out of Niger?</t>
  </si>
  <si>
    <t>357. Quel était la valeur au totale des biens que les membres de votre ménage ont reçu des personnes qui ne sont pas au Niger ?</t>
  </si>
  <si>
    <t>357. Nawa kimar kayan da ƴan gidanku suka samo daga mutanen da ke zaune a ƙasar waje ba Nijar ba?</t>
  </si>
  <si>
    <t>${hoh_goods_rec_out} = 1</t>
  </si>
  <si>
    <t>358. How were these goods transmitted to your household?</t>
  </si>
  <si>
    <t>358. Comment ces biens ont-ils été envoyé à votre ménage ?</t>
  </si>
  <si>
    <t>358. Ta yaya aka aika waɗannan kayan zuwa gidanku?</t>
  </si>
  <si>
    <t>359. Specify other transfer method</t>
  </si>
  <si>
    <t>359. Précisez la méthode du transfert</t>
  </si>
  <si>
    <t>359. Wani daban a Bayyana</t>
  </si>
  <si>
    <t>${hoh_goods_rec_out_how} = '-777'</t>
  </si>
  <si>
    <t>360. In the past three months, have you or anyone in your household shared or sent money to someone who is not a member of your household and who lives elsewhere in Niger (outside your village)?</t>
  </si>
  <si>
    <t>360. Au cours des trois derniers mois, vous ou quelqu'un de votre ménage avez-vous partagé ou envoyé &lt;b&gt;de l'argent&lt;/b&gt; à quelqu'un qui n'est pas membre de votre ménage et qui habite &lt;b&gt;ailleurs au Niger&lt;/b&gt;(en dehors de votre village)</t>
  </si>
  <si>
    <t>360. A cikin watanni uku da suka wuce, kai ko wani a cikin gidanku kun bada ko kun aika kuɗi ga wani wanda ba dan gidanku ba da ke zaune a wani wuri a Nijar (wajen garinku)</t>
  </si>
  <si>
    <t>361. How much did your household send to people elsewhere in Niger?</t>
  </si>
  <si>
    <t>361. Combien votre ménage a-t-il envoyé à des personnes qui sont quelque part au Niger ?</t>
  </si>
  <si>
    <t>361. Nawa ne gidanku ya aikawa mutanen da ke wasu wurare a Nijar?</t>
  </si>
  <si>
    <t>${hoh_remit_send_niger} = 1</t>
  </si>
  <si>
    <t>362. How did you transmit the money to the recipient?</t>
  </si>
  <si>
    <t>362. Comment avez-vous envoyé l'argent au destinataire ?</t>
  </si>
  <si>
    <t>362. Ta wace hanya kuka aika kuɗin ga mai karɓa?</t>
  </si>
  <si>
    <t>363. Specify other transfer method</t>
  </si>
  <si>
    <t>363. Précisez la méthode du transfert</t>
  </si>
  <si>
    <t>363. Wani daban a Bayyana</t>
  </si>
  <si>
    <t>selected(${hoh_remit_send_niger_how}, '-777')</t>
  </si>
  <si>
    <t>364. In the past three months, have you or anyone in your household shared or sent goods (payment in kind) to someone who is not a member of your household and who lives elsewhere in Niger (outside your village)?</t>
  </si>
  <si>
    <t>364. Au cours des trois derniers mois, vous ou quelqu'un de votre ménage avez-vous partagé ou envoyé &lt;b&gt;des biens&lt;/b&gt; (paiement en nature) à quelqu'un qui n'est pas membre de votre ménage et qui habite &lt;b&gt;ailleurs au Niger&lt;/b&gt; (en dehors de votre village) ?</t>
  </si>
  <si>
    <t>364. A cikin watanni uku da suka wuce, kai ko wani a cikin gidanku kun bada ko kun aika kaya (a matsayin biya) ga wanda ba dan giɗanku ba da ke zaune a wani wuri a cikin Nijar (Ba'a garinku ba)?</t>
  </si>
  <si>
    <t>365. What was the value of the goods members of your household sent to people elsewhere in Niger?</t>
  </si>
  <si>
    <t>365. Quel était la valeur au totale des biens que les membres de votre ménage ont envoyé aux personnes qui sont quelques part au Niger ?</t>
  </si>
  <si>
    <t>365. Nawa ne kimar kayan da ƴan gidanku suka aika wa mutane a wasu wurare a cikin Nijar?</t>
  </si>
  <si>
    <t>${hoh_goods_send_niger} = 1</t>
  </si>
  <si>
    <t>366. How were these goods transmitted to the recipient?</t>
  </si>
  <si>
    <t>366. Comment ces biens ont-ils été envoyé au destinataire ?</t>
  </si>
  <si>
    <t>366. Ta yaya aka aika waɗannan kayayyaki zuwa ga mai karɓa?</t>
  </si>
  <si>
    <t>367. Specify other transfer method</t>
  </si>
  <si>
    <t>367. Precisez la methode du transfert</t>
  </si>
  <si>
    <t>367. Wani daban a Bayyana</t>
  </si>
  <si>
    <t>selected(${hoh_goods_send_niger_how}, '-777')</t>
  </si>
  <si>
    <t>368. In the past three months, have you or anyone in your household shared or sent money to someone who is not a member of your household and who lives in a foreign country (outside of Niger)?</t>
  </si>
  <si>
    <t>368. Au cours des trois derniers mois, vous ou quelqu'un de votre ménage avez-vous partagé ou envoyé &lt;b&gt;de l'argent&lt;/b&gt; à quelqu'un qui n'est pas membre de votre ménage et qui habite &lt;b&gt;à l'extérieur du Niger&lt;/b&gt; (dans un autre pays)?</t>
  </si>
  <si>
    <t>368. A cikin watanni uku da suka gabata, kai ko wani a cikin gidanku kun bada ko kun aika kuɗi ga wanda ba ɗan gidanku ba da ke zaune a wajen Nijar (a wata kasa)?</t>
  </si>
  <si>
    <t>369. How much did your household send to people people out of Niger?</t>
  </si>
  <si>
    <t>369. Combien votre ménage a-t-il envoyé à d'autres personnes qui sont quelque part hors du Niger ?</t>
  </si>
  <si>
    <t>369. Nawa gidanku ya aikawa wasu mutane da ke wani wuri ba a Nijar ba?</t>
  </si>
  <si>
    <t>${hoh_remit_send_out} = 1</t>
  </si>
  <si>
    <t>370. How did you transmit the money to the recipient?</t>
  </si>
  <si>
    <t>370. Comment avez-vous transmis l'argent au destinataire ?</t>
  </si>
  <si>
    <t>370. Ta wace hanya kuka aika kuɗin ga mai karɓa?</t>
  </si>
  <si>
    <t>371. Specify other transfer method</t>
  </si>
  <si>
    <t>371. Precisez la methode du transfert</t>
  </si>
  <si>
    <t>371. Wani daban a Bayyana</t>
  </si>
  <si>
    <t>selected(${hoh_remit_send_out_how}, '-777')</t>
  </si>
  <si>
    <t>372. In the past three months, have you or anyone in your household shared or sent goods (payment in kind) to someone who is not a member of your household and who lives in a foreign country (outside of Niger)?</t>
  </si>
  <si>
    <t>372. Au cours des trois derniers mois, vous ou quelqu'un de votre ménage avez-vous partagé ou envoyé &lt;b&gt;des biens&lt;/b&gt; (paiement en nature) à quelqu'un qui n'est pas membre de votre ménage et qui habite &lt;b&gt;à l'extérieur du Niger&lt;/b&gt; (dans un autre pays) ?</t>
  </si>
  <si>
    <t>372. A cikin watanni uku da suka wuce, kai ko wani a cikin gidanku kun bada ko kun aika kaya (a matsayin biya) ga wanda ba ɗan gidanku ba da ke zaune a wajen Nijar (a wata kasa)?</t>
  </si>
  <si>
    <t>373. What was the value of the goods members of your household sent to people out of Niger?</t>
  </si>
  <si>
    <t>373. Quel était le valeur au total des biens que les membres de votre ménage ont envoyé aux personnes qui sont quelques part hors du Niger ?</t>
  </si>
  <si>
    <t>373. Nawa ne kimar kayan da ƴan gidanku suka aikawa wasu mutane da ke wani wuri ba a Nijar ba?</t>
  </si>
  <si>
    <t>${hoh_goods_send_out} = 1</t>
  </si>
  <si>
    <t>374. How were these goods transmitted to the recipient?</t>
  </si>
  <si>
    <t>374. Comment ces biens ont-ils été envoyé au destinataire ?</t>
  </si>
  <si>
    <t>374. Ta yaya aka aika waɗannan kayayyaki zuwa ga mai karɓa?</t>
  </si>
  <si>
    <t>375. Specify other transfer method</t>
  </si>
  <si>
    <t>375. Precisez la methode du transfert</t>
  </si>
  <si>
    <t>375. Wani daban a Bayyana</t>
  </si>
  <si>
    <t>selected(${hoh_goods_send_out_how}, '-777')</t>
  </si>
  <si>
    <t>376. In the past three months, have you received support from any of the following sources?</t>
  </si>
  <si>
    <t>376. Au cours des trois derniers mois, avez-vous reçu de l'aide de l'une des sources suivantes ?</t>
  </si>
  <si>
    <t>376. A cikin watanni uku da suka wuce, kun samu taimako daga ɗayan waɗannan hanyoyin?</t>
  </si>
  <si>
    <t>Support could include cash, other material goods, or training.</t>
  </si>
  <si>
    <t>Le soutien peut comprendre de l'argent, d'autres biens matériels ou une formation.</t>
  </si>
  <si>
    <t>Taimako na iya haɗawa da kuɗi, wasu kayan masarufi ko horo.</t>
  </si>
  <si>
    <t>377. How much did ou receive from all the sources combined?</t>
  </si>
  <si>
    <t>377. Combien avez-vous reçu de toutes les sources confondues ?</t>
  </si>
  <si>
    <t>377. Nawa kuka samu daga duk hanyoyin shiga gaba ɗayan su?</t>
  </si>
  <si>
    <t>not(selected(${hoh_receive_support}, '0'))</t>
  </si>
  <si>
    <t>378. In addition to the transfers we just discussed, what is the total value of income from charity or gifts your household has received &lt;b&gt;in the past three months&lt;/b&gt; in CFA?</t>
  </si>
  <si>
    <t>378. En dehors des transferts qu'on vient de citer, quelle est la valeur totale des revenus provenant d'œuvres caritatives ou de cadeaux que votre ménage a reçus &lt;b&gt; au cours des trois derniers mois&lt;/b&gt; (en CFA) ?</t>
  </si>
  <si>
    <t>378. Nawa ne yawan kuɗin taimako ko kyauta da ƴan gidanku suka samu a cikin watanni uku da suka gabata (a sefa) ?</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</si>
  <si>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</si>
  <si>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</si>
  <si>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</si>
  <si>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 xml:space="preserve">${speedcheck_hoh_remit_end} - ${speedcheck_hoh_remit_start} </t>
  </si>
  <si>
    <t>379. In the past three months did your household make a significant investment or improvement in the house you reside in?</t>
  </si>
  <si>
    <t>379. &lt;b&gt; Au cours des trois derniers mois&lt;/b&gt;, votre ménage a-t-il fait un investissement important ou des améliorations dans la maison que vous habitez ?</t>
  </si>
  <si>
    <t>379. A cikin watanni uku da suka wuce, gidanku ya saka wani babban jari ko ya gyara gidan da kuke zaune?</t>
  </si>
  <si>
    <t>380. Build additional rooms</t>
  </si>
  <si>
    <t>380. Construire des chambres supplémentaires</t>
  </si>
  <si>
    <t>380. Ginin ƙarin ɗakuna</t>
  </si>
  <si>
    <t>381. Improve floors</t>
  </si>
  <si>
    <t>381. Améliorer les sols</t>
  </si>
  <si>
    <t>381. Inganta filalayen gida</t>
  </si>
  <si>
    <t>382. Improve walls</t>
  </si>
  <si>
    <t>382. Réfectionner les murs</t>
  </si>
  <si>
    <t>382. gyara katangun gida</t>
  </si>
  <si>
    <t>383. Improve roof</t>
  </si>
  <si>
    <t>383. Réfectionner le toit</t>
  </si>
  <si>
    <t>383. gyara rufin gida</t>
  </si>
  <si>
    <t>384. Other improvement</t>
  </si>
  <si>
    <t>384. Autre amélioration</t>
  </si>
  <si>
    <t>384. Wasu gyare gyare daban</t>
  </si>
  <si>
    <t>385. Specify other improvement (i.e. connect to electricity, build latrine)</t>
  </si>
  <si>
    <t>385. Précisez les autres améliorations (c.-à-d. connecter de l'électricité, construire des latrines)</t>
  </si>
  <si>
    <t>385. Baiyana wasu abubuwan ingantawa (kamar sa wutar lantarki, gina salga (masai ) )</t>
  </si>
  <si>
    <t>${hoh_improve_o} = 1</t>
  </si>
  <si>
    <t>386. Approximately how much did all of these investments together cost in CFA?</t>
  </si>
  <si>
    <t>386. Combien ont coûté approximativement tous ces investissements (en CFA) ?</t>
  </si>
  <si>
    <t>386. Aƙalla nawa aka kashe akan waɗannan ayyukan a sefa?</t>
  </si>
  <si>
    <t>${hoh_improve_add_rooms} + ${hoh_improve_floors} + ${hoh_improve_walls} + ${hoh_improve_roof} + ${hoh_improve_o} &gt; 0</t>
  </si>
  <si>
    <t>387. In the past 3 months did you make any investments in your non-agricultural business?</t>
  </si>
  <si>
    <t>387. Au cours des 3 derniers mois, avez-vous fait des investissements dans votre entreprise non agricole ?</t>
  </si>
  <si>
    <t>387. A cikin watanni 3 da suka gabata, kun zuba jari a cikin harkokinku da ba na noma ba?</t>
  </si>
  <si>
    <t>388. Specify the improvement to your business</t>
  </si>
  <si>
    <t>388. Précisez les investissements que vous avez fait dans votre entreprise</t>
  </si>
  <si>
    <t>388. Ku bayyana kuɗin da kuka kashe don haɓɓaka kasuwancin ku</t>
  </si>
  <si>
    <t>${hoh_improve_business} = 1</t>
  </si>
  <si>
    <t>389. In the past 3 months did you make any investments to improve the productivity of your land?</t>
  </si>
  <si>
    <t>389. Au cours des 3 derniers mois, avez-vous fait des investissements pour améliorer la productivité de votre terre ?</t>
  </si>
  <si>
    <t>389. A cikin watanni 3 da suka gabata, kun zuba kudi don inganta samun amfanin gonakinku?</t>
  </si>
  <si>
    <t>390. Specify improvement to land</t>
  </si>
  <si>
    <t>390. Précisez les améliorations de votre terre que vous avez fait</t>
  </si>
  <si>
    <t>390. Ku bayyana kuɗin da kuka kashe don haɓɓaka gonarku</t>
  </si>
  <si>
    <t>${hoh_improve_land} = 1</t>
  </si>
  <si>
    <t xml:space="preserve">${speedcheck_hoh_homeimprove_end} - ${speedcheck_hoh_homeimprove_start} </t>
  </si>
  <si>
    <t>391. Now I will ask you about different ways your household may use money that you earn.</t>
  </si>
  <si>
    <t>391. Je vais maintenant vous poser des questions sur les différentes façons dont votre ménage peut utiliser l'argent que vous gagnez.</t>
  </si>
  <si>
    <t>391. Yanzu zan yi muku tambayoyi game hanyoyi daban-daban da gidanku ke iya amfani da su don kashe kuɗin da yake samu.</t>
  </si>
  <si>
    <t>392. Does your household currently have any savings that you keep in any of the following ways?</t>
  </si>
  <si>
    <t>392. Votre ménage dispose-t-il actuellement d'économies que vous conservez de l'une des manières suivantes ?</t>
  </si>
  <si>
    <t>392. Ko a halin yanzu gidanku na da ajiyar kuɗi daga ɗaya a cikin wanɗannan dubaru?</t>
  </si>
  <si>
    <t>393. Specify other:</t>
  </si>
  <si>
    <t>393. Autre a préciser :</t>
  </si>
  <si>
    <t>393. Baiyana wani abu daban:</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</si>
  <si>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</si>
  <si>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</si>
  <si>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</si>
  <si>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</si>
  <si>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</si>
  <si>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394. Please share with us your best estimate of the value in CFA ${hoh_savings_name}</t>
  </si>
  <si>
    <t>394. Veuillez nous dire votre meilleure estimation de la valeur en CFA ${hoh_savings_name}</t>
  </si>
  <si>
    <t>394. Da fatan zaku baiyana mini yawan kuɗin a tsammaninku ${hoh_savings_name} a CFA</t>
  </si>
  <si>
    <t>395. Do you earn interest on this money ${hoh_savings_name}?</t>
  </si>
  <si>
    <t>395. Gagnez-vous des intérêts sur cet argent ${hoh_savings_name} ?</t>
  </si>
  <si>
    <t>395. Kuna samun kudin ruwa akan wannan kuɗin ${hoh_savings_name}?</t>
  </si>
  <si>
    <t>${hoh_savings_code} != 1</t>
  </si>
  <si>
    <t xml:space="preserve">${speedcheck_hoh_savings_end} - ${speedcheck_hoh_savings_start} </t>
  </si>
  <si>
    <t>sum(${hoh_savings_type_amt})</t>
  </si>
  <si>
    <t>396. Total savings: ${hoh_savings_total}: Does this look correct?</t>
  </si>
  <si>
    <t>396. Économies totales : ${hoh_savings_total} : cela vous semble correct ?</t>
  </si>
  <si>
    <t>396. Jimillar ajiya: ${hoh_savings_total}: kuna ganin ​​wannan yayi daidai?</t>
  </si>
  <si>
    <t>Veuillez revenir et corriger vos réponses aux questions 141 et 142</t>
  </si>
  <si>
    <t>397. During ${period}, was your household negatively affected by any of the following types of events?</t>
  </si>
  <si>
    <t>397. Au cours de ${period_french}, votre ménage a-t-il été affecté négativement par l'un des types d'événements suivants ?</t>
  </si>
  <si>
    <t>397. A lokacin ${period_hausa}, ko gidanku ya fuskanci wani daga cikin matsaloli nan masu zuwa? Zaɓi duk abin da ya dace</t>
  </si>
  <si>
    <t>398. Please briefly describe the event(s) that negatveily affected your household</t>
  </si>
  <si>
    <t>398. Veuillez décrire brièvement le/les événement(s) qui ont eu des effets négatifs sur votre ménage au cours des 3 derniers mois</t>
  </si>
  <si>
    <t>398. Da fatan za ku yi taƙaitaccen bayani a kan abin da ya shafi gidan ku</t>
  </si>
  <si>
    <t>selected(${hoh_emergency}, '-777')</t>
  </si>
  <si>
    <t>not(selected(${hoh_emergency}, '0'))</t>
  </si>
  <si>
    <t>if(selected-at(${hoh_emergency}, index()-1) = '-777', ${hoh_emergency_o}, choice-label(${hoh_emergency}, selected-at(${hoh_emergency}, index()-1)))</t>
  </si>
  <si>
    <t>399. In response to ${hoh_emergency_name}, did you or your household take the following actions?</t>
  </si>
  <si>
    <t>399. En réponse à ${hoh_emergency_name}, avez-vous vous ou votre ménage pris les mesures suivantes ??</t>
  </si>
  <si>
    <t>399. Dangance da ${hoh_emergency_name}, ku ko ƴan gindanku kun ɗauki waɗannan matakai?</t>
  </si>
  <si>
    <t>400. Sell assets?</t>
  </si>
  <si>
    <t>400. Vendre des actifs</t>
  </si>
  <si>
    <t>400. Saida kadarori</t>
  </si>
  <si>
    <t>401. Borrow money?</t>
  </si>
  <si>
    <t>401. Emprunter de l'argent</t>
  </si>
  <si>
    <t>401. Bashin kuɗi</t>
  </si>
  <si>
    <t>402. Spend your savings?</t>
  </si>
  <si>
    <t>402. Utiliser votre épargne</t>
  </si>
  <si>
    <t>402. Kashe kuɗin ajiyar ku</t>
  </si>
  <si>
    <t>403. Reduce spending on food or change your food consumption?</t>
  </si>
  <si>
    <t>403. Réduire les dépenses alimentaires ou changé des habitudes de consommation ?</t>
  </si>
  <si>
    <t>403. Rage kashe kuɗi akan abinci ko canza abincin?</t>
  </si>
  <si>
    <t>${hoh_emerg_sell} = 1 or ${hoh_emerg_borrow} = 1 or ${hoh_emerg_spend} = 1</t>
  </si>
  <si>
    <t>404. For ${hoh_emergency_name}
 What was the value of the following in CFA?</t>
  </si>
  <si>
    <t>404. Par rapport à ${hoh_emergency_name}
 Quelle était la valeur des éléments suivantes en CFA?</t>
  </si>
  <si>
    <t>404. Game da ${hoh_emergency_name}
 Nawa ne kimar waɗannan abubuwan a kuɗin CFA?</t>
  </si>
  <si>
    <t>405. Assets you sold</t>
  </si>
  <si>
    <t>405. Les actifs que vous avez vendus</t>
  </si>
  <si>
    <t>405. Kadarorin da kuka saida</t>
  </si>
  <si>
    <t>${hoh_emerg_sell} = 1</t>
  </si>
  <si>
    <t>406. Loan(s) you took</t>
  </si>
  <si>
    <t>406. Les prêt(s) que vous avez contracté</t>
  </si>
  <si>
    <t>406. Bashin da kuka ɗauka</t>
  </si>
  <si>
    <t>${hoh_emerg_borrow} = 1</t>
  </si>
  <si>
    <t>407. Savings you spent?</t>
  </si>
  <si>
    <t>407. L'épargne que vous avez utilisé</t>
  </si>
  <si>
    <t>407. Ajiyar da kuka kashe</t>
  </si>
  <si>
    <t>${hoh_emerg_spend} = 1</t>
  </si>
  <si>
    <t xml:space="preserve">${speedcheck_hoh_emerg_end} - ${speedcheck_hoh_emerg_start} </t>
  </si>
  <si>
    <t>408. Now I would like to ask you about any money that you and your family owe to other people; money you have borrowed from people outside your household.</t>
  </si>
  <si>
    <t>408. Maintenant, je voudrais vous poser des questions sur l'argent que vous et votre ménage devez à d'autres personnes ; l'argent que vous avez emprunté à des personnes extérieures à votre ménage.</t>
  </si>
  <si>
    <t>408. Yanzu ina son in tambaye ku game da duk wani kuɗin da ku da ƴan gidanku kuka ɗauko daga wajen wasu mutane; kuɗin da kuka aro daga mutane wanda ba ƴan gidanku ba.</t>
  </si>
  <si>
    <t>409. In the last three months did you or a member of your household try to secure a loan from any source but were refused?</t>
  </si>
  <si>
    <t>409. Au cours des trois derniers mois, vous ou un membre de votre ménage avez-vous essayé d'obtenir un prêt auprès de n'importe quelle source, mais cela a été refusé ?</t>
  </si>
  <si>
    <t>409. A cikin watanni uku da suka wuce kai ko wani dan gidanku kun yi ƙoƙarin samun bashi daga kowace hanya amma an ƙi?</t>
  </si>
  <si>
    <t>410. What was the value of the loan in CFA?</t>
  </si>
  <si>
    <t>410. Quelle était la valeur du prêt en CFA?</t>
  </si>
  <si>
    <t>410. Nawa ne yawan kuɗin bashin a sefa?</t>
  </si>
  <si>
    <t>${hoh_credit_refuse} = 1</t>
  </si>
  <si>
    <t>411. Think about all the people you or members of your household owe money, including recent loans, what is the total value your household owes (in CFA)?</t>
  </si>
  <si>
    <t>411. Pensez à toutes les personnes que vous ou les membres de votre ménage devez de l'argent, y compris les prêts récents, quelle est la valeur totale que votre ménage doit (en CFA) ?</t>
  </si>
  <si>
    <t>411. Ku tuna da duk mutanen da ke bin da ƴan gidanku kuɗi, dukan basussuka sabi da tsohi, nawa jimillar kuɗin a ke bin gidanku (a kuɗin sefa CFA)?</t>
  </si>
  <si>
    <t>412. Do you know if a loan was given to your household by a household that participated in the TSARI or other Mercy Corp programs?</t>
  </si>
  <si>
    <t>412. Savez-vous si un prêt a été accordé à votre ménage par un ménage ayant participé au programme TSARI ou à d'autres programmes de Mercy Corp ?</t>
  </si>
  <si>
    <t>412. Kun san ko gidan ku ya ɗauki ramcen kuɗi daga wani gidan da yake cikin shirin TSARI ko wasu shirye-shiryen Mercy Corp?</t>
  </si>
  <si>
    <t>${hoh_borrow_total} &gt; 0</t>
  </si>
  <si>
    <t>413. In the past three months, have you or anyone in your household received money or goods from someone who is not a member of your household and lives in your village in Niger?</t>
  </si>
  <si>
    <t>413. Au cours des trois derniers mois, est-ce que vous ou un membre de votre ménage avez reçu de l'argent ou des biens d'une personne qui n'est pas membre de votre ménage et qui habite dans votre village au Niger ?</t>
  </si>
  <si>
    <t>413. A cikin wata uku da suka wuce, kai ko wani a cikin gidanku kun karɓi kuɗi ko kaya daga wani wanda ba ɗan gidanku ba kuma yana zaune a ƙauyenku a Nijar?</t>
  </si>
  <si>
    <t>414. Do you know if the person who gave your hosuehold money was from a household that participated in the TSARI or other Mercy Corp programs?</t>
  </si>
  <si>
    <t>414. Savez-vous si la personne qui a donné l'argent à votre ménage appartenait à un ménage qui a participé au programme TSARI ou à d'autres programmes de Mercy Corp ?</t>
  </si>
  <si>
    <t>414. Shin kun san ko mutumin da ya ba gidan ku kuɗin ɗan wani gida ne wanda suka samu shiga cikin shirin TSARI ko wasu shirye-shiryen Mercy Corp?</t>
  </si>
  <si>
    <t>${hoh_transfer_village} = 1</t>
  </si>
  <si>
    <t xml:space="preserve">${speedcheck_hoh_credit_end} - ${speedcheck_hoh_credit_start} </t>
  </si>
  <si>
    <t>415. I will now ask you about meals people in your household have consumed in the past 7 days.</t>
  </si>
  <si>
    <t>415. Je vais maintenant vous poser des questions sur les repas que les membres de votre ménage ont consommé au cours des 7 derniers jours.</t>
  </si>
  <si>
    <t>415. Yanzu zan tambaye ku bisa abincin da mutanen gidanku suka ci a cikin kwanaki 7 da suka wuce.</t>
  </si>
  <si>
    <t>416. In the last 7 days, have adults gone a whole day without meals?</t>
  </si>
  <si>
    <t>416. Au cours des 7 derniers jours, des adultes sont-ils restés une journée entière sans manger de repas ?</t>
  </si>
  <si>
    <t>416. A cikin kwanaki 7 da suka wuce, ko manya gidanku sun zauna tsawon wuni guda basu ci abinci ba?</t>
  </si>
  <si>
    <t>417. How many days?</t>
  </si>
  <si>
    <t>417. Pendant combien de jours?</t>
  </si>
  <si>
    <t>417. 151a Tsawon kwanaki nawa?</t>
  </si>
  <si>
    <t>${hoh_adults_skip_days} = 1</t>
  </si>
  <si>
    <t>418. In the last 7 days, have adults cut the size of meals or skipped meals?</t>
  </si>
  <si>
    <t>418. Au cours des 7 derniers jours, les adultes ont-ils réduit la taille de leur repas ou les ont-ils sauté?</t>
  </si>
  <si>
    <t>418. A cikin kwanaki 7 na ƙarshe, ko manyan gidanku sun rage yawan abincin da suka saba ci ko sun tsallake shi?</t>
  </si>
  <si>
    <t>419. How many days?</t>
  </si>
  <si>
    <t>419. Pendant combien de jours?</t>
  </si>
  <si>
    <t>419. Tsawon kwanaki nawa?</t>
  </si>
  <si>
    <t>${hoh_adults_skip_meals} = 1</t>
  </si>
  <si>
    <t>420. In the past week how many days have adults in your household consumed animal protein (including fish, meat, poultry)?</t>
  </si>
  <si>
    <t>420. Au cours des 7 derniers jours, combien de fois les adultes de votre ménage ont-ils consommé des protéines animales (y compris poisson, viande, volaille) ?</t>
  </si>
  <si>
    <t>420. A cikin kwanaki 7 da suka wuce sau nawa manyan gidanku suka ci abinci masu gina jiki kamar su kifi ko nama ko kaji?</t>
  </si>
  <si>
    <t>421. In the last 7 days, have children (&lt;14) gone a whole day without meals?</t>
  </si>
  <si>
    <t>421. Au cours des 7 derniers jours, des enfants (&lt;14) ont-ils passé une journée entière sans manger de repas ?</t>
  </si>
  <si>
    <t>421. A cikin kwanaki 7 na ƙarshe, ko yara ƴan ƙasa da shekara goma sha huɗu sun zauna tsawon wuni guda ba su ci da abinci ba?</t>
  </si>
  <si>
    <t>422. How many days?</t>
  </si>
  <si>
    <t>422. Pendant combien de jours?</t>
  </si>
  <si>
    <t>422. 154a Tsawon kwanaki nawa?</t>
  </si>
  <si>
    <t>${hoh_child_skip_days} = 1</t>
  </si>
  <si>
    <t>423. In the last 7 days, have children (&lt;14) cut the size of meals or skipped meals?</t>
  </si>
  <si>
    <t>423. Au cours des 7 derniers jours, des enfants (&lt;14) ont-ils réduit la taille de leurs repas ou les ont-ils sauté?</t>
  </si>
  <si>
    <t>423. A cikin kwanaki 7 na ƙarshe, suna da yara (&lt;14) sun rage yawan abinci ko sun rasa gaba ɗaya?</t>
  </si>
  <si>
    <t>424. How many days?</t>
  </si>
  <si>
    <t>424. Pendant combien de jours?</t>
  </si>
  <si>
    <t>424. 155a Tsawon kwanaki nawa?</t>
  </si>
  <si>
    <t>${hoh_child_skip_meals} = 1</t>
  </si>
  <si>
    <t>425. In the past week how many days have children in your household consumed animal protein (inlcuding fish, meat, poultry)?</t>
  </si>
  <si>
    <t>425. Au cours des 7 derniers jours, combien de fois les enfants de votre ménage ont-ils consommé des protéines animales (y compris poisson, viande, volaille) ?</t>
  </si>
  <si>
    <t>425. A cikin kwanaki 7 da suka gabata sau nawa yara a cikin gidanku suka ci abinci masu gina jiki kamar su kifi, nama, kaji ?</t>
  </si>
  <si>
    <t xml:space="preserve">${speedcheck_hoh_foodinsec_end} - ${speedcheck_hoh_foodinsec_start} </t>
  </si>
  <si>
    <t>426. Has your household spent money on the following types of expenses in the past month?</t>
  </si>
  <si>
    <t>426. Votre ménage a-t-il dépensé de l'argent pour les types de dépenses suivants au cours du dernier mois ?</t>
  </si>
  <si>
    <t>426. Shin gidanku ya kashe kuɗi akan irin waɗannan abubuwan a cikin watan da ya gabata?</t>
  </si>
  <si>
    <t>not(selected(${hoh_monthly_consumption_any}, '0'))</t>
  </si>
  <si>
    <t>count-selected(${hoh_monthly_consumption_any})</t>
  </si>
  <si>
    <t>choice-label(${hoh_monthly_consumption_any}, selected-at(${hoh_monthly_consumption_any}, index()-1))</t>
  </si>
  <si>
    <t>427. How much did your household spend on ${hoh_item} in the past month (in CFA)?</t>
  </si>
  <si>
    <t>427. Combien votre ménage a-t-il dépensé pour ${hoh_item} au cours du dernier mois (en CFA) ?</t>
  </si>
  <si>
    <t>427. Nawa ne (a CFA) gidanku ya kashe akan ${hoh_item} cikin watan da ya gabata ?</t>
  </si>
  <si>
    <t>428. Has your household spent money on the following types of expenses in the past week?</t>
  </si>
  <si>
    <t>428. Votre ménage a-t-il dépensé de l'argent pour les types de dépenses suivants au cours de la semaine dernière ?</t>
  </si>
  <si>
    <t>428. Ko gidanku sun kashe kuɗi akan ire iren waɗannan abubuwan a cikin satin da ya gabata?</t>
  </si>
  <si>
    <t>not(selected(${hoh_weekly_consumption_any}, '0'))</t>
  </si>
  <si>
    <t>count-selected(${hoh_weekly_consumption_any})</t>
  </si>
  <si>
    <t>choice-label(${hoh_weekly_consumption_any}, selected-at(${hoh_weekly_consumption_any}, index()-1))</t>
  </si>
  <si>
    <t>429. How much did your household spend on ${hoh_item_week} in the past week (in CFA)?</t>
  </si>
  <si>
    <t>429. Combien votre ménage a-t-il dépensé en ${hoh_item_week} la semaine dernière (en CFA) ?</t>
  </si>
  <si>
    <t>429. Nawa ne gidan ku ya kashe (a CFA) a ${hoh_item_week} satin da ya gabata ?</t>
  </si>
  <si>
    <t>430. For Ramadan, did your household purchase any of the following?</t>
  </si>
  <si>
    <t>430. Pour le Ramadan, votre ménage a-t-il acheté l'un des produits suivants ?</t>
  </si>
  <si>
    <t>430. Ga watan azumi, gidanku ya sayi ɗaya daga cikin wadannan?</t>
  </si>
  <si>
    <t>431. Clothing</t>
  </si>
  <si>
    <t>431. Vêtements</t>
  </si>
  <si>
    <t>431. Tufafi</t>
  </si>
  <si>
    <t>432. Sheep</t>
  </si>
  <si>
    <t>432. Mouton</t>
  </si>
  <si>
    <t>432. Rago</t>
  </si>
  <si>
    <t>433. Goat</t>
  </si>
  <si>
    <t>433. Chèvre</t>
  </si>
  <si>
    <t>433. Akuya</t>
  </si>
  <si>
    <t>434. Poultry</t>
  </si>
  <si>
    <t>434. Volaille</t>
  </si>
  <si>
    <t>434. Kaji</t>
  </si>
  <si>
    <t xml:space="preserve">${speedcheck_hoh_cons_end} - ${speedcheck_hoh_cons_start} </t>
  </si>
  <si>
    <t xml:space="preserve">${speedcheck_hoh_end} - ${speedcheck_hoh_start} </t>
  </si>
  <si>
    <t>435. As I mentioned at the beginning of our interview, we would like to stay in touch with you.</t>
  </si>
  <si>
    <t>435. Comme je l'ai mentionné au début de notre entretien, nous aimerions rester en contact avec vous.</t>
  </si>
  <si>
    <t>435. Kamar yadda na faɗa a farkon hirarmu, muna son mu ci gaba da tuntuɓar ku.</t>
  </si>
  <si>
    <t>436. What is the phone number where we can reach you?</t>
  </si>
  <si>
    <t>436. Quel est le numéro de téléphone auquel nous pouvons vous joindre?</t>
  </si>
  <si>
    <t>436. Wace lambar waya ce zamu iya samun ku da ita?</t>
  </si>
  <si>
    <t>Enter the number in the following format: +22700000000</t>
  </si>
  <si>
    <t>Enquêteur: Le numéro de téléphone doit commencer avec "+227", n'inclure pas des espaces et saisir 8 chiffres du numéro.</t>
  </si>
  <si>
    <t>Shigar da lambar a kan wannan tsari mai zuwa: +22700000000</t>
  </si>
  <si>
    <t>numbers_phone</t>
  </si>
  <si>
    <t>regex(., '^\+227[0-9]{8}')</t>
  </si>
  <si>
    <t>437. I am going to read back the phone number you just shared with me. Can you confirm this is your primary phone number? ${primary_phone}</t>
  </si>
  <si>
    <t>437. Je vais relire le numéro de téléphone que vous venez de me donner. Pouvez-vous confirmer qu'il s'agit de votre numéro de téléphone principal ? ${primary_phone}</t>
  </si>
  <si>
    <t>437. Zan sake karanta lambar wayar da kuka bani. Zaku iya tabbatar mini da wannan itace lambar wayarku ta farko? ${primary_phone}</t>
  </si>
  <si>
    <t>438. Please go back and correct the number.</t>
  </si>
  <si>
    <t>438. Veuillez revenir en arrière pour corriger le numéro.</t>
  </si>
  <si>
    <t>438. ko za ka koma baya ka gyara lambar.</t>
  </si>
  <si>
    <t>${primary_phone_confirm} = 0</t>
  </si>
  <si>
    <t>439. I am going to call this phone number to confirm it is correct.</t>
  </si>
  <si>
    <t>439. Je vais appeler ce numéro de téléphone pour confirmer qu'il est correct.</t>
  </si>
  <si>
    <t>439. Zan kirayi wannan lambar don tabbatar da cewa daidai ce.</t>
  </si>
  <si>
    <t>[Enumerator: Did the phone ring?]</t>
  </si>
  <si>
    <t>[enquêteur : Le téléphone a-t-il sonné ?]</t>
  </si>
  <si>
    <t>[Ɗan bincike: Wayar ta yi ƙara?]</t>
  </si>
  <si>
    <t>440. Please go back and enter a new phone number.</t>
  </si>
  <si>
    <t>440. Veuillez revenir en arrière pour entrer un nouveau numéro de téléphone.</t>
  </si>
  <si>
    <t>440. Ko za ka koma baya ka shigar da sabuwar lambar waya.</t>
  </si>
  <si>
    <t>${primary_phone_test} = 0</t>
  </si>
  <si>
    <t>441. Do you have a Whatsapp account/ phone number you use for WhatsApp?</t>
  </si>
  <si>
    <t>441. Avez-vous un compte/numéro de téléphone Whatsapp que vous utilisez pour WhatsApp ?</t>
  </si>
  <si>
    <t>441. Kuna yin WhatsApp / lambar wayar da kuke amfani da ita ta WhatsApp ce?</t>
  </si>
  <si>
    <t>442. Is this the phone number you use for whatsapp?</t>
  </si>
  <si>
    <t>442. Est-ce le numéro de téléphone que vous utilisez pour WhatsApp ?</t>
  </si>
  <si>
    <t>442. Wannan ita ce lambar wayar da kuke amfani da ita don yin whatsapp?</t>
  </si>
  <si>
    <t>${use_whatsapp} = 1</t>
  </si>
  <si>
    <t>443. Please tell me the phone number you use for Whatsapp</t>
  </si>
  <si>
    <t>443. Veuillez me dire le numéro de téléphone que vous utilisez pour Whatsapp</t>
  </si>
  <si>
    <t>443. Don Allah ku gaya mini lambar wayar da kuke amfani da ita don yin Whatsapp</t>
  </si>
  <si>
    <t>${phone_whatsapp} = 0</t>
  </si>
  <si>
    <t>444. I am going read back the phone number you just shared with me as your Whatsapp number. Is this the phone number you use for whatsapp? ${phone_whatsapp_number}</t>
  </si>
  <si>
    <t>444. Je vais relire le numéro de téléphone que vous nous avez donné comme votre numéro Whatsapp. Est-ce le numéro de téléphone que vous utilisez pour WhatsApp ? ${phone_whatsapp_number}</t>
  </si>
  <si>
    <t>444. Zan sake karanta lambar wayar da kuka bani a zaman lambar Whatsapp dinku. Wannan shine lambar wayar da kuke amfani da ita don yin whatsapp? ${phone_whatsapp_number}</t>
  </si>
  <si>
    <t>445. Please go back and correct the number.</t>
  </si>
  <si>
    <t>445. Veuillez revenir en arrière pour corriger le numéro.</t>
  </si>
  <si>
    <t>445. Da fatan za ka koma baya ka gyara lambar.</t>
  </si>
  <si>
    <t>${phone_whatsapp_confirm} = 0</t>
  </si>
  <si>
    <t>446. Do you have other phone numbers that you use regularly (i.e. other phone carriers)?</t>
  </si>
  <si>
    <t>446. Avez-vous d'autres numéros de téléphone que vous utilisez régulièrement (c'est-à-dire d'autres opérateurs téléphoniques) ?</t>
  </si>
  <si>
    <t>446. Ko kuna da wasu lambobin waya waɗanda kuke amfani da su kai-akai (layin wasu gidan wayar salula)?</t>
  </si>
  <si>
    <t>447. How many other additional phone numbers?</t>
  </si>
  <si>
    <t>447. Y-a t-il d'autres numéros de téléphone supplémentaires ?</t>
  </si>
  <si>
    <t>447. 220 a. Ko akwai ƙarin wasu lambobin waya?</t>
  </si>
  <si>
    <t>${primary_other_phone} = 1</t>
  </si>
  <si>
    <t>${primary_other_phones}</t>
  </si>
  <si>
    <t>448. What are these additional phone numbers?</t>
  </si>
  <si>
    <t>448. Quels sont les numéros de téléphone supplémentaires ?</t>
  </si>
  <si>
    <t>448. Waɗannene ƙarin lambobin wayan?</t>
  </si>
  <si>
    <t>449.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</si>
  <si>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449.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</si>
  <si>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449. Idan ba za mu iya samun ku ba, ko za ku iya ba mu suna da lambar wayar wani wanda ba na gidanku ba da za mu iya kira don neman lambar ku?
 Za mu kirayi mutumen ne kawai idan bamu sameku ba bayan kira biyu zuwa uku, hakan zai taimaka mana ci gaba da tuntuɓar ku.</t>
  </si>
  <si>
    <t>450. What is the last name of this person</t>
  </si>
  <si>
    <t>450. Quel est le nom de cette personne</t>
  </si>
  <si>
    <t>450. Menene sunan uban wannan mutumen?</t>
  </si>
  <si>
    <t>${secondary_contact1} = 1</t>
  </si>
  <si>
    <t>451. What is the first name of this person</t>
  </si>
  <si>
    <t>451. Quel est le prénom de cette personne</t>
  </si>
  <si>
    <t>451. Menene sunan wannan mutumen?</t>
  </si>
  <si>
    <t>concat(${secondary_name1_last}, ' ', ${secondary_name1_first})</t>
  </si>
  <si>
    <t>452. What is their phone number?</t>
  </si>
  <si>
    <t>452. Quel est leur numéro de téléphone?</t>
  </si>
  <si>
    <t>452. Menene lambar wayarsu?</t>
  </si>
  <si>
    <t>453. What is ${secondary_name1}'s relationship to you?</t>
  </si>
  <si>
    <t>453. Quelle est la relation entre ${secondary_name1} et vous ?</t>
  </si>
  <si>
    <t>453. Menene alaƙar ku da ${secondary_name1} ?</t>
  </si>
  <si>
    <t>454. Just to confirm, is this the number? 
 ${secondary_name1}
 ${secondary_phone1}</t>
  </si>
  <si>
    <t>454. Juste pour confirmer, est-ce bien le numéro ?
 ${secondary_name1}
 ${secondary_phone1}</t>
  </si>
  <si>
    <t>454. Don tabbatarwa kawai, da wannan itace lambar?
 ${secondary_name1}
 ${secondary_phone1}</t>
  </si>
  <si>
    <t>455. Please go back and correct the name and phone number.</t>
  </si>
  <si>
    <t>455. Veuillez revenir en arrière et corriger le nom et le numéro de téléphone.</t>
  </si>
  <si>
    <t>455. Da fatan za ka koma baya don ka gyara suna da lambar waya.</t>
  </si>
  <si>
    <t>${secondary_phone1_confirm} = 0</t>
  </si>
  <si>
    <t>456. I am going to call this phone number to confirm it is correct. [Enumerator: Did the phone ring?]</t>
  </si>
  <si>
    <t>456. Je vais appeler ce numéro de téléphone pour confirmer qu'il est correct. [Enquêteur : Le téléphone a-t-il sonné ?]</t>
  </si>
  <si>
    <t>456. Zan kirayi wannan lambar wayar don tabbatar da daidai ce. [Ɗan bincike: Wayar ta yi ƙara?]</t>
  </si>
  <si>
    <t>457. Please go back and enter a new phone number.</t>
  </si>
  <si>
    <t>457. Veuillez ressaisir le numéro</t>
  </si>
  <si>
    <t>457. Da fatan zaku rubuta lambar</t>
  </si>
  <si>
    <t>${secondary_phone1_test} &lt;= 0</t>
  </si>
  <si>
    <t>458.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</si>
  <si>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458.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</si>
  <si>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458.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</si>
  <si>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459. What is the last name of this person</t>
  </si>
  <si>
    <t>459. Quel est le nom de cette personne?</t>
  </si>
  <si>
    <t>459. Menene sunan uban wannan mutumen?</t>
  </si>
  <si>
    <t>${secondary_contact2} = 1</t>
  </si>
  <si>
    <t>460. What is the first name of this person</t>
  </si>
  <si>
    <t>460. Quel est le prénom de cette personne?</t>
  </si>
  <si>
    <t>460. Menene sunan wannan mutumen?</t>
  </si>
  <si>
    <t>concat(${secondary_name2_last}, ' ', ${secondary_name2_first})</t>
  </si>
  <si>
    <t>461. What is their phone number?</t>
  </si>
  <si>
    <t>461. Quel est leur numéro de téléphone?</t>
  </si>
  <si>
    <t>461. Menene lambar wayarsu?</t>
  </si>
  <si>
    <t>enquêteur: Le numero de telephone doit commencer par "+227", ne pas inclure les espaces et saisir les 8 chiffres du numero.</t>
  </si>
  <si>
    <t>462. What is ${secondary_name2}'s relationship to you?</t>
  </si>
  <si>
    <t>462. Quelle est la relation entre ${secondary_name2} et vous ?</t>
  </si>
  <si>
    <t>462. Menene alaƙar ku da ${secondary_name2} ?</t>
  </si>
  <si>
    <t>463. Just to confirm, is this the number? 
 ${secondary_name2}
 ${secondary_phone2}</t>
  </si>
  <si>
    <t>463. Juste pour confirmer, est-ce bien le numéro ?
 ${secondary_name2}
 ${secondary_phone2}</t>
  </si>
  <si>
    <t>463. Don tabbatar kawai, da wannan itace lambar?
 ${secondary_name2}
 ${secondary_phone2}</t>
  </si>
  <si>
    <t>464. Please go back and correct the name and phone number.</t>
  </si>
  <si>
    <t>464. Veuillez revenir en arrière et corriger le nom et le numéro de téléphone.</t>
  </si>
  <si>
    <t>464. Da fatan za ka koma baya ka gyara suna da lambar waya.</t>
  </si>
  <si>
    <t>${secondary_phone2_confirm} = 0</t>
  </si>
  <si>
    <t>465. I am going to call this phone number to confirm it is correct. [Enumerator: Did the phone ring?]</t>
  </si>
  <si>
    <t>465. Je vais appeler ce numéro de téléphone pour confirmer qu'il est correct. [Enquêteur : Le téléphone a-t-il sonné ?]</t>
  </si>
  <si>
    <t>465. Zan kirayi wannan lambar wayar don tabbatar da daidai ce. [Ɗan bincike: Wayar ta yi ƙara?]</t>
  </si>
  <si>
    <t>466. Please go back and enter a new phone number.</t>
  </si>
  <si>
    <t>466. Veuillez ressaisir le numéro</t>
  </si>
  <si>
    <t>466. Da fatan zaku rubuta lambar</t>
  </si>
  <si>
    <t>${secondary_phone2_test} &lt;= 0</t>
  </si>
  <si>
    <t>467. How interested was the resppondent</t>
  </si>
  <si>
    <t>467. Dans quelle mesure le répondant était-il intéressé</t>
  </si>
  <si>
    <t>467. Yaya kake ganin maida hankalin mai bada amsa yake</t>
  </si>
  <si>
    <t>468. How impatient was the respondent?</t>
  </si>
  <si>
    <t>468. À quel point le répondant était-il impatient ?</t>
  </si>
  <si>
    <t>468. Yaya kake ganin rashin haƙurin mai bada amsa?</t>
  </si>
  <si>
    <t>469. How well did the respondent understand the questions?</t>
  </si>
  <si>
    <t>469. Dans quelle mesure le répondant a-t-il compris les questions ?</t>
  </si>
  <si>
    <t>469. Yaya kake ganin mai bada amsa ya fahimci tambayoyin?</t>
  </si>
  <si>
    <t>470. Was the interview conducted in the presence of other people?</t>
  </si>
  <si>
    <t>470. L'entretien a-t-il été réalisé en présence d'autres personnes ?</t>
  </si>
  <si>
    <t>470. Ko an yi hirar ne a gaban wasu mutane?</t>
  </si>
  <si>
    <t>471. Enumerator: Record any comments on the survey</t>
  </si>
  <si>
    <t>471. Enquêteur : Veuillez noter vos commentaires si vous en avez</t>
  </si>
  <si>
    <t>471. Ɗan bincike: Yi rikodin duk wani sharhi akan binciken</t>
  </si>
  <si>
    <t>Il n'est pas obligatoire de faire des commentaires! N'ecrivez pas R.A.S.</t>
  </si>
  <si>
    <t>GPS coordinates can only be collected when outside.</t>
  </si>
  <si>
    <t>Les coordonnées GPS ne peuvent être prises qu'à l'extérieur.</t>
  </si>
  <si>
    <t>${speedcheck_outro_end} - ${speedcheck_outro_start}</t>
  </si>
  <si>
    <t>472. That is the end of the survey. Thank you for your time.</t>
  </si>
  <si>
    <t>472. C'est la fin de l'enquête. Merci pour votre temps.</t>
  </si>
  <si>
    <t>472. Karshen tambayoyin kenan. Na gode da lokacin da kuka bani.</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</si>
</sst>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rgb="FF000000"/>
      <name val="Calibri"/>
      <scheme val="minor"/>
    </font>
    <font>
      <b/>
      <sz val="12.0"/>
      <color theme="1"/>
      <name val="Fira Code"/>
    </font>
    <font>
      <b/>
      <sz val="10.0"/>
      <color rgb="FF000000"/>
      <name val="Fira Code"/>
    </font>
    <font>
      <b/>
      <sz val="12.0"/>
      <color theme="1"/>
      <name val="Calibri"/>
    </font>
    <font>
      <b/>
      <u/>
      <sz val="12.0"/>
      <color rgb="FF000000"/>
      <name val="Calibri"/>
    </font>
    <font/>
    <font>
      <sz val="12.0"/>
      <color rgb="FF000000"/>
      <name val="Calibri"/>
    </font>
    <font>
      <color theme="1"/>
      <name val="Arial"/>
    </font>
    <font>
      <color theme="1"/>
      <name val="Fira Code"/>
    </font>
    <font>
      <sz val="12.0"/>
      <color theme="1"/>
      <name val="Calibri"/>
    </font>
    <font>
      <b/>
      <sz val="10.0"/>
      <color theme="1"/>
      <name val="Fira Code"/>
    </font>
    <font>
      <sz val="12.0"/>
      <color theme="1"/>
      <name val="Fira Code"/>
    </font>
    <font>
      <i/>
      <u/>
      <sz val="12.0"/>
      <color rgb="FF0000D4"/>
      <name val="Calibri"/>
    </font>
    <font>
      <sz val="10.0"/>
      <color rgb="FF000000"/>
      <name val="Fira Code"/>
    </font>
    <font>
      <b/>
      <sz val="12.0"/>
      <color rgb="FF000000"/>
      <name val="Calibri"/>
    </font>
    <font>
      <i/>
      <u/>
      <sz val="12.0"/>
      <color rgb="FF0000D4"/>
      <name val="Calibri"/>
    </font>
    <font>
      <i/>
      <u/>
      <sz val="12.0"/>
      <color rgb="FF0000D4"/>
      <name val="Calibri"/>
    </font>
    <font>
      <sz val="10.0"/>
      <color theme="1"/>
      <name val="Fira Code"/>
    </font>
    <font>
      <i/>
      <u/>
      <sz val="12.0"/>
      <color rgb="FF0000D4"/>
      <name val="Calibri"/>
    </font>
    <font>
      <u/>
      <sz val="12.0"/>
      <color rgb="FF000000"/>
      <name val="Calibri"/>
    </font>
    <font>
      <u/>
      <sz val="12.0"/>
      <color rgb="FF0000D4"/>
      <name val="Calibri"/>
    </font>
    <font>
      <color theme="1"/>
      <name val="Calibri"/>
      <scheme val="minor"/>
    </font>
    <font>
      <sz val="12.0"/>
      <color rgb="FF000000"/>
      <name val="Fira Code"/>
    </font>
    <font>
      <sz val="10.0"/>
      <color theme="1"/>
      <name val="&quot;Fira Code&quot;"/>
    </font>
    <font>
      <sz val="10.0"/>
      <color theme="1"/>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
      <u/>
      <sz val="10.0"/>
      <color rgb="FF000000"/>
      <name val="Fira Code"/>
    </font>
    <font>
      <sz val="12.0"/>
      <color theme="1"/>
      <name val="&quot;Fira Code&quot;"/>
    </font>
    <font>
      <color theme="1"/>
      <name val="&quot;Fira Code&quot;"/>
    </font>
    <font>
      <sz val="10.0"/>
      <color theme="1"/>
      <name val="Calibri"/>
      <scheme val="minor"/>
    </font>
    <font>
      <sz val="10.0"/>
      <color rgb="FF1F1F1F"/>
      <name val="Fira Code"/>
    </font>
    <font>
      <sz val="10.0"/>
      <color rgb="FF333333"/>
      <name val="Fira Code"/>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FDE9D9"/>
        <bgColor rgb="FFFDE9D9"/>
      </patternFill>
    </fill>
    <fill>
      <patternFill patternType="solid">
        <fgColor rgb="FFFFFFFF"/>
        <bgColor rgb="FFFFFFFF"/>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FABF8F"/>
        <bgColor rgb="FFFABF8F"/>
      </patternFill>
    </fill>
    <fill>
      <patternFill patternType="solid">
        <fgColor rgb="FFFBD4B4"/>
        <bgColor rgb="FFFBD4B4"/>
      </patternFill>
    </fill>
    <fill>
      <patternFill patternType="solid">
        <fgColor rgb="FFFF9900"/>
        <bgColor rgb="FFFF9900"/>
      </patternFill>
    </fill>
    <fill>
      <patternFill patternType="solid">
        <fgColor rgb="FFFFBB57"/>
        <bgColor rgb="FFFFBB57"/>
      </patternFill>
    </fill>
    <fill>
      <patternFill patternType="solid">
        <fgColor rgb="FFB8CCE4"/>
        <bgColor rgb="FFB8CCE4"/>
      </patternFill>
    </fill>
    <fill>
      <patternFill patternType="solid">
        <fgColor rgb="FFDBE5F1"/>
        <bgColor rgb="FFDBE5F1"/>
      </patternFill>
    </fill>
    <fill>
      <patternFill patternType="solid">
        <fgColor theme="0"/>
        <bgColor theme="0"/>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0">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2" fontId="2" numFmtId="0" xfId="0" applyAlignment="1" applyFont="1">
      <alignment readingOrder="0" shrinkToFit="0" wrapText="1"/>
    </xf>
    <xf borderId="2" fillId="2" fontId="1" numFmtId="0" xfId="0" applyAlignment="1" applyBorder="1" applyFont="1">
      <alignment vertical="bottom"/>
    </xf>
    <xf borderId="0" fillId="2" fontId="2" numFmtId="0" xfId="0" applyAlignment="1" applyFont="1">
      <alignment shrinkToFit="0" wrapText="1"/>
    </xf>
    <xf borderId="3" fillId="2" fontId="3" numFmtId="0" xfId="0" applyAlignment="1" applyBorder="1" applyFont="1">
      <alignment vertical="bottom"/>
    </xf>
    <xf borderId="2" fillId="2" fontId="1" numFmtId="49" xfId="0" applyAlignment="1" applyBorder="1" applyFont="1" applyNumberFormat="1">
      <alignment shrinkToFit="0" vertical="bottom" wrapText="1"/>
    </xf>
    <xf borderId="4" fillId="2" fontId="3" numFmtId="0" xfId="0" applyAlignment="1" applyBorder="1" applyFont="1">
      <alignment vertical="bottom"/>
    </xf>
    <xf borderId="2" fillId="2" fontId="1" numFmtId="0" xfId="0" applyAlignment="1" applyBorder="1" applyFont="1">
      <alignment vertical="bottom"/>
    </xf>
    <xf borderId="5" fillId="3" fontId="4" numFmtId="0" xfId="0" applyAlignment="1" applyBorder="1" applyFill="1" applyFont="1">
      <alignment horizontal="left" shrinkToFit="0" vertical="center" wrapText="1"/>
    </xf>
    <xf borderId="4" fillId="2" fontId="3" numFmtId="49" xfId="0" applyAlignment="1" applyBorder="1" applyFont="1" applyNumberFormat="1">
      <alignment shrinkToFit="0" vertical="bottom" wrapText="1"/>
    </xf>
    <xf borderId="6" fillId="0" fontId="5" numFmtId="0" xfId="0" applyBorder="1" applyFont="1"/>
    <xf borderId="7" fillId="2" fontId="1" numFmtId="0" xfId="0" applyAlignment="1" applyBorder="1" applyFont="1">
      <alignment vertical="bottom"/>
    </xf>
    <xf borderId="4" fillId="2" fontId="3" numFmtId="0" xfId="0" applyAlignment="1" applyBorder="1" applyFont="1">
      <alignment shrinkToFit="0" vertical="bottom" wrapText="1"/>
    </xf>
    <xf borderId="0" fillId="0" fontId="6" numFmtId="0" xfId="0" applyAlignment="1" applyFont="1">
      <alignment shrinkToFit="0" wrapText="1"/>
    </xf>
    <xf borderId="0" fillId="2" fontId="7" numFmtId="0" xfId="0" applyAlignment="1" applyFont="1">
      <alignment vertical="bottom"/>
    </xf>
    <xf borderId="0" fillId="0" fontId="6" numFmtId="0" xfId="0" applyFont="1"/>
    <xf borderId="8" fillId="2" fontId="1" numFmtId="0" xfId="0" applyAlignment="1" applyBorder="1" applyFont="1">
      <alignment vertical="bottom"/>
    </xf>
    <xf borderId="0" fillId="2" fontId="2" numFmtId="49" xfId="0" applyAlignment="1" applyFont="1" applyNumberFormat="1">
      <alignment shrinkToFit="0" wrapText="1"/>
    </xf>
    <xf borderId="8" fillId="2" fontId="8" numFmtId="0" xfId="0" applyAlignment="1" applyBorder="1" applyFont="1">
      <alignment vertical="bottom"/>
    </xf>
    <xf borderId="0" fillId="2" fontId="2" numFmtId="0" xfId="0" applyAlignment="1" applyFont="1">
      <alignment readingOrder="0" shrinkToFit="0" vertical="bottom" wrapText="1"/>
    </xf>
    <xf borderId="9" fillId="0" fontId="9" numFmtId="0" xfId="0" applyAlignment="1" applyBorder="1" applyFont="1">
      <alignment readingOrder="0" vertical="bottom"/>
    </xf>
    <xf borderId="0" fillId="2" fontId="10" numFmtId="0" xfId="0" applyAlignment="1" applyFont="1">
      <alignment shrinkToFit="0" wrapText="1"/>
    </xf>
    <xf borderId="10" fillId="0" fontId="9" numFmtId="0" xfId="0" applyAlignment="1" applyBorder="1" applyFont="1">
      <alignment readingOrder="0" vertical="bottom"/>
    </xf>
    <xf borderId="11" fillId="3" fontId="6" numFmtId="0" xfId="0" applyAlignment="1" applyBorder="1" applyFont="1">
      <alignment horizontal="center" shrinkToFit="0" vertical="center" wrapText="1"/>
    </xf>
    <xf borderId="12" fillId="0" fontId="5" numFmtId="0" xfId="0" applyBorder="1" applyFont="1"/>
    <xf borderId="9" fillId="0" fontId="11" numFmtId="0" xfId="0" applyAlignment="1" applyBorder="1" applyFont="1">
      <alignment vertical="bottom"/>
    </xf>
    <xf borderId="10" fillId="0" fontId="11" numFmtId="0" xfId="0" applyAlignment="1" applyBorder="1" applyFont="1">
      <alignment horizontal="right" vertical="bottom"/>
    </xf>
    <xf borderId="10" fillId="0" fontId="11" numFmtId="0" xfId="0" applyAlignment="1" applyBorder="1" applyFont="1">
      <alignment vertical="bottom"/>
    </xf>
    <xf borderId="10" fillId="0" fontId="11" numFmtId="0" xfId="0" applyAlignment="1" applyBorder="1" applyFont="1">
      <alignment vertical="bottom"/>
    </xf>
    <xf borderId="10" fillId="0" fontId="8" numFmtId="0" xfId="0" applyAlignment="1" applyBorder="1" applyFont="1">
      <alignment vertical="bottom"/>
    </xf>
    <xf borderId="0" fillId="0" fontId="8" numFmtId="0" xfId="0" applyAlignment="1" applyFont="1">
      <alignment vertical="bottom"/>
    </xf>
    <xf borderId="11" fillId="3" fontId="6" numFmtId="0" xfId="0" applyAlignment="1" applyBorder="1" applyFont="1">
      <alignment horizontal="left" shrinkToFit="0" vertical="center" wrapText="1"/>
    </xf>
    <xf borderId="10" fillId="0" fontId="9" numFmtId="0" xfId="0" applyAlignment="1" applyBorder="1" applyFont="1">
      <alignment vertical="bottom"/>
    </xf>
    <xf borderId="10" fillId="0" fontId="7" numFmtId="0" xfId="0" applyAlignment="1" applyBorder="1" applyFont="1">
      <alignment vertical="bottom"/>
    </xf>
    <xf borderId="13" fillId="0" fontId="11" numFmtId="0" xfId="0" applyAlignment="1" applyBorder="1" applyFont="1">
      <alignment vertical="bottom"/>
    </xf>
    <xf borderId="14" fillId="0" fontId="11" numFmtId="0" xfId="0" applyAlignment="1" applyBorder="1" applyFont="1">
      <alignment horizontal="right" vertical="bottom"/>
    </xf>
    <xf borderId="0" fillId="0" fontId="7" numFmtId="0" xfId="0" applyAlignment="1" applyFont="1">
      <alignment vertical="bottom"/>
    </xf>
    <xf borderId="14" fillId="0" fontId="11" numFmtId="0" xfId="0" applyAlignment="1" applyBorder="1" applyFont="1">
      <alignment vertical="bottom"/>
    </xf>
    <xf borderId="14" fillId="0" fontId="11" numFmtId="0" xfId="0" applyAlignment="1" applyBorder="1" applyFont="1">
      <alignment vertical="bottom"/>
    </xf>
    <xf borderId="14" fillId="0" fontId="8" numFmtId="0" xfId="0" applyAlignment="1" applyBorder="1" applyFont="1">
      <alignment vertical="bottom"/>
    </xf>
    <xf borderId="8" fillId="0" fontId="8" numFmtId="0" xfId="0" applyAlignment="1" applyBorder="1" applyFont="1">
      <alignment vertical="bottom"/>
    </xf>
    <xf borderId="15" fillId="3" fontId="12" numFmtId="0" xfId="0" applyAlignment="1" applyBorder="1" applyFont="1">
      <alignment horizontal="left" shrinkToFit="0" vertical="top" wrapText="1"/>
    </xf>
    <xf borderId="16" fillId="0" fontId="5" numFmtId="0" xfId="0" applyBorder="1" applyFont="1"/>
    <xf borderId="13" fillId="0" fontId="8" numFmtId="0" xfId="0" applyAlignment="1" applyBorder="1" applyFont="1">
      <alignment vertical="bottom"/>
    </xf>
    <xf borderId="0" fillId="0" fontId="13" numFmtId="0" xfId="0" applyAlignment="1" applyFont="1">
      <alignment shrinkToFit="0" wrapText="1"/>
    </xf>
    <xf borderId="0" fillId="0" fontId="13" numFmtId="49" xfId="0" applyAlignment="1" applyFont="1" applyNumberFormat="1">
      <alignment shrinkToFit="0" wrapText="1"/>
    </xf>
    <xf borderId="0" fillId="0" fontId="13" numFmtId="0" xfId="0" applyAlignment="1" applyFont="1">
      <alignment shrinkToFit="0" vertical="bottom" wrapText="1"/>
    </xf>
    <xf borderId="17" fillId="2" fontId="14" numFmtId="0" xfId="0" applyBorder="1" applyFont="1"/>
    <xf borderId="18" fillId="0" fontId="11" numFmtId="0" xfId="0" applyAlignment="1" applyBorder="1" applyFont="1">
      <alignment vertical="bottom"/>
    </xf>
    <xf borderId="19" fillId="0" fontId="11" numFmtId="0" xfId="0" applyAlignment="1" applyBorder="1" applyFont="1">
      <alignment horizontal="right" readingOrder="0" vertical="bottom"/>
    </xf>
    <xf borderId="17" fillId="2" fontId="14" numFmtId="0" xfId="0" applyAlignment="1" applyBorder="1" applyFont="1">
      <alignment shrinkToFit="0" wrapText="1"/>
    </xf>
    <xf borderId="19" fillId="0" fontId="11" numFmtId="0" xfId="0" applyAlignment="1" applyBorder="1" applyFont="1">
      <alignment readingOrder="0" vertical="bottom"/>
    </xf>
    <xf borderId="20" fillId="0" fontId="11" numFmtId="0" xfId="0" applyAlignment="1" applyBorder="1" applyFont="1">
      <alignment readingOrder="0" vertical="bottom"/>
    </xf>
    <xf borderId="21" fillId="0" fontId="11" numFmtId="0" xfId="0" applyAlignment="1" applyBorder="1" applyFont="1">
      <alignment vertical="bottom"/>
    </xf>
    <xf borderId="21" fillId="0" fontId="11" numFmtId="0" xfId="0" applyAlignment="1" applyBorder="1" applyFont="1">
      <alignment readingOrder="0" vertical="bottom"/>
    </xf>
    <xf borderId="17" fillId="2" fontId="3" numFmtId="0" xfId="0" applyAlignment="1" applyBorder="1" applyFont="1">
      <alignment shrinkToFit="0" wrapText="1"/>
    </xf>
    <xf borderId="10" fillId="0" fontId="11" numFmtId="0" xfId="0" applyAlignment="1" applyBorder="1" applyFont="1">
      <alignment horizontal="right" readingOrder="0" vertical="bottom"/>
    </xf>
    <xf borderId="22" fillId="0" fontId="11" numFmtId="0" xfId="0" applyAlignment="1" applyBorder="1" applyFont="1">
      <alignment readingOrder="0" vertical="bottom"/>
    </xf>
    <xf borderId="23" fillId="0" fontId="11" numFmtId="0" xfId="0" applyAlignment="1" applyBorder="1" applyFont="1">
      <alignment readingOrder="0" vertical="bottom"/>
    </xf>
    <xf borderId="0" fillId="0" fontId="11" numFmtId="0" xfId="0" applyAlignment="1" applyFont="1">
      <alignment vertical="bottom"/>
    </xf>
    <xf borderId="0" fillId="0" fontId="11" numFmtId="0" xfId="0" applyAlignment="1" applyFont="1">
      <alignment readingOrder="0" vertical="bottom"/>
    </xf>
    <xf borderId="24" fillId="2" fontId="14" numFmtId="0" xfId="0" applyBorder="1" applyFont="1"/>
    <xf borderId="25" fillId="3" fontId="6" numFmtId="0" xfId="0" applyAlignment="1" applyBorder="1" applyFont="1">
      <alignment horizontal="left" shrinkToFit="0" vertical="top" wrapText="1"/>
    </xf>
    <xf borderId="24" fillId="3" fontId="6" numFmtId="0" xfId="0" applyAlignment="1" applyBorder="1" applyFont="1">
      <alignment shrinkToFit="0" vertical="top" wrapText="1"/>
    </xf>
    <xf borderId="22" fillId="0" fontId="11" numFmtId="0" xfId="0" applyAlignment="1" applyBorder="1" applyFont="1">
      <alignment vertical="bottom"/>
    </xf>
    <xf borderId="23" fillId="0" fontId="11" numFmtId="0" xfId="0" applyAlignment="1" applyBorder="1" applyFont="1">
      <alignment vertical="bottom"/>
    </xf>
    <xf borderId="24" fillId="3" fontId="6" numFmtId="0" xfId="0" applyAlignment="1" applyBorder="1" applyFont="1">
      <alignment horizontal="left" shrinkToFit="0" vertical="top" wrapText="1"/>
    </xf>
    <xf borderId="25" fillId="3" fontId="6" numFmtId="0" xfId="0" applyAlignment="1" applyBorder="1" applyFont="1">
      <alignment vertical="top"/>
    </xf>
    <xf borderId="25" fillId="3" fontId="6" numFmtId="0" xfId="0" applyAlignment="1" applyBorder="1" applyFont="1">
      <alignment shrinkToFit="0" vertical="top" wrapText="1"/>
    </xf>
    <xf borderId="13" fillId="0" fontId="11" numFmtId="0" xfId="0" applyAlignment="1" applyBorder="1" applyFont="1">
      <alignment vertical="bottom"/>
    </xf>
    <xf borderId="25" fillId="3" fontId="15" numFmtId="0" xfId="0" applyAlignment="1" applyBorder="1" applyFont="1">
      <alignment vertical="top"/>
    </xf>
    <xf borderId="14" fillId="0" fontId="8" numFmtId="0" xfId="0" applyAlignment="1" applyBorder="1" applyFont="1">
      <alignment vertical="bottom"/>
    </xf>
    <xf borderId="25" fillId="3" fontId="16" numFmtId="0" xfId="0" applyAlignment="1" applyBorder="1" applyFont="1">
      <alignment shrinkToFit="0" vertical="top" wrapText="1"/>
    </xf>
    <xf borderId="13" fillId="0" fontId="8" numFmtId="0" xfId="0" applyAlignment="1" applyBorder="1" applyFont="1">
      <alignment vertical="bottom"/>
    </xf>
    <xf borderId="0" fillId="0" fontId="13" numFmtId="0" xfId="0" applyAlignment="1" applyFont="1">
      <alignment readingOrder="0" shrinkToFit="0" wrapText="1"/>
    </xf>
    <xf borderId="0" fillId="0" fontId="13" numFmtId="49" xfId="0" applyAlignment="1" applyFont="1" applyNumberFormat="1">
      <alignment readingOrder="0" shrinkToFit="0" wrapText="1"/>
    </xf>
    <xf borderId="0" fillId="4" fontId="17" numFmtId="49" xfId="0" applyAlignment="1" applyFill="1" applyFont="1" applyNumberFormat="1">
      <alignment shrinkToFit="0" vertical="bottom" wrapText="1"/>
    </xf>
    <xf borderId="8" fillId="0" fontId="11" numFmtId="0" xfId="0" applyAlignment="1" applyBorder="1" applyFont="1">
      <alignment shrinkToFit="0" vertical="bottom" wrapText="0"/>
    </xf>
    <xf borderId="25" fillId="3" fontId="18" numFmtId="49" xfId="0" applyAlignment="1" applyBorder="1" applyFont="1" applyNumberFormat="1">
      <alignment shrinkToFit="0" vertical="top" wrapText="1"/>
    </xf>
    <xf borderId="0" fillId="5" fontId="17" numFmtId="0" xfId="0" applyAlignment="1" applyFill="1" applyFont="1">
      <alignment readingOrder="0" shrinkToFit="0" vertical="bottom" wrapText="1"/>
    </xf>
    <xf borderId="0" fillId="6" fontId="17" numFmtId="49" xfId="0" applyAlignment="1" applyFill="1" applyFont="1" applyNumberFormat="1">
      <alignment readingOrder="0" shrinkToFit="0" vertical="bottom" wrapText="1"/>
    </xf>
    <xf borderId="0" fillId="6" fontId="17" numFmtId="49" xfId="0" applyAlignment="1" applyFont="1" applyNumberFormat="1">
      <alignment shrinkToFit="0" vertical="bottom" wrapText="1"/>
    </xf>
    <xf borderId="0" fillId="5" fontId="17" numFmtId="49" xfId="0" applyAlignment="1" applyFont="1" applyNumberFormat="1">
      <alignment shrinkToFit="0" vertical="bottom" wrapText="1"/>
    </xf>
    <xf borderId="0" fillId="5" fontId="17" numFmtId="0" xfId="0" applyAlignment="1" applyFont="1">
      <alignment shrinkToFit="0" vertical="bottom" wrapText="1"/>
    </xf>
    <xf borderId="26" fillId="7" fontId="19" numFmtId="0" xfId="0" applyAlignment="1" applyBorder="1" applyFill="1" applyFont="1">
      <alignment horizontal="left"/>
    </xf>
    <xf borderId="0" fillId="6" fontId="17" numFmtId="0" xfId="0" applyAlignment="1" applyFont="1">
      <alignment shrinkToFit="0" vertical="bottom" wrapText="1"/>
    </xf>
    <xf borderId="27" fillId="0" fontId="5" numFmtId="0" xfId="0" applyBorder="1" applyFont="1"/>
    <xf borderId="28" fillId="7" fontId="6" numFmtId="0" xfId="0" applyAlignment="1" applyBorder="1" applyFont="1">
      <alignment shrinkToFit="0" wrapText="1"/>
    </xf>
    <xf borderId="9" fillId="0" fontId="11" numFmtId="0" xfId="0" applyAlignment="1" applyBorder="1" applyFont="1">
      <alignment vertical="bottom"/>
    </xf>
    <xf borderId="28" fillId="7" fontId="6" numFmtId="0" xfId="0" applyBorder="1" applyFont="1"/>
    <xf borderId="0" fillId="6" fontId="17" numFmtId="0" xfId="0" applyAlignment="1" applyFont="1">
      <alignment readingOrder="0" shrinkToFit="0" vertical="bottom" wrapText="1"/>
    </xf>
    <xf borderId="10" fillId="0" fontId="11" numFmtId="0" xfId="0" applyAlignment="1" applyBorder="1" applyFont="1">
      <alignment horizontal="right" vertical="bottom"/>
    </xf>
    <xf borderId="29" fillId="0" fontId="11" numFmtId="0" xfId="0" applyAlignment="1" applyBorder="1" applyFont="1">
      <alignment shrinkToFit="0" vertical="bottom" wrapText="0"/>
    </xf>
    <xf borderId="0" fillId="8" fontId="13" numFmtId="0" xfId="0" applyAlignment="1" applyFill="1" applyFont="1">
      <alignment readingOrder="0" shrinkToFit="0" wrapText="1"/>
    </xf>
    <xf borderId="0" fillId="0" fontId="11" numFmtId="0" xfId="0" applyAlignment="1" applyFont="1">
      <alignment horizontal="right" vertical="bottom"/>
    </xf>
    <xf borderId="24" fillId="7" fontId="6" numFmtId="0" xfId="0" applyBorder="1" applyFont="1"/>
    <xf borderId="0" fillId="0" fontId="17" numFmtId="0" xfId="0" applyAlignment="1" applyFont="1">
      <alignment shrinkToFit="0" vertical="bottom" wrapText="1"/>
    </xf>
    <xf borderId="30" fillId="0" fontId="11" numFmtId="0" xfId="0" applyAlignment="1" applyBorder="1" applyFont="1">
      <alignment horizontal="right" readingOrder="0" vertical="bottom"/>
    </xf>
    <xf borderId="10" fillId="0" fontId="11" numFmtId="0" xfId="0" applyAlignment="1" applyBorder="1" applyFont="1">
      <alignment readingOrder="0" vertical="bottom"/>
    </xf>
    <xf borderId="30" fillId="0" fontId="8" numFmtId="0" xfId="0" applyAlignment="1" applyBorder="1" applyFont="1">
      <alignment vertical="bottom"/>
    </xf>
    <xf borderId="30" fillId="0" fontId="11" numFmtId="0" xfId="0" applyAlignment="1" applyBorder="1" applyFont="1">
      <alignment vertical="bottom"/>
    </xf>
    <xf borderId="0" fillId="0" fontId="11" numFmtId="0" xfId="0" applyAlignment="1" applyFont="1">
      <alignment horizontal="right" readingOrder="0" vertical="bottom"/>
    </xf>
    <xf borderId="0" fillId="0" fontId="8" numFmtId="0" xfId="0" applyAlignment="1" applyFont="1">
      <alignment readingOrder="0" vertical="bottom"/>
    </xf>
    <xf borderId="28" fillId="7" fontId="20" numFmtId="0" xfId="0" applyAlignment="1" applyBorder="1" applyFont="1">
      <alignment horizontal="left" vertical="top"/>
    </xf>
    <xf borderId="14" fillId="0" fontId="11" numFmtId="0" xfId="0" applyAlignment="1" applyBorder="1" applyFont="1">
      <alignment horizontal="right" vertical="bottom"/>
    </xf>
    <xf borderId="28" fillId="7" fontId="6" numFmtId="0" xfId="0" applyAlignment="1" applyBorder="1" applyFont="1">
      <alignment horizontal="left" vertical="top"/>
    </xf>
    <xf borderId="8" fillId="0" fontId="11" numFmtId="0" xfId="0" applyAlignment="1" applyBorder="1" applyFont="1">
      <alignment vertical="bottom"/>
    </xf>
    <xf borderId="28" fillId="7" fontId="6" numFmtId="0" xfId="0" applyAlignment="1" applyBorder="1" applyFont="1">
      <alignment horizontal="left" shrinkToFit="0" vertical="top" wrapText="1"/>
    </xf>
    <xf borderId="8" fillId="0" fontId="11" numFmtId="0" xfId="0" applyAlignment="1" applyBorder="1" applyFont="1">
      <alignment horizontal="right" vertical="bottom"/>
    </xf>
    <xf borderId="0" fillId="0" fontId="21" numFmtId="0" xfId="0" applyAlignment="1" applyFont="1">
      <alignment readingOrder="0"/>
    </xf>
    <xf borderId="0" fillId="0" fontId="11" numFmtId="0" xfId="0" applyAlignment="1" applyFont="1">
      <alignment vertical="bottom"/>
    </xf>
    <xf borderId="0" fillId="0" fontId="11" numFmtId="0" xfId="0" applyAlignment="1" applyFont="1">
      <alignment horizontal="right" vertical="bottom"/>
    </xf>
    <xf borderId="0" fillId="0" fontId="21" numFmtId="0" xfId="0" applyFont="1"/>
    <xf borderId="0" fillId="9" fontId="17" numFmtId="0" xfId="0" applyAlignment="1" applyFill="1" applyFont="1">
      <alignment shrinkToFit="0" vertical="bottom" wrapText="1"/>
    </xf>
    <xf borderId="0" fillId="8" fontId="22" numFmtId="0" xfId="0" applyAlignment="1" applyFont="1">
      <alignment horizontal="left" readingOrder="0"/>
    </xf>
    <xf borderId="0" fillId="10" fontId="17" numFmtId="0" xfId="0" applyAlignment="1" applyFill="1" applyFont="1">
      <alignment shrinkToFit="0" vertical="bottom" wrapText="1"/>
    </xf>
    <xf borderId="0" fillId="0" fontId="13" numFmtId="49" xfId="0" applyAlignment="1" applyFont="1" applyNumberFormat="1">
      <alignment readingOrder="0" shrinkToFit="0" vertical="bottom" wrapText="1"/>
    </xf>
    <xf borderId="0" fillId="9" fontId="17" numFmtId="0" xfId="0" applyAlignment="1" applyFont="1">
      <alignment shrinkToFit="0" vertical="bottom" wrapText="1"/>
    </xf>
    <xf borderId="0" fillId="0" fontId="21" numFmtId="49" xfId="0" applyFont="1" applyNumberFormat="1"/>
    <xf borderId="0" fillId="10" fontId="17" numFmtId="0" xfId="0" applyAlignment="1" applyFont="1">
      <alignment shrinkToFit="0" vertical="bottom" wrapText="1"/>
    </xf>
    <xf borderId="0" fillId="9" fontId="17" numFmtId="0" xfId="0" applyAlignment="1" applyFont="1">
      <alignment readingOrder="0" shrinkToFit="0" vertical="bottom" wrapText="1"/>
    </xf>
    <xf borderId="0" fillId="10" fontId="17" numFmtId="0" xfId="0" applyAlignment="1" applyFont="1">
      <alignment readingOrder="0" shrinkToFit="0" vertical="bottom" wrapText="1"/>
    </xf>
    <xf borderId="18" fillId="0" fontId="11" numFmtId="0" xfId="0" applyAlignment="1" applyBorder="1" applyFont="1">
      <alignment vertical="bottom"/>
    </xf>
    <xf borderId="19" fillId="0" fontId="11" numFmtId="0" xfId="0" applyAlignment="1" applyBorder="1" applyFont="1">
      <alignment horizontal="right" vertical="bottom"/>
    </xf>
    <xf borderId="31" fillId="0" fontId="11" numFmtId="0" xfId="0" applyAlignment="1" applyBorder="1" applyFont="1">
      <alignment vertical="bottom"/>
    </xf>
    <xf borderId="20" fillId="0" fontId="11" numFmtId="0" xfId="0" applyAlignment="1" applyBorder="1" applyFont="1">
      <alignment vertical="bottom"/>
    </xf>
    <xf borderId="19" fillId="0" fontId="11" numFmtId="0" xfId="0" applyAlignment="1" applyBorder="1" applyFont="1">
      <alignment vertical="bottom"/>
    </xf>
    <xf borderId="23" fillId="0" fontId="11" numFmtId="0" xfId="0" applyAlignment="1" applyBorder="1" applyFont="1">
      <alignment vertical="bottom"/>
    </xf>
    <xf borderId="8" fillId="0" fontId="11" numFmtId="0" xfId="0" applyAlignment="1" applyBorder="1" applyFont="1">
      <alignment vertical="bottom"/>
    </xf>
    <xf borderId="19" fillId="0" fontId="11" numFmtId="0" xfId="0" applyAlignment="1" applyBorder="1" applyFont="1">
      <alignment vertical="bottom"/>
    </xf>
    <xf borderId="0" fillId="11" fontId="17" numFmtId="0" xfId="0" applyAlignment="1" applyFill="1" applyFont="1">
      <alignment shrinkToFit="0" vertical="bottom" wrapText="1"/>
    </xf>
    <xf borderId="0" fillId="12" fontId="17" numFmtId="49" xfId="0" applyAlignment="1" applyFill="1" applyFont="1" applyNumberFormat="1">
      <alignment shrinkToFit="0" vertical="bottom" wrapText="1"/>
    </xf>
    <xf borderId="0" fillId="11" fontId="17" numFmtId="49" xfId="0" applyAlignment="1" applyFont="1" applyNumberFormat="1">
      <alignment shrinkToFit="0" vertical="bottom" wrapText="1"/>
    </xf>
    <xf borderId="0" fillId="11" fontId="17" numFmtId="0" xfId="0" applyAlignment="1" applyFont="1">
      <alignment shrinkToFit="0" vertical="bottom" wrapText="1"/>
    </xf>
    <xf borderId="0" fillId="0" fontId="13" numFmtId="0" xfId="0" applyAlignment="1" applyFont="1">
      <alignment readingOrder="0" shrinkToFit="0" vertical="bottom" wrapText="1"/>
    </xf>
    <xf borderId="0" fillId="11" fontId="23" numFmtId="0" xfId="0" applyAlignment="1" applyFont="1">
      <alignment shrinkToFit="0" vertical="bottom" wrapText="1"/>
    </xf>
    <xf borderId="0" fillId="12" fontId="23" numFmtId="0" xfId="0" applyAlignment="1" applyFont="1">
      <alignment shrinkToFit="0" vertical="bottom" wrapText="1"/>
    </xf>
    <xf borderId="0" fillId="11" fontId="24" numFmtId="49" xfId="0" applyAlignment="1" applyFont="1" applyNumberFormat="1">
      <alignment vertical="bottom"/>
    </xf>
    <xf borderId="0" fillId="11" fontId="24" numFmtId="0" xfId="0" applyAlignment="1" applyFont="1">
      <alignment vertical="bottom"/>
    </xf>
    <xf borderId="0" fillId="11" fontId="24" numFmtId="0" xfId="0" applyAlignment="1" applyFont="1">
      <alignment vertical="bottom"/>
    </xf>
    <xf borderId="0" fillId="0" fontId="17" numFmtId="0" xfId="0" applyAlignment="1" applyFont="1">
      <alignment shrinkToFit="0" wrapText="1"/>
    </xf>
    <xf borderId="0" fillId="12" fontId="17" numFmtId="0" xfId="0" applyAlignment="1" applyFont="1">
      <alignment shrinkToFit="0" vertical="bottom" wrapText="1"/>
    </xf>
    <xf borderId="32" fillId="7" fontId="6" numFmtId="0" xfId="0" applyAlignment="1" applyBorder="1" applyFont="1">
      <alignment horizontal="left" shrinkToFit="0" vertical="top" wrapText="1"/>
    </xf>
    <xf borderId="0" fillId="0" fontId="24" numFmtId="0" xfId="0" applyAlignment="1" applyFont="1">
      <alignment vertical="bottom"/>
    </xf>
    <xf borderId="22" fillId="0" fontId="11" numFmtId="0" xfId="0" applyAlignment="1" applyBorder="1" applyFont="1">
      <alignment vertical="bottom"/>
    </xf>
    <xf borderId="0" fillId="11" fontId="17" numFmtId="0" xfId="0" applyAlignment="1" applyFont="1">
      <alignment shrinkToFit="0" vertical="bottom" wrapText="1"/>
    </xf>
    <xf borderId="30" fillId="0" fontId="11" numFmtId="0" xfId="0" applyAlignment="1" applyBorder="1" applyFont="1">
      <alignment vertical="bottom"/>
    </xf>
    <xf borderId="0" fillId="11" fontId="24" numFmtId="0" xfId="0" applyAlignment="1" applyFont="1">
      <alignment vertical="bottom"/>
    </xf>
    <xf borderId="0" fillId="12" fontId="17" numFmtId="0" xfId="0" applyAlignment="1" applyFont="1">
      <alignment shrinkToFit="0" vertical="bottom" wrapText="1"/>
    </xf>
    <xf borderId="0" fillId="5" fontId="17" numFmtId="0" xfId="0" applyAlignment="1" applyFont="1">
      <alignment shrinkToFit="0" vertical="bottom" wrapText="1"/>
    </xf>
    <xf borderId="0" fillId="12" fontId="17" numFmtId="0" xfId="0" applyAlignment="1" applyFont="1">
      <alignment readingOrder="0" shrinkToFit="0" vertical="bottom" wrapText="1"/>
    </xf>
    <xf borderId="0" fillId="13" fontId="17" numFmtId="0" xfId="0" applyAlignment="1" applyFill="1" applyFont="1">
      <alignment shrinkToFit="0" vertical="bottom" wrapText="1"/>
    </xf>
    <xf borderId="0" fillId="13" fontId="17" numFmtId="0" xfId="0" applyAlignment="1" applyFont="1">
      <alignment readingOrder="0" shrinkToFit="0" vertical="bottom" wrapText="1"/>
    </xf>
    <xf borderId="0" fillId="4" fontId="17" numFmtId="49" xfId="0" applyAlignment="1" applyFont="1" applyNumberFormat="1">
      <alignment readingOrder="0" shrinkToFit="0" vertical="bottom" wrapText="1"/>
    </xf>
    <xf borderId="24" fillId="7" fontId="25" numFmtId="0" xfId="0" applyBorder="1" applyFont="1"/>
    <xf borderId="3" fillId="0" fontId="11" numFmtId="0" xfId="0" applyAlignment="1" applyBorder="1" applyFont="1">
      <alignment vertical="bottom"/>
    </xf>
    <xf borderId="0" fillId="10" fontId="17" numFmtId="49" xfId="0" applyAlignment="1" applyFont="1" applyNumberFormat="1">
      <alignment readingOrder="0" shrinkToFit="0" vertical="bottom" wrapText="1"/>
    </xf>
    <xf borderId="4" fillId="0" fontId="11" numFmtId="0" xfId="0" applyAlignment="1" applyBorder="1" applyFont="1">
      <alignment horizontal="right" vertical="bottom"/>
    </xf>
    <xf borderId="4" fillId="0" fontId="11" numFmtId="0" xfId="0" applyAlignment="1" applyBorder="1" applyFont="1">
      <alignment vertical="bottom"/>
    </xf>
    <xf borderId="4" fillId="0" fontId="11" numFmtId="0" xfId="0" applyAlignment="1" applyBorder="1" applyFont="1">
      <alignment vertical="bottom"/>
    </xf>
    <xf borderId="29" fillId="0" fontId="11" numFmtId="0" xfId="0" applyAlignment="1" applyBorder="1" applyFont="1">
      <alignment vertical="bottom"/>
    </xf>
    <xf borderId="0" fillId="14" fontId="17" numFmtId="0" xfId="0" applyAlignment="1" applyFill="1" applyFont="1">
      <alignment shrinkToFit="0" vertical="bottom" wrapText="1"/>
    </xf>
    <xf borderId="0" fillId="15" fontId="17" numFmtId="49" xfId="0" applyAlignment="1" applyFill="1" applyFont="1" applyNumberFormat="1">
      <alignment readingOrder="0" shrinkToFit="0" vertical="bottom" wrapText="1"/>
    </xf>
    <xf borderId="0" fillId="12" fontId="17" numFmtId="49" xfId="0" applyAlignment="1" applyFont="1" applyNumberFormat="1">
      <alignment readingOrder="0" shrinkToFit="0" vertical="bottom" wrapText="1"/>
    </xf>
    <xf borderId="0" fillId="10" fontId="17" numFmtId="49" xfId="0" applyAlignment="1" applyFont="1" applyNumberFormat="1">
      <alignment shrinkToFit="0" vertical="bottom" wrapText="1"/>
    </xf>
    <xf borderId="0" fillId="15" fontId="17" numFmtId="49" xfId="0" applyAlignment="1" applyFont="1" applyNumberFormat="1">
      <alignment shrinkToFit="0" vertical="bottom" wrapText="1"/>
    </xf>
    <xf borderId="0" fillId="16" fontId="17" numFmtId="0" xfId="0" applyAlignment="1" applyFill="1" applyFont="1">
      <alignment shrinkToFit="0" vertical="bottom" wrapText="1"/>
    </xf>
    <xf borderId="0" fillId="17" fontId="17" numFmtId="49" xfId="0" applyAlignment="1" applyFill="1" applyFont="1" applyNumberFormat="1">
      <alignment shrinkToFit="0" vertical="bottom" wrapText="1"/>
    </xf>
    <xf borderId="0" fillId="16" fontId="17" numFmtId="49" xfId="0" applyAlignment="1" applyFont="1" applyNumberFormat="1">
      <alignment shrinkToFit="0" vertical="bottom" wrapText="1"/>
    </xf>
    <xf borderId="0" fillId="18" fontId="17" numFmtId="0" xfId="0" applyAlignment="1" applyFill="1" applyFont="1">
      <alignment shrinkToFit="0" vertical="bottom" wrapText="1"/>
    </xf>
    <xf borderId="0" fillId="19" fontId="17" numFmtId="49" xfId="0" applyAlignment="1" applyFill="1" applyFont="1" applyNumberFormat="1">
      <alignment shrinkToFit="0" vertical="bottom" wrapText="1"/>
    </xf>
    <xf borderId="0" fillId="11" fontId="24" numFmtId="49" xfId="0" applyAlignment="1" applyFont="1" applyNumberFormat="1">
      <alignment shrinkToFit="0" vertical="bottom" wrapText="1"/>
    </xf>
    <xf borderId="0" fillId="0" fontId="11" numFmtId="0" xfId="0" applyAlignment="1" applyFont="1">
      <alignment shrinkToFit="0" vertical="bottom" wrapText="0"/>
    </xf>
    <xf borderId="33" fillId="0" fontId="11" numFmtId="0" xfId="0" applyAlignment="1" applyBorder="1" applyFont="1">
      <alignment shrinkToFit="0" vertical="bottom" wrapText="0"/>
    </xf>
    <xf borderId="28" fillId="7" fontId="26" numFmtId="0" xfId="0" applyAlignment="1" applyBorder="1" applyFont="1">
      <alignment horizontal="left" readingOrder="0" vertical="top"/>
    </xf>
    <xf borderId="0" fillId="13" fontId="17" numFmtId="0" xfId="0" applyAlignment="1" applyFont="1">
      <alignment shrinkToFit="0" vertical="bottom" wrapText="1"/>
    </xf>
    <xf borderId="34" fillId="0" fontId="11" numFmtId="0" xfId="0" applyAlignment="1" applyBorder="1" applyFont="1">
      <alignment vertical="bottom"/>
    </xf>
    <xf borderId="35" fillId="0" fontId="11" numFmtId="0" xfId="0" applyAlignment="1" applyBorder="1" applyFont="1">
      <alignment vertical="bottom"/>
    </xf>
    <xf borderId="35" fillId="0" fontId="11" numFmtId="0" xfId="0" applyAlignment="1" applyBorder="1" applyFont="1">
      <alignment vertical="bottom"/>
    </xf>
    <xf borderId="36" fillId="0" fontId="11" numFmtId="0" xfId="0" applyAlignment="1" applyBorder="1" applyFont="1">
      <alignment vertical="bottom"/>
    </xf>
    <xf borderId="33" fillId="0" fontId="11" numFmtId="0" xfId="0" applyAlignment="1" applyBorder="1" applyFont="1">
      <alignment horizontal="right" vertical="bottom"/>
    </xf>
    <xf borderId="0" fillId="14" fontId="17" numFmtId="0" xfId="0" applyAlignment="1" applyFont="1">
      <alignment shrinkToFit="0" vertical="bottom" wrapText="1"/>
    </xf>
    <xf borderId="0" fillId="15" fontId="17" numFmtId="0" xfId="0" applyAlignment="1" applyFont="1">
      <alignment shrinkToFit="0" vertical="bottom" wrapText="1"/>
    </xf>
    <xf borderId="0" fillId="14" fontId="17" numFmtId="0" xfId="0" applyAlignment="1" applyFont="1">
      <alignment readingOrder="0" shrinkToFit="0" vertical="bottom" wrapText="1"/>
    </xf>
    <xf borderId="0" fillId="9" fontId="17" numFmtId="0" xfId="0" applyAlignment="1" applyFont="1">
      <alignment shrinkToFit="0" vertical="top" wrapText="1"/>
    </xf>
    <xf borderId="28" fillId="7" fontId="6" numFmtId="0" xfId="0" applyAlignment="1" applyBorder="1" applyFont="1">
      <alignment horizontal="center" vertical="top"/>
    </xf>
    <xf borderId="0" fillId="20" fontId="17" numFmtId="0" xfId="0" applyAlignment="1" applyFill="1" applyFont="1">
      <alignment shrinkToFit="0" vertical="bottom" wrapText="1"/>
    </xf>
    <xf borderId="0" fillId="20" fontId="17" numFmtId="49" xfId="0" applyAlignment="1" applyFont="1" applyNumberFormat="1">
      <alignment shrinkToFit="0" vertical="bottom" wrapText="1"/>
    </xf>
    <xf borderId="37" fillId="10" fontId="27" numFmtId="0" xfId="0" applyAlignment="1" applyBorder="1" applyFont="1">
      <alignment horizontal="left"/>
    </xf>
    <xf borderId="20" fillId="0" fontId="5" numFmtId="0" xfId="0" applyBorder="1" applyFont="1"/>
    <xf borderId="25" fillId="10" fontId="6" numFmtId="0" xfId="0" applyAlignment="1" applyBorder="1" applyFont="1">
      <alignment shrinkToFit="0" wrapText="1"/>
    </xf>
    <xf borderId="25" fillId="10" fontId="6" numFmtId="0" xfId="0" applyBorder="1" applyFont="1"/>
    <xf borderId="37" fillId="10" fontId="28" numFmtId="0" xfId="0" applyAlignment="1" applyBorder="1" applyFont="1">
      <alignment horizontal="left" vertical="top"/>
    </xf>
    <xf borderId="36" fillId="0" fontId="5" numFmtId="0" xfId="0" applyBorder="1" applyFont="1"/>
    <xf borderId="28" fillId="10" fontId="29" numFmtId="0" xfId="0" applyAlignment="1" applyBorder="1" applyFont="1">
      <alignment horizontal="center"/>
    </xf>
    <xf borderId="28" fillId="10" fontId="30" numFmtId="0" xfId="0" applyAlignment="1" applyBorder="1" applyFont="1">
      <alignment horizontal="center"/>
    </xf>
    <xf borderId="28" fillId="10" fontId="30" numFmtId="16" xfId="0" applyAlignment="1" applyBorder="1" applyFont="1" applyNumberFormat="1">
      <alignment horizontal="center"/>
    </xf>
    <xf borderId="28" fillId="10" fontId="6" numFmtId="0" xfId="0" applyBorder="1" applyFont="1"/>
    <xf borderId="28" fillId="10" fontId="6" numFmtId="0" xfId="0" applyAlignment="1" applyBorder="1" applyFont="1">
      <alignment shrinkToFit="0" wrapText="1"/>
    </xf>
    <xf borderId="28" fillId="10" fontId="30" numFmtId="0" xfId="0" applyAlignment="1" applyBorder="1" applyFont="1">
      <alignment horizontal="center" shrinkToFit="0" wrapText="1"/>
    </xf>
    <xf borderId="28" fillId="10" fontId="30" numFmtId="0" xfId="0" applyAlignment="1" applyBorder="1" applyFont="1">
      <alignment horizontal="center" shrinkToFit="0" vertical="center" wrapText="1"/>
    </xf>
    <xf borderId="28" fillId="10" fontId="6" numFmtId="0" xfId="0" applyAlignment="1" applyBorder="1" applyFont="1">
      <alignment horizontal="center" shrinkToFit="0" vertical="center" wrapText="1"/>
    </xf>
    <xf borderId="0" fillId="0" fontId="17" numFmtId="0" xfId="0" applyAlignment="1" applyFont="1">
      <alignment shrinkToFit="0" vertical="bottom" wrapText="1"/>
    </xf>
    <xf borderId="0" fillId="0" fontId="17" numFmtId="49" xfId="0" applyAlignment="1" applyFont="1" applyNumberFormat="1">
      <alignment shrinkToFit="0" vertical="bottom" wrapText="1"/>
    </xf>
    <xf borderId="0" fillId="16" fontId="17" numFmtId="0" xfId="0" applyAlignment="1" applyFont="1">
      <alignment shrinkToFit="0" vertical="bottom" wrapText="1"/>
    </xf>
    <xf borderId="33" fillId="0" fontId="11" numFmtId="0" xfId="0" applyAlignment="1" applyBorder="1" applyFont="1">
      <alignment vertical="bottom"/>
    </xf>
    <xf borderId="0" fillId="17" fontId="17" numFmtId="0" xfId="0" applyAlignment="1" applyFont="1">
      <alignment shrinkToFit="0" vertical="bottom" wrapText="1"/>
    </xf>
    <xf borderId="0" fillId="5" fontId="17" numFmtId="49" xfId="0" applyAlignment="1" applyFont="1" applyNumberFormat="1">
      <alignment readingOrder="0" shrinkToFit="0" vertical="bottom" wrapText="1"/>
    </xf>
    <xf borderId="0" fillId="18" fontId="17" numFmtId="0" xfId="0" applyAlignment="1" applyFont="1">
      <alignment shrinkToFit="0" vertical="bottom" wrapText="1"/>
    </xf>
    <xf borderId="0" fillId="19" fontId="17" numFmtId="0" xfId="0" applyAlignment="1" applyFont="1">
      <alignment shrinkToFit="0" vertical="bottom" wrapText="1"/>
    </xf>
    <xf borderId="28" fillId="10" fontId="6" numFmtId="0" xfId="0" applyAlignment="1" applyBorder="1" applyFont="1">
      <alignment horizontal="center" shrinkToFit="0" wrapText="1"/>
    </xf>
    <xf borderId="28" fillId="10" fontId="6" numFmtId="0" xfId="0" applyAlignment="1" applyBorder="1" applyFont="1">
      <alignment horizontal="center" readingOrder="0" shrinkToFit="0" wrapText="1"/>
    </xf>
    <xf borderId="38" fillId="10" fontId="6" numFmtId="0" xfId="0" applyBorder="1" applyFont="1"/>
    <xf borderId="38" fillId="10" fontId="6" numFmtId="0" xfId="0" applyAlignment="1" applyBorder="1" applyFont="1">
      <alignment horizontal="center" shrinkToFit="0" wrapText="1"/>
    </xf>
    <xf borderId="0" fillId="0" fontId="6" numFmtId="0" xfId="0" applyAlignment="1" applyFont="1">
      <alignment horizontal="center" shrinkToFit="0" wrapText="1"/>
    </xf>
    <xf borderId="0" fillId="11" fontId="24" numFmtId="0" xfId="0" applyAlignment="1" applyFont="1">
      <alignment shrinkToFit="0" vertical="bottom" wrapText="1"/>
    </xf>
    <xf borderId="0" fillId="0" fontId="24" numFmtId="0" xfId="0" applyAlignment="1" applyFont="1">
      <alignment shrinkToFit="0" vertical="bottom" wrapText="1"/>
    </xf>
    <xf borderId="0" fillId="19" fontId="17" numFmtId="0" xfId="0" applyAlignment="1" applyFont="1">
      <alignment readingOrder="0" shrinkToFit="0" vertical="bottom" wrapText="1"/>
    </xf>
    <xf borderId="34" fillId="0" fontId="8" numFmtId="0" xfId="0" applyAlignment="1" applyBorder="1" applyFont="1">
      <alignment vertical="bottom"/>
    </xf>
    <xf borderId="35" fillId="0" fontId="8" numFmtId="0" xfId="0" applyAlignment="1" applyBorder="1" applyFont="1">
      <alignment vertical="bottom"/>
    </xf>
    <xf borderId="39" fillId="0" fontId="11" numFmtId="0" xfId="0" applyAlignment="1" applyBorder="1" applyFont="1">
      <alignment vertical="bottom"/>
    </xf>
    <xf borderId="29" fillId="0" fontId="11" numFmtId="0" xfId="0" applyAlignment="1" applyBorder="1" applyFont="1">
      <alignment vertical="bottom"/>
    </xf>
    <xf borderId="40" fillId="3" fontId="31" numFmtId="0" xfId="0" applyAlignment="1" applyBorder="1" applyFont="1">
      <alignment horizontal="left" shrinkToFit="0" vertical="center" wrapText="1"/>
    </xf>
    <xf borderId="41" fillId="3" fontId="32" numFmtId="0" xfId="0" applyAlignment="1" applyBorder="1" applyFont="1">
      <alignment horizontal="left" shrinkToFit="0" vertical="center" wrapText="1"/>
    </xf>
    <xf borderId="11" fillId="3" fontId="33" numFmtId="0" xfId="0" applyAlignment="1" applyBorder="1" applyFont="1">
      <alignment horizontal="left" shrinkToFit="0" vertical="top" wrapText="1"/>
    </xf>
    <xf borderId="0" fillId="20" fontId="17" numFmtId="0" xfId="0" applyAlignment="1" applyFont="1">
      <alignment shrinkToFit="0" vertical="bottom" wrapText="1"/>
    </xf>
    <xf borderId="3" fillId="2" fontId="14" numFmtId="0" xfId="0" applyBorder="1" applyFont="1"/>
    <xf borderId="3" fillId="2" fontId="14" numFmtId="0" xfId="0" applyAlignment="1" applyBorder="1" applyFont="1">
      <alignment shrinkToFit="0" wrapText="1"/>
    </xf>
    <xf borderId="17" fillId="3" fontId="6" numFmtId="0" xfId="0" applyAlignment="1" applyBorder="1" applyFont="1">
      <alignment horizontal="left" shrinkToFit="0" vertical="top" wrapText="1"/>
    </xf>
    <xf borderId="17" fillId="3" fontId="6" numFmtId="0" xfId="0" applyAlignment="1" applyBorder="1" applyFont="1">
      <alignment vertical="top"/>
    </xf>
    <xf borderId="25" fillId="3" fontId="6" numFmtId="0" xfId="0" applyAlignment="1" applyBorder="1" applyFont="1">
      <alignment horizontal="left" vertical="top"/>
    </xf>
    <xf borderId="25" fillId="3" fontId="34" numFmtId="0" xfId="0" applyAlignment="1" applyBorder="1" applyFont="1">
      <alignment horizontal="left" vertical="top"/>
    </xf>
    <xf borderId="25" fillId="3" fontId="35" numFmtId="0" xfId="0" applyAlignment="1" applyBorder="1" applyFont="1">
      <alignment horizontal="left" shrinkToFit="0" vertical="top" wrapText="1"/>
    </xf>
    <xf borderId="42" fillId="3" fontId="36" numFmtId="0" xfId="0" applyAlignment="1" applyBorder="1" applyFont="1">
      <alignment horizontal="left" shrinkToFit="0" vertical="center" wrapText="1"/>
    </xf>
    <xf borderId="43" fillId="0" fontId="5" numFmtId="0" xfId="0" applyBorder="1" applyFont="1"/>
    <xf borderId="0" fillId="0" fontId="6" numFmtId="0" xfId="0" applyAlignment="1" applyFont="1">
      <alignment horizontal="left" shrinkToFit="0" vertical="center" wrapText="1"/>
    </xf>
    <xf borderId="44" fillId="3" fontId="6" numFmtId="0" xfId="0" applyAlignment="1" applyBorder="1" applyFont="1">
      <alignment horizontal="center" shrinkToFit="0" vertical="center" wrapText="1"/>
    </xf>
    <xf borderId="45" fillId="0" fontId="5" numFmtId="0" xfId="0" applyBorder="1" applyFont="1"/>
    <xf borderId="0" fillId="18" fontId="17" numFmtId="0" xfId="0" applyAlignment="1" applyFont="1">
      <alignment readingOrder="0" shrinkToFit="0" vertical="bottom" wrapText="1"/>
    </xf>
    <xf borderId="46" fillId="3" fontId="6" numFmtId="0" xfId="0" applyAlignment="1" applyBorder="1" applyFont="1">
      <alignment horizontal="left" shrinkToFit="0" vertical="center" wrapText="1"/>
    </xf>
    <xf borderId="47" fillId="0" fontId="5" numFmtId="0" xfId="0" applyBorder="1" applyFont="1"/>
    <xf borderId="25" fillId="2" fontId="14" numFmtId="0" xfId="0" applyAlignment="1" applyBorder="1" applyFont="1">
      <alignment horizontal="left" shrinkToFit="0" vertical="center" wrapText="1"/>
    </xf>
    <xf borderId="25" fillId="2" fontId="3" numFmtId="0" xfId="0" applyAlignment="1" applyBorder="1" applyFont="1">
      <alignment horizontal="left" shrinkToFit="0" vertical="center" wrapText="1"/>
    </xf>
    <xf borderId="25" fillId="2" fontId="14" numFmtId="0" xfId="0" applyBorder="1" applyFont="1"/>
    <xf borderId="25" fillId="2" fontId="14" numFmtId="0" xfId="0" applyAlignment="1" applyBorder="1" applyFont="1">
      <alignment shrinkToFit="0" wrapText="1"/>
    </xf>
    <xf borderId="25" fillId="3" fontId="6" numFmtId="49" xfId="0" applyAlignment="1" applyBorder="1" applyFont="1" applyNumberFormat="1">
      <alignment shrinkToFit="0" vertical="top" wrapText="1"/>
    </xf>
    <xf borderId="0" fillId="0" fontId="6" numFmtId="49" xfId="0" applyAlignment="1" applyFont="1" applyNumberFormat="1">
      <alignment horizontal="left" shrinkToFit="0" vertical="center" wrapText="1"/>
    </xf>
    <xf borderId="0" fillId="17" fontId="17" numFmtId="0" xfId="0" applyAlignment="1" applyFont="1">
      <alignment readingOrder="0" shrinkToFit="0" vertical="bottom" wrapText="1"/>
    </xf>
    <xf borderId="0" fillId="12" fontId="23" numFmtId="49" xfId="0" applyAlignment="1" applyFont="1" applyNumberFormat="1">
      <alignment shrinkToFit="0" vertical="bottom" wrapText="1"/>
    </xf>
    <xf borderId="21" fillId="0" fontId="11" numFmtId="0" xfId="0" applyAlignment="1" applyBorder="1" applyFont="1">
      <alignment vertical="bottom"/>
    </xf>
    <xf borderId="30" fillId="0" fontId="11" numFmtId="0" xfId="0" applyAlignment="1" applyBorder="1" applyFont="1">
      <alignment horizontal="right" vertical="bottom"/>
    </xf>
    <xf borderId="0" fillId="6" fontId="17" numFmtId="0" xfId="0" applyAlignment="1" applyFont="1">
      <alignment shrinkToFit="0" vertical="bottom" wrapText="1"/>
    </xf>
    <xf borderId="0" fillId="4" fontId="17" numFmtId="0" xfId="0" applyAlignment="1" applyFont="1">
      <alignment shrinkToFit="0" vertical="bottom" wrapText="1"/>
    </xf>
    <xf borderId="0" fillId="17" fontId="17" numFmtId="0" xfId="0" applyAlignment="1" applyFont="1">
      <alignment shrinkToFit="0" vertical="bottom" wrapText="1"/>
    </xf>
    <xf borderId="0" fillId="0" fontId="17" numFmtId="0" xfId="0" applyAlignment="1" applyFont="1">
      <alignment readingOrder="0" shrinkToFit="0" vertical="bottom" wrapText="1"/>
    </xf>
    <xf borderId="0" fillId="16" fontId="17" numFmtId="0" xfId="0" applyAlignment="1" applyFont="1">
      <alignment readingOrder="0" shrinkToFit="0" vertical="bottom" wrapText="1"/>
    </xf>
    <xf borderId="0" fillId="15" fontId="17" numFmtId="0" xfId="0" applyAlignment="1" applyFont="1">
      <alignment readingOrder="0" shrinkToFit="0" vertical="bottom" wrapText="1"/>
    </xf>
    <xf borderId="0" fillId="17" fontId="17" numFmtId="49" xfId="0" applyAlignment="1" applyFont="1" applyNumberFormat="1">
      <alignment readingOrder="0" shrinkToFit="0" vertical="bottom" wrapText="1"/>
    </xf>
    <xf borderId="0" fillId="0" fontId="37" numFmtId="49" xfId="0" applyAlignment="1" applyFont="1" applyNumberFormat="1">
      <alignment readingOrder="0" shrinkToFit="0" vertical="bottom" wrapText="1"/>
    </xf>
    <xf borderId="0" fillId="12" fontId="23" numFmtId="0" xfId="0" applyAlignment="1" applyFont="1">
      <alignment shrinkToFit="0" vertical="bottom" wrapText="1"/>
    </xf>
    <xf borderId="0" fillId="0" fontId="17" numFmtId="0" xfId="0" applyAlignment="1" applyFont="1">
      <alignment shrinkToFit="0" vertical="bottom" wrapText="1"/>
    </xf>
    <xf borderId="0" fillId="12" fontId="13" numFmtId="0" xfId="0" applyAlignment="1" applyFont="1">
      <alignment horizontal="left" readingOrder="0" shrinkToFit="0" wrapText="1"/>
    </xf>
    <xf quotePrefix="1" borderId="0" fillId="0" fontId="11" numFmtId="0" xfId="0" applyAlignment="1" applyFont="1">
      <alignment vertical="bottom"/>
    </xf>
    <xf borderId="0" fillId="21" fontId="17" numFmtId="0" xfId="0" applyAlignment="1" applyFill="1" applyFont="1">
      <alignment shrinkToFit="0" vertical="bottom" wrapText="1"/>
    </xf>
    <xf borderId="0" fillId="22" fontId="17" numFmtId="49" xfId="0" applyAlignment="1" applyFill="1" applyFont="1" applyNumberFormat="1">
      <alignment shrinkToFit="0" vertical="bottom" wrapText="1"/>
    </xf>
    <xf borderId="0" fillId="19" fontId="17" numFmtId="49" xfId="0" applyAlignment="1" applyFont="1" applyNumberFormat="1">
      <alignment readingOrder="0" shrinkToFit="0" vertical="bottom" wrapText="1"/>
    </xf>
    <xf borderId="0" fillId="19" fontId="24" numFmtId="49" xfId="0" applyAlignment="1" applyFont="1" applyNumberFormat="1">
      <alignment vertical="bottom"/>
    </xf>
    <xf borderId="0" fillId="11" fontId="17" numFmtId="0" xfId="0" applyAlignment="1" applyFont="1">
      <alignment readingOrder="0" shrinkToFit="0" vertical="bottom" wrapText="1"/>
    </xf>
    <xf borderId="0" fillId="22" fontId="17" numFmtId="49" xfId="0" applyAlignment="1" applyFont="1" applyNumberFormat="1">
      <alignment readingOrder="0" shrinkToFit="0" vertical="bottom" wrapText="1"/>
    </xf>
    <xf borderId="0" fillId="0" fontId="21" numFmtId="0" xfId="0" applyAlignment="1" applyFont="1">
      <alignment shrinkToFit="0" wrapText="1"/>
    </xf>
    <xf borderId="0" fillId="19" fontId="17" numFmtId="0" xfId="0" applyAlignment="1" applyFont="1">
      <alignment shrinkToFit="0" vertical="bottom" wrapText="1"/>
    </xf>
    <xf borderId="48" fillId="0" fontId="11" numFmtId="0" xfId="0" applyAlignment="1" applyBorder="1" applyFont="1">
      <alignment vertical="bottom"/>
    </xf>
    <xf borderId="49" fillId="0" fontId="11" numFmtId="0" xfId="0" applyAlignment="1" applyBorder="1" applyFont="1">
      <alignment vertical="bottom"/>
    </xf>
    <xf borderId="21" fillId="0" fontId="38" numFmtId="0" xfId="0" applyAlignment="1" applyBorder="1" applyFont="1">
      <alignment vertical="bottom"/>
    </xf>
    <xf borderId="21" fillId="0" fontId="38" numFmtId="0" xfId="0" applyAlignment="1" applyBorder="1" applyFont="1">
      <alignment horizontal="right" vertical="bottom"/>
    </xf>
    <xf borderId="36" fillId="0" fontId="38" numFmtId="0" xfId="0" applyAlignment="1" applyBorder="1" applyFont="1">
      <alignment vertical="bottom"/>
    </xf>
    <xf borderId="21" fillId="0" fontId="39" numFmtId="0" xfId="0" applyAlignment="1" applyBorder="1" applyFont="1">
      <alignment vertical="bottom"/>
    </xf>
    <xf borderId="21" fillId="0" fontId="9" numFmtId="0" xfId="0" applyAlignment="1" applyBorder="1" applyFont="1">
      <alignment vertical="bottom"/>
    </xf>
    <xf borderId="0" fillId="0" fontId="38" numFmtId="0" xfId="0" applyAlignment="1" applyFont="1">
      <alignment vertical="bottom"/>
    </xf>
    <xf borderId="0" fillId="0" fontId="38" numFmtId="0" xfId="0" applyAlignment="1" applyFont="1">
      <alignment horizontal="right" vertical="bottom"/>
    </xf>
    <xf borderId="8" fillId="0" fontId="38" numFmtId="0" xfId="0" applyAlignment="1" applyBorder="1" applyFont="1">
      <alignment vertical="bottom"/>
    </xf>
    <xf borderId="0" fillId="0" fontId="9" numFmtId="0" xfId="0" applyAlignment="1" applyFont="1">
      <alignment vertical="bottom"/>
    </xf>
    <xf borderId="0" fillId="0" fontId="40" numFmtId="0" xfId="0" applyFont="1"/>
    <xf borderId="8" fillId="0" fontId="38" numFmtId="0" xfId="0" applyAlignment="1" applyBorder="1" applyFont="1">
      <alignment shrinkToFit="0" vertical="bottom" wrapText="0"/>
    </xf>
    <xf borderId="8" fillId="0" fontId="38" numFmtId="0" xfId="0" applyAlignment="1" applyBorder="1" applyFont="1">
      <alignment horizontal="right" vertical="bottom"/>
    </xf>
    <xf borderId="8" fillId="0" fontId="9" numFmtId="0" xfId="0" applyAlignment="1" applyBorder="1" applyFont="1">
      <alignment vertical="bottom"/>
    </xf>
    <xf borderId="0" fillId="10" fontId="24" numFmtId="49" xfId="0" applyAlignment="1" applyFont="1" applyNumberFormat="1">
      <alignment vertical="bottom"/>
    </xf>
    <xf borderId="0" fillId="9" fontId="24" numFmtId="0" xfId="0" applyAlignment="1" applyFont="1">
      <alignment vertical="bottom"/>
    </xf>
    <xf borderId="0" fillId="10" fontId="24" numFmtId="0" xfId="0" applyAlignment="1" applyFont="1">
      <alignment vertical="bottom"/>
    </xf>
    <xf borderId="0" fillId="4" fontId="17" numFmtId="0" xfId="0" applyAlignment="1" applyFont="1">
      <alignment shrinkToFit="0" vertical="bottom" wrapText="1"/>
    </xf>
    <xf borderId="0" fillId="12" fontId="13" numFmtId="0" xfId="0" applyAlignment="1" applyFont="1">
      <alignment readingOrder="0" shrinkToFit="0" vertical="bottom" wrapText="1"/>
    </xf>
    <xf borderId="0" fillId="23" fontId="17" numFmtId="0" xfId="0" applyAlignment="1" applyFill="1" applyFont="1">
      <alignment shrinkToFit="0" vertical="bottom" wrapText="1"/>
    </xf>
    <xf borderId="0" fillId="24" fontId="17" numFmtId="0" xfId="0" applyAlignment="1" applyFill="1" applyFont="1">
      <alignment shrinkToFit="0" vertical="bottom" wrapText="1"/>
    </xf>
    <xf borderId="0" fillId="24" fontId="17" numFmtId="49" xfId="0" applyAlignment="1" applyFont="1" applyNumberFormat="1">
      <alignment shrinkToFit="0" vertical="bottom" wrapText="1"/>
    </xf>
    <xf borderId="0" fillId="0" fontId="17" numFmtId="0" xfId="0" applyAlignment="1" applyFont="1">
      <alignment readingOrder="0" shrinkToFit="0" wrapText="1"/>
    </xf>
    <xf borderId="0" fillId="21" fontId="17" numFmtId="0" xfId="0" applyAlignment="1" applyFont="1">
      <alignment shrinkToFit="0" vertical="bottom" wrapText="1"/>
    </xf>
    <xf borderId="0" fillId="22" fontId="17" numFmtId="0" xfId="0" applyAlignment="1" applyFont="1">
      <alignment shrinkToFit="0" vertical="bottom" wrapText="1"/>
    </xf>
    <xf borderId="0" fillId="18" fontId="24" numFmtId="0" xfId="0" applyAlignment="1" applyFont="1">
      <alignment vertical="bottom"/>
    </xf>
    <xf borderId="0" fillId="19" fontId="24" numFmtId="0" xfId="0" applyAlignment="1" applyFont="1">
      <alignment vertical="bottom"/>
    </xf>
    <xf borderId="0" fillId="18" fontId="24" numFmtId="0" xfId="0" applyAlignment="1" applyFont="1">
      <alignment vertical="bottom"/>
    </xf>
    <xf borderId="0" fillId="0" fontId="40" numFmtId="0" xfId="0" applyAlignment="1" applyFont="1">
      <alignment shrinkToFit="0" wrapText="1"/>
    </xf>
    <xf borderId="0" fillId="12" fontId="41" numFmtId="0" xfId="0" applyAlignment="1" applyFont="1">
      <alignment shrinkToFit="0" vertical="bottom" wrapText="1"/>
    </xf>
    <xf borderId="0" fillId="23" fontId="42" numFmtId="0" xfId="0" applyAlignment="1" applyFon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75.n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37.56"/>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50" width="11.0"/>
  </cols>
  <sheetData>
    <row r="1" ht="18.0" customHeight="1">
      <c r="A1" s="2" t="s">
        <v>3</v>
      </c>
      <c r="B1" s="4" t="s">
        <v>5</v>
      </c>
      <c r="C1" s="18" t="s">
        <v>6</v>
      </c>
      <c r="D1" s="2" t="s">
        <v>8</v>
      </c>
      <c r="E1" s="20" t="s">
        <v>10</v>
      </c>
      <c r="F1" s="4" t="s">
        <v>19</v>
      </c>
      <c r="G1" s="2" t="s">
        <v>20</v>
      </c>
      <c r="H1" s="2" t="s">
        <v>22</v>
      </c>
      <c r="I1" s="4" t="s">
        <v>23</v>
      </c>
      <c r="J1" s="22" t="s">
        <v>24</v>
      </c>
      <c r="K1" s="4" t="s">
        <v>26</v>
      </c>
      <c r="L1" s="4" t="s">
        <v>27</v>
      </c>
      <c r="M1" s="2" t="s">
        <v>28</v>
      </c>
      <c r="N1" s="2" t="s">
        <v>29</v>
      </c>
      <c r="O1" s="4" t="s">
        <v>30</v>
      </c>
      <c r="P1" s="4" t="s">
        <v>31</v>
      </c>
      <c r="Q1" s="4" t="s">
        <v>33</v>
      </c>
      <c r="R1" s="4" t="s">
        <v>34</v>
      </c>
      <c r="S1" s="4" t="s">
        <v>35</v>
      </c>
      <c r="T1" s="4" t="s">
        <v>36</v>
      </c>
      <c r="U1" s="4" t="s">
        <v>37</v>
      </c>
      <c r="V1" s="4" t="s">
        <v>38</v>
      </c>
      <c r="W1" s="4" t="s">
        <v>40</v>
      </c>
      <c r="X1" s="4" t="s">
        <v>41</v>
      </c>
      <c r="Y1" s="4" t="s">
        <v>43</v>
      </c>
      <c r="Z1" s="4" t="s">
        <v>44</v>
      </c>
      <c r="AA1" s="4" t="s">
        <v>46</v>
      </c>
      <c r="AB1" s="4" t="s">
        <v>47</v>
      </c>
      <c r="AC1" s="4" t="s">
        <v>48</v>
      </c>
      <c r="AD1" s="4"/>
      <c r="AE1" s="4"/>
      <c r="AF1" s="4"/>
      <c r="AG1" s="4"/>
      <c r="AH1" s="4"/>
      <c r="AI1" s="4"/>
      <c r="AJ1" s="4"/>
      <c r="AK1" s="4"/>
      <c r="AL1" s="4"/>
      <c r="AM1" s="4"/>
      <c r="AN1" s="4"/>
      <c r="AO1" s="4"/>
      <c r="AP1" s="4"/>
      <c r="AQ1" s="4"/>
      <c r="AR1" s="4"/>
      <c r="AS1" s="4"/>
      <c r="AT1" s="4"/>
      <c r="AU1" s="4"/>
      <c r="AV1" s="4"/>
      <c r="AW1" s="4"/>
      <c r="AX1" s="4"/>
    </row>
    <row r="2" ht="15.75" customHeight="1">
      <c r="A2" s="45" t="s">
        <v>56</v>
      </c>
      <c r="B2" s="45" t="s">
        <v>57</v>
      </c>
      <c r="C2" s="46"/>
      <c r="D2" s="45"/>
      <c r="E2" s="47"/>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row>
    <row r="3" ht="15.75" customHeight="1">
      <c r="A3" s="45" t="s">
        <v>66</v>
      </c>
      <c r="B3" s="45" t="s">
        <v>67</v>
      </c>
      <c r="C3" s="46"/>
      <c r="D3" s="45"/>
      <c r="E3" s="47"/>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row>
    <row r="4" ht="15.75" customHeight="1">
      <c r="A4" s="45" t="s">
        <v>75</v>
      </c>
      <c r="B4" s="45" t="s">
        <v>75</v>
      </c>
      <c r="C4" s="46"/>
      <c r="D4" s="45"/>
      <c r="E4" s="47"/>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row>
    <row r="5" ht="15.75" customHeight="1">
      <c r="A5" s="45" t="s">
        <v>91</v>
      </c>
      <c r="B5" s="45" t="s">
        <v>92</v>
      </c>
      <c r="C5" s="46"/>
      <c r="D5" s="45"/>
      <c r="E5" s="47"/>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row>
    <row r="6" ht="15.75" customHeight="1">
      <c r="A6" s="45" t="s">
        <v>111</v>
      </c>
      <c r="B6" s="45" t="s">
        <v>111</v>
      </c>
      <c r="C6" s="46"/>
      <c r="D6" s="45"/>
      <c r="E6" s="47"/>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row>
    <row r="7" ht="15.75" customHeight="1">
      <c r="A7" s="45" t="s">
        <v>115</v>
      </c>
      <c r="B7" s="45" t="s">
        <v>117</v>
      </c>
      <c r="C7" s="46"/>
      <c r="D7" s="45"/>
      <c r="E7" s="47"/>
      <c r="F7" s="45"/>
      <c r="G7" s="45"/>
      <c r="H7" s="45"/>
      <c r="I7" s="45"/>
      <c r="J7" s="45"/>
      <c r="K7" s="45"/>
      <c r="L7" s="45"/>
      <c r="M7" s="45"/>
      <c r="N7" s="45"/>
      <c r="O7" s="45"/>
      <c r="P7" s="45"/>
      <c r="Q7" s="45"/>
      <c r="R7" s="45"/>
      <c r="S7" s="45"/>
      <c r="T7" s="45" t="s">
        <v>120</v>
      </c>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row>
    <row r="8" ht="15.75" customHeight="1">
      <c r="A8" s="45" t="s">
        <v>115</v>
      </c>
      <c r="B8" s="45" t="s">
        <v>122</v>
      </c>
      <c r="C8" s="46"/>
      <c r="D8" s="45"/>
      <c r="E8" s="47"/>
      <c r="F8" s="45"/>
      <c r="G8" s="45"/>
      <c r="H8" s="45"/>
      <c r="I8" s="45"/>
      <c r="J8" s="45"/>
      <c r="K8" s="45"/>
      <c r="L8" s="45"/>
      <c r="M8" s="45"/>
      <c r="N8" s="45"/>
      <c r="O8" s="45"/>
      <c r="P8" s="45"/>
      <c r="Q8" s="45"/>
      <c r="R8" s="45"/>
      <c r="S8" s="45"/>
      <c r="T8" s="45" t="s">
        <v>123</v>
      </c>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row>
    <row r="9" ht="15.75" customHeight="1">
      <c r="A9" s="75" t="s">
        <v>126</v>
      </c>
      <c r="B9" s="75" t="s">
        <v>127</v>
      </c>
      <c r="C9" s="76" t="s">
        <v>128</v>
      </c>
      <c r="D9" s="45"/>
      <c r="E9" s="47"/>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row>
    <row r="10" ht="15.75" customHeight="1">
      <c r="A10" s="75" t="s">
        <v>44</v>
      </c>
      <c r="B10" s="75" t="s">
        <v>135</v>
      </c>
      <c r="C10" s="77" t="s">
        <v>136</v>
      </c>
      <c r="D10" s="77" t="s">
        <v>141</v>
      </c>
      <c r="E10" s="77" t="s">
        <v>142</v>
      </c>
      <c r="F10" s="76"/>
      <c r="G10" s="76"/>
      <c r="H10" s="76"/>
      <c r="I10" s="45"/>
      <c r="J10" s="75" t="s">
        <v>143</v>
      </c>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row>
    <row r="11" ht="15.75" customHeight="1">
      <c r="A11" s="45"/>
      <c r="B11" s="45"/>
      <c r="C11" s="46"/>
      <c r="D11" s="45"/>
      <c r="E11" s="47"/>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row>
    <row r="12" ht="15.75" customHeight="1">
      <c r="A12" s="80" t="s">
        <v>150</v>
      </c>
      <c r="B12" s="81" t="s">
        <v>151</v>
      </c>
      <c r="C12" s="82"/>
      <c r="D12" s="83"/>
      <c r="E12" s="83"/>
      <c r="F12" s="84"/>
      <c r="G12" s="84"/>
      <c r="H12" s="84"/>
      <c r="I12" s="84"/>
      <c r="J12" s="86"/>
      <c r="K12" s="84"/>
      <c r="L12" s="84"/>
      <c r="M12" s="86"/>
      <c r="N12" s="86"/>
      <c r="O12" s="91"/>
      <c r="P12" s="84"/>
      <c r="Q12" s="84"/>
      <c r="R12" s="84"/>
      <c r="S12" s="84"/>
      <c r="T12" s="94" t="s">
        <v>156</v>
      </c>
      <c r="U12" s="84"/>
      <c r="V12" s="84"/>
      <c r="W12" s="84"/>
      <c r="X12" s="84"/>
      <c r="Y12" s="84"/>
      <c r="Z12" s="84"/>
      <c r="AA12" s="84"/>
      <c r="AB12" s="84"/>
      <c r="AC12" s="84"/>
      <c r="AD12" s="97"/>
      <c r="AE12" s="97"/>
      <c r="AF12" s="97"/>
      <c r="AG12" s="97"/>
      <c r="AH12" s="97"/>
      <c r="AI12" s="97"/>
      <c r="AJ12" s="97"/>
      <c r="AK12" s="97"/>
      <c r="AL12" s="97"/>
      <c r="AM12" s="97"/>
      <c r="AN12" s="97"/>
      <c r="AO12" s="97"/>
      <c r="AP12" s="97"/>
      <c r="AQ12" s="97"/>
      <c r="AR12" s="97"/>
      <c r="AS12" s="97"/>
      <c r="AT12" s="97"/>
      <c r="AU12" s="97"/>
      <c r="AV12" s="97"/>
      <c r="AW12" s="97"/>
      <c r="AX12" s="97"/>
    </row>
    <row r="13" ht="15.75" customHeight="1">
      <c r="A13" s="75" t="s">
        <v>161</v>
      </c>
      <c r="B13" s="75" t="s">
        <v>162</v>
      </c>
      <c r="C13" s="76" t="s">
        <v>163</v>
      </c>
      <c r="D13" s="45"/>
      <c r="E13" s="47"/>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row>
    <row r="14" ht="15.75" customHeight="1">
      <c r="A14" s="114" t="s">
        <v>170</v>
      </c>
      <c r="B14" s="116" t="s">
        <v>58</v>
      </c>
      <c r="C14" s="76" t="s">
        <v>175</v>
      </c>
      <c r="D14" s="76" t="s">
        <v>176</v>
      </c>
      <c r="E14" s="117" t="s">
        <v>178</v>
      </c>
      <c r="F14" s="76"/>
      <c r="G14" s="76"/>
      <c r="H14" s="76"/>
      <c r="I14" s="118"/>
      <c r="J14" s="120"/>
      <c r="K14" s="121" t="s">
        <v>182</v>
      </c>
      <c r="L14" s="121" t="s">
        <v>183</v>
      </c>
      <c r="M14" s="118"/>
      <c r="N14" s="118"/>
      <c r="O14" s="118"/>
      <c r="P14" s="118"/>
      <c r="Q14" s="114" t="s">
        <v>184</v>
      </c>
      <c r="R14" s="118"/>
      <c r="S14" s="118"/>
      <c r="T14" s="118"/>
      <c r="U14" s="118"/>
      <c r="V14" s="118"/>
      <c r="W14" s="118"/>
      <c r="X14" s="118"/>
      <c r="Y14" s="121" t="s">
        <v>187</v>
      </c>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row>
    <row r="15" ht="15.75" customHeight="1">
      <c r="A15" s="114" t="s">
        <v>188</v>
      </c>
      <c r="B15" s="116" t="s">
        <v>118</v>
      </c>
      <c r="C15" s="76" t="s">
        <v>189</v>
      </c>
      <c r="D15" s="76" t="s">
        <v>190</v>
      </c>
      <c r="E15" s="117" t="s">
        <v>191</v>
      </c>
      <c r="F15" s="76"/>
      <c r="G15" s="76"/>
      <c r="H15" s="76"/>
      <c r="I15" s="118"/>
      <c r="J15" s="122" t="s">
        <v>193</v>
      </c>
      <c r="K15" s="118"/>
      <c r="L15" s="118"/>
      <c r="M15" s="118"/>
      <c r="N15" s="118"/>
      <c r="O15" s="118"/>
      <c r="P15" s="118"/>
      <c r="Q15" s="114" t="s">
        <v>184</v>
      </c>
      <c r="R15" s="118"/>
      <c r="S15" s="118"/>
      <c r="T15" s="118"/>
      <c r="U15" s="118"/>
      <c r="V15" s="118"/>
      <c r="W15" s="118"/>
      <c r="X15" s="118"/>
      <c r="Y15" s="118"/>
      <c r="Z15" s="118"/>
      <c r="AA15" s="118"/>
      <c r="AB15" s="118"/>
      <c r="AC15" s="118"/>
      <c r="AD15" s="97"/>
      <c r="AE15" s="97"/>
      <c r="AF15" s="97"/>
      <c r="AG15" s="97"/>
      <c r="AH15" s="97"/>
      <c r="AI15" s="97"/>
      <c r="AJ15" s="97"/>
      <c r="AK15" s="97"/>
      <c r="AL15" s="97"/>
      <c r="AM15" s="97"/>
      <c r="AN15" s="97"/>
      <c r="AO15" s="97"/>
      <c r="AP15" s="97"/>
      <c r="AQ15" s="97"/>
      <c r="AR15" s="97"/>
      <c r="AS15" s="97"/>
      <c r="AT15" s="97"/>
      <c r="AU15" s="97"/>
      <c r="AV15" s="97"/>
      <c r="AW15" s="97"/>
      <c r="AX15" s="97"/>
    </row>
    <row r="16" ht="15.75" customHeight="1">
      <c r="A16" s="75" t="s">
        <v>204</v>
      </c>
      <c r="B16" s="75" t="s">
        <v>160</v>
      </c>
      <c r="C16" s="76" t="s">
        <v>195</v>
      </c>
      <c r="D16" s="76" t="s">
        <v>196</v>
      </c>
      <c r="E16" s="117" t="s">
        <v>197</v>
      </c>
      <c r="F16" s="76"/>
      <c r="G16" s="76"/>
      <c r="H16" s="76"/>
      <c r="I16" s="45"/>
      <c r="J16" s="122" t="s">
        <v>208</v>
      </c>
      <c r="K16" s="45"/>
      <c r="L16" s="45"/>
      <c r="M16" s="45"/>
      <c r="N16" s="45"/>
      <c r="O16" s="45"/>
      <c r="P16" s="45"/>
      <c r="Q16" s="75" t="s">
        <v>184</v>
      </c>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row>
    <row r="17" ht="15.75" customHeight="1">
      <c r="A17" s="75" t="s">
        <v>115</v>
      </c>
      <c r="B17" s="75" t="s">
        <v>224</v>
      </c>
      <c r="C17" s="76" t="s">
        <v>225</v>
      </c>
      <c r="D17" s="47"/>
      <c r="E17" s="47"/>
      <c r="F17" s="45"/>
      <c r="G17" s="45"/>
      <c r="H17" s="45"/>
      <c r="I17" s="45"/>
      <c r="J17" s="45"/>
      <c r="K17" s="45"/>
      <c r="L17" s="45"/>
      <c r="M17" s="45"/>
      <c r="N17" s="45"/>
      <c r="O17" s="45"/>
      <c r="P17" s="45"/>
      <c r="Q17" s="45"/>
      <c r="R17" s="45"/>
      <c r="S17" s="45"/>
      <c r="T17" s="75" t="s">
        <v>228</v>
      </c>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row>
    <row r="18" ht="15.75" customHeight="1">
      <c r="A18" s="75" t="s">
        <v>204</v>
      </c>
      <c r="B18" s="75" t="s">
        <v>234</v>
      </c>
      <c r="C18" s="76" t="s">
        <v>199</v>
      </c>
      <c r="D18" s="76" t="s">
        <v>201</v>
      </c>
      <c r="E18" s="117" t="s">
        <v>202</v>
      </c>
      <c r="F18" s="76"/>
      <c r="G18" s="76"/>
      <c r="H18" s="76"/>
      <c r="I18" s="45"/>
      <c r="J18" s="122" t="s">
        <v>208</v>
      </c>
      <c r="K18" s="45"/>
      <c r="L18" s="45"/>
      <c r="M18" s="45"/>
      <c r="N18" s="45"/>
      <c r="O18" s="45"/>
      <c r="P18" s="45"/>
      <c r="Q18" s="75" t="s">
        <v>184</v>
      </c>
      <c r="R18" s="45"/>
      <c r="S18" s="45"/>
      <c r="T18" s="45"/>
      <c r="U18" s="45"/>
      <c r="V18" s="45"/>
      <c r="W18" s="45"/>
      <c r="X18" s="45"/>
      <c r="Y18" s="7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row>
    <row r="19" ht="15.75" customHeight="1">
      <c r="A19" s="75" t="s">
        <v>115</v>
      </c>
      <c r="B19" s="75" t="s">
        <v>257</v>
      </c>
      <c r="C19" s="76" t="s">
        <v>225</v>
      </c>
      <c r="D19" s="47"/>
      <c r="E19" s="47"/>
      <c r="F19" s="45"/>
      <c r="G19" s="45"/>
      <c r="H19" s="45"/>
      <c r="I19" s="45"/>
      <c r="J19" s="45"/>
      <c r="K19" s="45"/>
      <c r="L19" s="45"/>
      <c r="M19" s="45"/>
      <c r="N19" s="45"/>
      <c r="O19" s="45"/>
      <c r="P19" s="45"/>
      <c r="Q19" s="45"/>
      <c r="R19" s="45"/>
      <c r="S19" s="45"/>
      <c r="T19" s="75" t="s">
        <v>262</v>
      </c>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row>
    <row r="20" ht="15.75" customHeight="1">
      <c r="A20" s="75" t="s">
        <v>266</v>
      </c>
      <c r="B20" s="75" t="s">
        <v>137</v>
      </c>
      <c r="C20" s="76" t="s">
        <v>205</v>
      </c>
      <c r="D20" s="76" t="s">
        <v>206</v>
      </c>
      <c r="E20" s="117" t="s">
        <v>207</v>
      </c>
      <c r="F20" s="76"/>
      <c r="G20" s="76"/>
      <c r="H20" s="76"/>
      <c r="I20" s="45"/>
      <c r="J20" s="75" t="s">
        <v>273</v>
      </c>
      <c r="K20" s="45"/>
      <c r="L20" s="45"/>
      <c r="M20" s="45"/>
      <c r="N20" s="45"/>
      <c r="O20" s="45"/>
      <c r="P20" s="45"/>
      <c r="Q20" s="75" t="s">
        <v>184</v>
      </c>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row>
    <row r="21" ht="15.75" customHeight="1">
      <c r="A21" s="75" t="s">
        <v>115</v>
      </c>
      <c r="B21" s="75" t="s">
        <v>139</v>
      </c>
      <c r="C21" s="76" t="s">
        <v>293</v>
      </c>
      <c r="D21" s="47"/>
      <c r="E21" s="47"/>
      <c r="F21" s="45"/>
      <c r="G21" s="45"/>
      <c r="H21" s="45"/>
      <c r="I21" s="45"/>
      <c r="J21" s="45"/>
      <c r="K21" s="45"/>
      <c r="L21" s="45"/>
      <c r="M21" s="45"/>
      <c r="N21" s="45"/>
      <c r="O21" s="45"/>
      <c r="P21" s="45"/>
      <c r="Q21" s="45"/>
      <c r="R21" s="45"/>
      <c r="S21" s="45"/>
      <c r="T21" s="75" t="s">
        <v>294</v>
      </c>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row>
    <row r="22" ht="15.75" customHeight="1">
      <c r="A22" s="131" t="s">
        <v>115</v>
      </c>
      <c r="B22" s="132" t="s">
        <v>302</v>
      </c>
      <c r="C22" s="133"/>
      <c r="D22" s="133"/>
      <c r="E22" s="133"/>
      <c r="F22" s="134"/>
      <c r="G22" s="134"/>
      <c r="H22" s="134"/>
      <c r="I22" s="134"/>
      <c r="J22" s="134"/>
      <c r="K22" s="134"/>
      <c r="L22" s="134"/>
      <c r="M22" s="134"/>
      <c r="N22" s="134"/>
      <c r="O22" s="134"/>
      <c r="P22" s="134"/>
      <c r="Q22" s="134"/>
      <c r="R22" s="134"/>
      <c r="S22" s="134"/>
      <c r="T22" s="75" t="s">
        <v>303</v>
      </c>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row>
    <row r="23" ht="15.75" customHeight="1">
      <c r="A23" s="75" t="s">
        <v>115</v>
      </c>
      <c r="B23" s="75" t="s">
        <v>138</v>
      </c>
      <c r="C23" s="76"/>
      <c r="D23" s="135"/>
      <c r="E23" s="135"/>
      <c r="F23" s="45"/>
      <c r="G23" s="45"/>
      <c r="H23" s="45"/>
      <c r="I23" s="45"/>
      <c r="J23" s="75"/>
      <c r="K23" s="45"/>
      <c r="L23" s="45"/>
      <c r="M23" s="45"/>
      <c r="N23" s="45"/>
      <c r="O23" s="45"/>
      <c r="P23" s="45"/>
      <c r="Q23" s="75"/>
      <c r="R23" s="45"/>
      <c r="S23" s="45"/>
      <c r="T23" s="75" t="s">
        <v>315</v>
      </c>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row>
    <row r="24" ht="15.75" customHeight="1">
      <c r="A24" s="75" t="s">
        <v>319</v>
      </c>
      <c r="B24" s="75" t="s">
        <v>147</v>
      </c>
      <c r="C24" s="76" t="s">
        <v>214</v>
      </c>
      <c r="D24" s="76" t="s">
        <v>215</v>
      </c>
      <c r="E24" s="117" t="s">
        <v>216</v>
      </c>
      <c r="F24" s="76"/>
      <c r="G24" s="76"/>
      <c r="H24" s="76"/>
      <c r="I24" s="45"/>
      <c r="J24" s="75" t="s">
        <v>325</v>
      </c>
      <c r="K24" s="45"/>
      <c r="L24" s="45"/>
      <c r="M24" s="45"/>
      <c r="N24" s="45"/>
      <c r="O24" s="45"/>
      <c r="P24" s="45"/>
      <c r="Q24" s="75" t="s">
        <v>184</v>
      </c>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row>
    <row r="25" ht="15.75" customHeight="1">
      <c r="A25" s="75" t="s">
        <v>115</v>
      </c>
      <c r="B25" s="75" t="s">
        <v>149</v>
      </c>
      <c r="C25" s="76" t="s">
        <v>326</v>
      </c>
      <c r="D25" s="45"/>
      <c r="E25" s="47"/>
      <c r="F25" s="45"/>
      <c r="G25" s="45"/>
      <c r="H25" s="45"/>
      <c r="I25" s="45"/>
      <c r="J25" s="45"/>
      <c r="K25" s="45"/>
      <c r="L25" s="45"/>
      <c r="M25" s="45"/>
      <c r="N25" s="45"/>
      <c r="O25" s="45"/>
      <c r="P25" s="45"/>
      <c r="Q25" s="45"/>
      <c r="R25" s="45"/>
      <c r="S25" s="45"/>
      <c r="T25" s="75" t="s">
        <v>339</v>
      </c>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row>
    <row r="26" ht="15.75" customHeight="1">
      <c r="A26" s="75" t="s">
        <v>115</v>
      </c>
      <c r="B26" s="75" t="s">
        <v>330</v>
      </c>
      <c r="C26" s="76"/>
      <c r="D26" s="45"/>
      <c r="E26" s="47"/>
      <c r="F26" s="45"/>
      <c r="G26" s="45"/>
      <c r="H26" s="45"/>
      <c r="I26" s="45"/>
      <c r="J26" s="45"/>
      <c r="K26" s="45"/>
      <c r="L26" s="45"/>
      <c r="M26" s="45"/>
      <c r="N26" s="45"/>
      <c r="O26" s="45"/>
      <c r="P26" s="45"/>
      <c r="Q26" s="45"/>
      <c r="R26" s="45"/>
      <c r="S26" s="45"/>
      <c r="T26" s="75" t="s">
        <v>347</v>
      </c>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row>
    <row r="27" ht="15.75" customHeight="1">
      <c r="A27" s="75" t="s">
        <v>115</v>
      </c>
      <c r="B27" s="75" t="s">
        <v>337</v>
      </c>
      <c r="C27" s="76"/>
      <c r="D27" s="45"/>
      <c r="E27" s="47"/>
      <c r="F27" s="45"/>
      <c r="G27" s="45"/>
      <c r="H27" s="45"/>
      <c r="I27" s="45"/>
      <c r="J27" s="45"/>
      <c r="K27" s="45"/>
      <c r="L27" s="45"/>
      <c r="M27" s="45"/>
      <c r="N27" s="45"/>
      <c r="O27" s="45"/>
      <c r="P27" s="45"/>
      <c r="Q27" s="45"/>
      <c r="R27" s="45"/>
      <c r="S27" s="45"/>
      <c r="T27" s="75" t="s">
        <v>370</v>
      </c>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row>
    <row r="28" ht="15.75" customHeight="1">
      <c r="A28" s="75" t="s">
        <v>343</v>
      </c>
      <c r="B28" s="75" t="s">
        <v>162</v>
      </c>
      <c r="C28" s="76" t="s">
        <v>163</v>
      </c>
      <c r="D28" s="45"/>
      <c r="E28" s="47"/>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row>
    <row r="29" ht="15.75" customHeight="1">
      <c r="A29" s="45"/>
      <c r="B29" s="45"/>
      <c r="C29" s="46"/>
      <c r="D29" s="45"/>
      <c r="E29" s="47"/>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row>
    <row r="30" ht="15.75" customHeight="1">
      <c r="A30" s="75" t="s">
        <v>161</v>
      </c>
      <c r="B30" s="75" t="s">
        <v>143</v>
      </c>
      <c r="C30" s="46"/>
      <c r="D30" s="45"/>
      <c r="E30" s="47"/>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row>
    <row r="31" ht="15.75" customHeight="1">
      <c r="A31" s="131" t="s">
        <v>115</v>
      </c>
      <c r="B31" s="142" t="s">
        <v>359</v>
      </c>
      <c r="C31" s="138"/>
      <c r="D31" s="139"/>
      <c r="E31" s="139"/>
      <c r="F31" s="139"/>
      <c r="G31" s="139"/>
      <c r="H31" s="139"/>
      <c r="I31" s="139"/>
      <c r="J31" s="139"/>
      <c r="K31" s="139"/>
      <c r="L31" s="139"/>
      <c r="M31" s="139"/>
      <c r="N31" s="139"/>
      <c r="O31" s="139"/>
      <c r="P31" s="139"/>
      <c r="Q31" s="139"/>
      <c r="R31" s="139"/>
      <c r="S31" s="139"/>
      <c r="T31" s="142" t="s">
        <v>444</v>
      </c>
      <c r="U31" s="139"/>
      <c r="V31" s="139"/>
      <c r="W31" s="139"/>
      <c r="X31" s="139"/>
      <c r="Y31" s="139"/>
      <c r="Z31" s="139"/>
      <c r="AA31" s="139"/>
      <c r="AB31" s="139"/>
      <c r="AC31" s="139"/>
      <c r="AD31" s="144"/>
      <c r="AE31" s="144"/>
      <c r="AF31" s="144"/>
      <c r="AG31" s="144"/>
      <c r="AH31" s="144"/>
      <c r="AI31" s="144"/>
      <c r="AJ31" s="144"/>
      <c r="AK31" s="144"/>
      <c r="AL31" s="144"/>
      <c r="AM31" s="144"/>
      <c r="AN31" s="144"/>
      <c r="AO31" s="144"/>
      <c r="AP31" s="144"/>
      <c r="AQ31" s="144"/>
      <c r="AR31" s="144"/>
      <c r="AS31" s="144"/>
      <c r="AT31" s="144"/>
      <c r="AU31" s="144"/>
      <c r="AV31" s="144"/>
      <c r="AW31" s="144"/>
      <c r="AX31" s="144"/>
    </row>
    <row r="32" ht="15.75" customHeight="1">
      <c r="A32" s="131" t="s">
        <v>115</v>
      </c>
      <c r="B32" s="142" t="s">
        <v>366</v>
      </c>
      <c r="C32" s="138"/>
      <c r="D32" s="140"/>
      <c r="E32" s="140"/>
      <c r="F32" s="140"/>
      <c r="G32" s="139"/>
      <c r="H32" s="139"/>
      <c r="I32" s="139"/>
      <c r="J32" s="140"/>
      <c r="K32" s="140"/>
      <c r="L32" s="140"/>
      <c r="M32" s="139"/>
      <c r="N32" s="139"/>
      <c r="O32" s="139"/>
      <c r="P32" s="139"/>
      <c r="Q32" s="139"/>
      <c r="R32" s="139"/>
      <c r="S32" s="139"/>
      <c r="T32" s="142" t="s">
        <v>472</v>
      </c>
      <c r="U32" s="139"/>
      <c r="V32" s="139"/>
      <c r="W32" s="139"/>
      <c r="X32" s="139"/>
      <c r="Y32" s="139"/>
      <c r="Z32" s="139"/>
      <c r="AA32" s="139"/>
      <c r="AB32" s="139"/>
      <c r="AC32" s="139"/>
      <c r="AD32" s="144"/>
      <c r="AE32" s="144"/>
      <c r="AF32" s="144"/>
      <c r="AG32" s="144"/>
      <c r="AH32" s="144"/>
      <c r="AI32" s="144"/>
      <c r="AJ32" s="144"/>
      <c r="AK32" s="144"/>
      <c r="AL32" s="144"/>
      <c r="AM32" s="144"/>
      <c r="AN32" s="144"/>
      <c r="AO32" s="144"/>
      <c r="AP32" s="144"/>
      <c r="AQ32" s="144"/>
      <c r="AR32" s="144"/>
      <c r="AS32" s="144"/>
      <c r="AT32" s="144"/>
      <c r="AU32" s="144"/>
      <c r="AV32" s="144"/>
      <c r="AW32" s="144"/>
      <c r="AX32" s="144"/>
    </row>
    <row r="33" ht="15.75" customHeight="1">
      <c r="A33" s="131" t="s">
        <v>115</v>
      </c>
      <c r="B33" s="142" t="s">
        <v>371</v>
      </c>
      <c r="C33" s="138"/>
      <c r="D33" s="140"/>
      <c r="E33" s="140"/>
      <c r="F33" s="140"/>
      <c r="G33" s="139"/>
      <c r="H33" s="139"/>
      <c r="I33" s="139"/>
      <c r="J33" s="140"/>
      <c r="K33" s="140"/>
      <c r="L33" s="140"/>
      <c r="M33" s="139"/>
      <c r="N33" s="139"/>
      <c r="O33" s="139"/>
      <c r="P33" s="139"/>
      <c r="Q33" s="139"/>
      <c r="R33" s="139"/>
      <c r="S33" s="139"/>
      <c r="T33" s="142" t="s">
        <v>484</v>
      </c>
      <c r="U33" s="139"/>
      <c r="V33" s="139"/>
      <c r="W33" s="139"/>
      <c r="X33" s="139"/>
      <c r="Y33" s="139"/>
      <c r="Z33" s="139"/>
      <c r="AA33" s="139"/>
      <c r="AB33" s="139"/>
      <c r="AC33" s="139"/>
      <c r="AD33" s="144"/>
      <c r="AE33" s="144"/>
      <c r="AF33" s="144"/>
      <c r="AG33" s="144"/>
      <c r="AH33" s="144"/>
      <c r="AI33" s="144"/>
      <c r="AJ33" s="144"/>
      <c r="AK33" s="144"/>
      <c r="AL33" s="144"/>
      <c r="AM33" s="144"/>
      <c r="AN33" s="144"/>
      <c r="AO33" s="144"/>
      <c r="AP33" s="144"/>
      <c r="AQ33" s="144"/>
      <c r="AR33" s="144"/>
      <c r="AS33" s="144"/>
      <c r="AT33" s="144"/>
      <c r="AU33" s="144"/>
      <c r="AV33" s="144"/>
      <c r="AW33" s="144"/>
      <c r="AX33" s="144"/>
    </row>
    <row r="34" ht="15.75" customHeight="1">
      <c r="A34" s="131" t="s">
        <v>115</v>
      </c>
      <c r="B34" s="142" t="s">
        <v>507</v>
      </c>
      <c r="C34" s="138"/>
      <c r="D34" s="138"/>
      <c r="E34" s="138"/>
      <c r="F34" s="138"/>
      <c r="G34" s="138"/>
      <c r="H34" s="138"/>
      <c r="I34" s="139"/>
      <c r="J34" s="140"/>
      <c r="K34" s="140"/>
      <c r="L34" s="140"/>
      <c r="M34" s="139"/>
      <c r="N34" s="139"/>
      <c r="O34" s="139"/>
      <c r="P34" s="139"/>
      <c r="Q34" s="139"/>
      <c r="R34" s="139"/>
      <c r="S34" s="139"/>
      <c r="T34" s="142" t="s">
        <v>515</v>
      </c>
      <c r="U34" s="139"/>
      <c r="V34" s="139"/>
      <c r="W34" s="139"/>
      <c r="X34" s="139"/>
      <c r="Y34" s="139"/>
      <c r="Z34" s="139"/>
      <c r="AA34" s="139"/>
      <c r="AB34" s="139"/>
      <c r="AC34" s="139"/>
      <c r="AD34" s="144"/>
      <c r="AE34" s="144"/>
      <c r="AF34" s="144"/>
      <c r="AG34" s="144"/>
      <c r="AH34" s="144"/>
      <c r="AI34" s="144"/>
      <c r="AJ34" s="144"/>
      <c r="AK34" s="144"/>
      <c r="AL34" s="144"/>
      <c r="AM34" s="144"/>
      <c r="AN34" s="144"/>
      <c r="AO34" s="144"/>
      <c r="AP34" s="144"/>
      <c r="AQ34" s="144"/>
      <c r="AR34" s="144"/>
      <c r="AS34" s="144"/>
      <c r="AT34" s="144"/>
      <c r="AU34" s="144"/>
      <c r="AV34" s="144"/>
      <c r="AW34" s="144"/>
      <c r="AX34" s="144"/>
    </row>
    <row r="35" ht="15.75" customHeight="1">
      <c r="A35" s="131" t="s">
        <v>115</v>
      </c>
      <c r="B35" s="142" t="s">
        <v>528</v>
      </c>
      <c r="C35" s="138"/>
      <c r="D35" s="138"/>
      <c r="E35" s="138"/>
      <c r="F35" s="138"/>
      <c r="G35" s="138"/>
      <c r="H35" s="138"/>
      <c r="I35" s="139"/>
      <c r="J35" s="140"/>
      <c r="K35" s="140"/>
      <c r="L35" s="140"/>
      <c r="M35" s="139"/>
      <c r="N35" s="139"/>
      <c r="O35" s="139"/>
      <c r="P35" s="139"/>
      <c r="Q35" s="139"/>
      <c r="R35" s="139"/>
      <c r="S35" s="139"/>
      <c r="T35" s="142" t="s">
        <v>531</v>
      </c>
      <c r="U35" s="139"/>
      <c r="V35" s="139"/>
      <c r="W35" s="139"/>
      <c r="X35" s="139"/>
      <c r="Y35" s="139"/>
      <c r="Z35" s="139"/>
      <c r="AA35" s="139"/>
      <c r="AB35" s="139"/>
      <c r="AC35" s="139"/>
      <c r="AD35" s="144"/>
      <c r="AE35" s="144"/>
      <c r="AF35" s="144"/>
      <c r="AG35" s="144"/>
      <c r="AH35" s="144"/>
      <c r="AI35" s="144"/>
      <c r="AJ35" s="144"/>
      <c r="AK35" s="144"/>
      <c r="AL35" s="144"/>
      <c r="AM35" s="144"/>
      <c r="AN35" s="144"/>
      <c r="AO35" s="144"/>
      <c r="AP35" s="144"/>
      <c r="AQ35" s="144"/>
      <c r="AR35" s="144"/>
      <c r="AS35" s="144"/>
      <c r="AT35" s="144"/>
      <c r="AU35" s="144"/>
      <c r="AV35" s="144"/>
      <c r="AW35" s="144"/>
      <c r="AX35" s="144"/>
    </row>
    <row r="36" ht="15.75" customHeight="1">
      <c r="A36" s="131" t="s">
        <v>115</v>
      </c>
      <c r="B36" s="142" t="s">
        <v>542</v>
      </c>
      <c r="C36" s="138"/>
      <c r="D36" s="138"/>
      <c r="E36" s="138"/>
      <c r="F36" s="138"/>
      <c r="G36" s="138"/>
      <c r="H36" s="138"/>
      <c r="I36" s="139"/>
      <c r="J36" s="140"/>
      <c r="K36" s="140"/>
      <c r="L36" s="140"/>
      <c r="M36" s="139"/>
      <c r="N36" s="139"/>
      <c r="O36" s="139"/>
      <c r="P36" s="139"/>
      <c r="Q36" s="139"/>
      <c r="R36" s="139"/>
      <c r="S36" s="139"/>
      <c r="T36" s="142" t="s">
        <v>550</v>
      </c>
      <c r="U36" s="139"/>
      <c r="V36" s="139"/>
      <c r="W36" s="139"/>
      <c r="X36" s="139"/>
      <c r="Y36" s="139"/>
      <c r="Z36" s="139"/>
      <c r="AA36" s="139"/>
      <c r="AB36" s="139"/>
      <c r="AC36" s="139"/>
      <c r="AD36" s="144"/>
      <c r="AE36" s="144"/>
      <c r="AF36" s="144"/>
      <c r="AG36" s="144"/>
      <c r="AH36" s="144"/>
      <c r="AI36" s="144"/>
      <c r="AJ36" s="144"/>
      <c r="AK36" s="144"/>
      <c r="AL36" s="144"/>
      <c r="AM36" s="144"/>
      <c r="AN36" s="144"/>
      <c r="AO36" s="144"/>
      <c r="AP36" s="144"/>
      <c r="AQ36" s="144"/>
      <c r="AR36" s="144"/>
      <c r="AS36" s="144"/>
      <c r="AT36" s="144"/>
      <c r="AU36" s="144"/>
      <c r="AV36" s="144"/>
      <c r="AW36" s="144"/>
      <c r="AX36" s="144"/>
    </row>
    <row r="37" ht="15.75" customHeight="1">
      <c r="A37" s="131" t="s">
        <v>115</v>
      </c>
      <c r="B37" s="142" t="s">
        <v>378</v>
      </c>
      <c r="C37" s="138"/>
      <c r="D37" s="138"/>
      <c r="E37" s="138"/>
      <c r="F37" s="138"/>
      <c r="G37" s="138"/>
      <c r="H37" s="138"/>
      <c r="I37" s="139"/>
      <c r="J37" s="140"/>
      <c r="K37" s="140"/>
      <c r="L37" s="140"/>
      <c r="M37" s="139"/>
      <c r="N37" s="139"/>
      <c r="O37" s="139"/>
      <c r="P37" s="139"/>
      <c r="Q37" s="140"/>
      <c r="R37" s="148"/>
      <c r="S37" s="139"/>
      <c r="T37" s="149" t="s">
        <v>555</v>
      </c>
      <c r="U37" s="139"/>
      <c r="V37" s="139"/>
      <c r="W37" s="139"/>
      <c r="X37" s="139"/>
      <c r="Y37" s="139"/>
      <c r="Z37" s="139"/>
      <c r="AA37" s="139"/>
      <c r="AB37" s="139"/>
      <c r="AC37" s="139"/>
      <c r="AD37" s="144"/>
      <c r="AE37" s="144"/>
      <c r="AF37" s="144"/>
      <c r="AG37" s="144"/>
      <c r="AH37" s="144"/>
      <c r="AI37" s="144"/>
      <c r="AJ37" s="144"/>
      <c r="AK37" s="144"/>
      <c r="AL37" s="144"/>
      <c r="AM37" s="144"/>
      <c r="AN37" s="144"/>
      <c r="AO37" s="144"/>
      <c r="AP37" s="144"/>
      <c r="AQ37" s="144"/>
      <c r="AR37" s="144"/>
      <c r="AS37" s="144"/>
      <c r="AT37" s="144"/>
      <c r="AU37" s="144"/>
      <c r="AV37" s="144"/>
      <c r="AW37" s="144"/>
      <c r="AX37" s="144"/>
    </row>
    <row r="38" ht="15.75" customHeight="1">
      <c r="A38" s="131" t="s">
        <v>115</v>
      </c>
      <c r="B38" s="142" t="s">
        <v>384</v>
      </c>
      <c r="C38" s="138"/>
      <c r="D38" s="138"/>
      <c r="E38" s="138"/>
      <c r="F38" s="138"/>
      <c r="G38" s="138"/>
      <c r="H38" s="138"/>
      <c r="I38" s="139"/>
      <c r="J38" s="140"/>
      <c r="K38" s="140"/>
      <c r="L38" s="140"/>
      <c r="M38" s="139"/>
      <c r="N38" s="139"/>
      <c r="O38" s="139"/>
      <c r="P38" s="139"/>
      <c r="Q38" s="140"/>
      <c r="R38" s="148"/>
      <c r="S38" s="139"/>
      <c r="T38" s="149" t="s">
        <v>568</v>
      </c>
      <c r="U38" s="139"/>
      <c r="V38" s="139"/>
      <c r="W38" s="139"/>
      <c r="X38" s="139"/>
      <c r="Y38" s="139"/>
      <c r="Z38" s="139"/>
      <c r="AA38" s="139"/>
      <c r="AB38" s="139"/>
      <c r="AC38" s="139"/>
      <c r="AD38" s="144"/>
      <c r="AE38" s="144"/>
      <c r="AF38" s="144"/>
      <c r="AG38" s="144"/>
      <c r="AH38" s="144"/>
      <c r="AI38" s="144"/>
      <c r="AJ38" s="144"/>
      <c r="AK38" s="144"/>
      <c r="AL38" s="144"/>
      <c r="AM38" s="144"/>
      <c r="AN38" s="144"/>
      <c r="AO38" s="144"/>
      <c r="AP38" s="144"/>
      <c r="AQ38" s="144"/>
      <c r="AR38" s="144"/>
      <c r="AS38" s="144"/>
      <c r="AT38" s="144"/>
      <c r="AU38" s="144"/>
      <c r="AV38" s="144"/>
      <c r="AW38" s="144"/>
      <c r="AX38" s="144"/>
    </row>
    <row r="39" ht="15.75" customHeight="1">
      <c r="A39" s="131" t="s">
        <v>115</v>
      </c>
      <c r="B39" s="142" t="s">
        <v>395</v>
      </c>
      <c r="C39" s="138"/>
      <c r="D39" s="138"/>
      <c r="E39" s="138"/>
      <c r="F39" s="138"/>
      <c r="G39" s="138"/>
      <c r="H39" s="138"/>
      <c r="I39" s="139"/>
      <c r="J39" s="140"/>
      <c r="K39" s="140"/>
      <c r="L39" s="140"/>
      <c r="M39" s="139"/>
      <c r="N39" s="139"/>
      <c r="O39" s="139"/>
      <c r="P39" s="139"/>
      <c r="Q39" s="140"/>
      <c r="R39" s="148"/>
      <c r="S39" s="139"/>
      <c r="T39" s="149" t="s">
        <v>585</v>
      </c>
      <c r="U39" s="139"/>
      <c r="V39" s="139"/>
      <c r="W39" s="139"/>
      <c r="X39" s="139"/>
      <c r="Y39" s="139"/>
      <c r="Z39" s="139"/>
      <c r="AA39" s="139"/>
      <c r="AB39" s="139"/>
      <c r="AC39" s="139"/>
      <c r="AD39" s="144"/>
      <c r="AE39" s="144"/>
      <c r="AF39" s="144"/>
      <c r="AG39" s="144"/>
      <c r="AH39" s="144"/>
      <c r="AI39" s="144"/>
      <c r="AJ39" s="144"/>
      <c r="AK39" s="144"/>
      <c r="AL39" s="144"/>
      <c r="AM39" s="144"/>
      <c r="AN39" s="144"/>
      <c r="AO39" s="144"/>
      <c r="AP39" s="144"/>
      <c r="AQ39" s="144"/>
      <c r="AR39" s="144"/>
      <c r="AS39" s="144"/>
      <c r="AT39" s="144"/>
      <c r="AU39" s="144"/>
      <c r="AV39" s="144"/>
      <c r="AW39" s="144"/>
      <c r="AX39" s="144"/>
    </row>
    <row r="40" ht="15.75" customHeight="1">
      <c r="A40" s="75" t="s">
        <v>402</v>
      </c>
      <c r="B40" s="75" t="s">
        <v>198</v>
      </c>
      <c r="C40" s="76" t="s">
        <v>219</v>
      </c>
      <c r="D40" s="76" t="s">
        <v>226</v>
      </c>
      <c r="E40" s="117" t="s">
        <v>227</v>
      </c>
      <c r="F40" s="76" t="s">
        <v>597</v>
      </c>
      <c r="G40" s="76" t="s">
        <v>599</v>
      </c>
      <c r="H40" s="76" t="s">
        <v>601</v>
      </c>
      <c r="I40" s="45"/>
      <c r="J40" s="75" t="s">
        <v>604</v>
      </c>
      <c r="K40" s="75"/>
      <c r="L40" s="75"/>
      <c r="M40" s="45"/>
      <c r="N40" s="45"/>
      <c r="O40" s="45"/>
      <c r="P40" s="45"/>
      <c r="Q40" s="75" t="s">
        <v>184</v>
      </c>
      <c r="R40" s="141"/>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row>
    <row r="41" ht="15.75" customHeight="1">
      <c r="A41" s="80" t="s">
        <v>115</v>
      </c>
      <c r="B41" s="91" t="s">
        <v>203</v>
      </c>
      <c r="C41" s="82"/>
      <c r="D41" s="81"/>
      <c r="E41" s="81"/>
      <c r="F41" s="84"/>
      <c r="G41" s="84"/>
      <c r="H41" s="84"/>
      <c r="I41" s="84"/>
      <c r="J41" s="86"/>
      <c r="K41" s="150"/>
      <c r="L41" s="84"/>
      <c r="M41" s="86"/>
      <c r="N41" s="84"/>
      <c r="O41" s="84"/>
      <c r="P41" s="84"/>
      <c r="Q41" s="150"/>
      <c r="R41" s="84"/>
      <c r="S41" s="84"/>
      <c r="T41" s="151" t="s">
        <v>627</v>
      </c>
      <c r="U41" s="84"/>
      <c r="V41" s="84"/>
      <c r="W41" s="84"/>
      <c r="X41" s="84"/>
      <c r="Y41" s="84"/>
      <c r="Z41" s="84"/>
      <c r="AA41" s="84"/>
      <c r="AB41" s="97"/>
      <c r="AC41" s="97"/>
      <c r="AD41" s="97"/>
      <c r="AE41" s="97"/>
      <c r="AF41" s="97"/>
      <c r="AG41" s="97"/>
      <c r="AH41" s="97"/>
      <c r="AI41" s="97"/>
      <c r="AJ41" s="97"/>
      <c r="AK41" s="97"/>
      <c r="AL41" s="97"/>
      <c r="AM41" s="97"/>
      <c r="AN41" s="97"/>
      <c r="AO41" s="97"/>
      <c r="AP41" s="97"/>
      <c r="AQ41" s="97"/>
      <c r="AR41" s="97"/>
      <c r="AS41" s="97"/>
      <c r="AT41" s="97"/>
      <c r="AU41" s="97"/>
      <c r="AV41" s="97"/>
      <c r="AW41" s="97"/>
      <c r="AX41" s="97"/>
    </row>
    <row r="42" ht="15.75" customHeight="1">
      <c r="A42" s="80" t="s">
        <v>115</v>
      </c>
      <c r="B42" s="91" t="s">
        <v>414</v>
      </c>
      <c r="C42" s="82"/>
      <c r="D42" s="81"/>
      <c r="E42" s="81"/>
      <c r="F42" s="84"/>
      <c r="G42" s="84"/>
      <c r="H42" s="84"/>
      <c r="I42" s="84"/>
      <c r="J42" s="86"/>
      <c r="K42" s="150"/>
      <c r="L42" s="84"/>
      <c r="M42" s="86"/>
      <c r="N42" s="84"/>
      <c r="O42" s="84"/>
      <c r="P42" s="84"/>
      <c r="Q42" s="150"/>
      <c r="R42" s="84"/>
      <c r="S42" s="84"/>
      <c r="T42" s="151" t="s">
        <v>655</v>
      </c>
      <c r="U42" s="84"/>
      <c r="V42" s="84"/>
      <c r="W42" s="84"/>
      <c r="X42" s="84"/>
      <c r="Y42" s="84"/>
      <c r="Z42" s="84"/>
      <c r="AA42" s="84"/>
      <c r="AB42" s="97"/>
      <c r="AC42" s="97"/>
      <c r="AD42" s="97"/>
      <c r="AE42" s="97"/>
      <c r="AF42" s="97"/>
      <c r="AG42" s="97"/>
      <c r="AH42" s="97"/>
      <c r="AI42" s="97"/>
      <c r="AJ42" s="97"/>
      <c r="AK42" s="97"/>
      <c r="AL42" s="97"/>
      <c r="AM42" s="97"/>
      <c r="AN42" s="97"/>
      <c r="AO42" s="97"/>
      <c r="AP42" s="97"/>
      <c r="AQ42" s="97"/>
      <c r="AR42" s="97"/>
      <c r="AS42" s="97"/>
      <c r="AT42" s="97"/>
      <c r="AU42" s="97"/>
      <c r="AV42" s="97"/>
      <c r="AW42" s="97"/>
      <c r="AX42" s="97"/>
    </row>
    <row r="43" ht="15.75" customHeight="1">
      <c r="A43" s="80" t="s">
        <v>115</v>
      </c>
      <c r="B43" s="91" t="s">
        <v>420</v>
      </c>
      <c r="C43" s="141"/>
      <c r="D43" s="81"/>
      <c r="E43" s="81"/>
      <c r="F43" s="84"/>
      <c r="G43" s="84"/>
      <c r="H43" s="84"/>
      <c r="I43" s="84"/>
      <c r="J43" s="86"/>
      <c r="K43" s="150"/>
      <c r="L43" s="84"/>
      <c r="M43" s="86"/>
      <c r="N43" s="84"/>
      <c r="O43" s="84"/>
      <c r="P43" s="84"/>
      <c r="Q43" s="150"/>
      <c r="R43" s="84"/>
      <c r="S43" s="84"/>
      <c r="T43" s="151" t="s">
        <v>671</v>
      </c>
      <c r="U43" s="84"/>
      <c r="V43" s="84"/>
      <c r="W43" s="84"/>
      <c r="X43" s="84"/>
      <c r="Y43" s="84"/>
      <c r="Z43" s="84"/>
      <c r="AA43" s="84"/>
      <c r="AB43" s="97"/>
      <c r="AC43" s="97"/>
      <c r="AD43" s="97"/>
      <c r="AE43" s="97"/>
      <c r="AF43" s="97"/>
      <c r="AG43" s="97"/>
      <c r="AH43" s="97"/>
      <c r="AI43" s="97"/>
      <c r="AJ43" s="97"/>
      <c r="AK43" s="97"/>
      <c r="AL43" s="97"/>
      <c r="AM43" s="97"/>
      <c r="AN43" s="97"/>
      <c r="AO43" s="97"/>
      <c r="AP43" s="97"/>
      <c r="AQ43" s="97"/>
      <c r="AR43" s="97"/>
      <c r="AS43" s="97"/>
      <c r="AT43" s="97"/>
      <c r="AU43" s="97"/>
      <c r="AV43" s="97"/>
      <c r="AW43" s="97"/>
      <c r="AX43" s="97"/>
    </row>
    <row r="44" ht="15.75" customHeight="1">
      <c r="A44" s="80" t="s">
        <v>115</v>
      </c>
      <c r="B44" s="91" t="s">
        <v>449</v>
      </c>
      <c r="C44" s="82"/>
      <c r="D44" s="81"/>
      <c r="E44" s="81"/>
      <c r="F44" s="84"/>
      <c r="G44" s="84"/>
      <c r="H44" s="84"/>
      <c r="I44" s="84"/>
      <c r="J44" s="86"/>
      <c r="K44" s="150"/>
      <c r="L44" s="84"/>
      <c r="M44" s="86"/>
      <c r="N44" s="84"/>
      <c r="O44" s="84"/>
      <c r="P44" s="84"/>
      <c r="Q44" s="150"/>
      <c r="R44" s="84"/>
      <c r="S44" s="84"/>
      <c r="T44" s="151" t="s">
        <v>688</v>
      </c>
      <c r="U44" s="84"/>
      <c r="V44" s="84"/>
      <c r="W44" s="84"/>
      <c r="X44" s="84"/>
      <c r="Y44" s="84"/>
      <c r="Z44" s="84"/>
      <c r="AA44" s="84"/>
      <c r="AB44" s="97"/>
      <c r="AC44" s="97"/>
      <c r="AD44" s="97"/>
      <c r="AE44" s="97"/>
      <c r="AF44" s="97"/>
      <c r="AG44" s="97"/>
      <c r="AH44" s="97"/>
      <c r="AI44" s="97"/>
      <c r="AJ44" s="97"/>
      <c r="AK44" s="97"/>
      <c r="AL44" s="97"/>
      <c r="AM44" s="97"/>
      <c r="AN44" s="97"/>
      <c r="AO44" s="97"/>
      <c r="AP44" s="97"/>
      <c r="AQ44" s="97"/>
      <c r="AR44" s="97"/>
      <c r="AS44" s="97"/>
      <c r="AT44" s="97"/>
      <c r="AU44" s="97"/>
      <c r="AV44" s="97"/>
      <c r="AW44" s="97"/>
      <c r="AX44" s="97"/>
    </row>
    <row r="45" ht="15.75" customHeight="1">
      <c r="A45" s="80" t="s">
        <v>115</v>
      </c>
      <c r="B45" s="91" t="s">
        <v>454</v>
      </c>
      <c r="C45" s="81"/>
      <c r="D45" s="81"/>
      <c r="E45" s="81"/>
      <c r="F45" s="84"/>
      <c r="G45" s="84"/>
      <c r="H45" s="84"/>
      <c r="I45" s="84"/>
      <c r="J45" s="86"/>
      <c r="K45" s="150"/>
      <c r="L45" s="84"/>
      <c r="M45" s="86"/>
      <c r="N45" s="84"/>
      <c r="O45" s="84"/>
      <c r="P45" s="84"/>
      <c r="Q45" s="150"/>
      <c r="R45" s="84"/>
      <c r="S45" s="84"/>
      <c r="T45" s="151" t="s">
        <v>706</v>
      </c>
      <c r="U45" s="84"/>
      <c r="V45" s="84"/>
      <c r="W45" s="84"/>
      <c r="X45" s="84"/>
      <c r="Y45" s="80"/>
      <c r="Z45" s="84"/>
      <c r="AA45" s="84"/>
      <c r="AB45" s="97"/>
      <c r="AC45" s="97"/>
      <c r="AD45" s="97"/>
      <c r="AE45" s="97"/>
      <c r="AF45" s="97"/>
      <c r="AG45" s="97"/>
      <c r="AH45" s="97"/>
      <c r="AI45" s="97"/>
      <c r="AJ45" s="97"/>
      <c r="AK45" s="97"/>
      <c r="AL45" s="97"/>
      <c r="AM45" s="97"/>
      <c r="AN45" s="97"/>
      <c r="AO45" s="97"/>
      <c r="AP45" s="97"/>
      <c r="AQ45" s="97"/>
      <c r="AR45" s="97"/>
      <c r="AS45" s="97"/>
      <c r="AT45" s="97"/>
      <c r="AU45" s="97"/>
      <c r="AV45" s="97"/>
      <c r="AW45" s="97"/>
      <c r="AX45" s="97"/>
    </row>
    <row r="46" ht="15.75" customHeight="1">
      <c r="A46" s="80" t="s">
        <v>115</v>
      </c>
      <c r="B46" s="91" t="s">
        <v>458</v>
      </c>
      <c r="C46" s="81"/>
      <c r="D46" s="81"/>
      <c r="E46" s="81"/>
      <c r="F46" s="84"/>
      <c r="G46" s="84"/>
      <c r="H46" s="84"/>
      <c r="I46" s="84"/>
      <c r="J46" s="86"/>
      <c r="K46" s="150"/>
      <c r="L46" s="84"/>
      <c r="M46" s="86"/>
      <c r="N46" s="84"/>
      <c r="O46" s="84"/>
      <c r="P46" s="84"/>
      <c r="Q46" s="150"/>
      <c r="R46" s="84"/>
      <c r="S46" s="84"/>
      <c r="T46" s="151" t="s">
        <v>726</v>
      </c>
      <c r="U46" s="84"/>
      <c r="V46" s="84"/>
      <c r="W46" s="84"/>
      <c r="X46" s="84"/>
      <c r="Y46" s="80"/>
      <c r="Z46" s="84"/>
      <c r="AA46" s="84"/>
      <c r="AB46" s="97"/>
      <c r="AC46" s="97"/>
      <c r="AD46" s="97"/>
      <c r="AE46" s="97"/>
      <c r="AF46" s="97"/>
      <c r="AG46" s="97"/>
      <c r="AH46" s="97"/>
      <c r="AI46" s="97"/>
      <c r="AJ46" s="97"/>
      <c r="AK46" s="97"/>
      <c r="AL46" s="97"/>
      <c r="AM46" s="97"/>
      <c r="AN46" s="97"/>
      <c r="AO46" s="97"/>
      <c r="AP46" s="97"/>
      <c r="AQ46" s="97"/>
      <c r="AR46" s="97"/>
      <c r="AS46" s="97"/>
      <c r="AT46" s="97"/>
      <c r="AU46" s="97"/>
      <c r="AV46" s="97"/>
      <c r="AW46" s="97"/>
      <c r="AX46" s="97"/>
    </row>
    <row r="47" ht="15.75" customHeight="1">
      <c r="A47" s="80" t="s">
        <v>115</v>
      </c>
      <c r="B47" s="91" t="s">
        <v>464</v>
      </c>
      <c r="C47" s="81"/>
      <c r="D47" s="81"/>
      <c r="E47" s="81"/>
      <c r="F47" s="84"/>
      <c r="G47" s="84"/>
      <c r="H47" s="84"/>
      <c r="I47" s="84"/>
      <c r="J47" s="86"/>
      <c r="K47" s="150"/>
      <c r="L47" s="84"/>
      <c r="M47" s="86"/>
      <c r="N47" s="84"/>
      <c r="O47" s="84"/>
      <c r="P47" s="84"/>
      <c r="Q47" s="150"/>
      <c r="R47" s="84"/>
      <c r="S47" s="84"/>
      <c r="T47" s="151" t="s">
        <v>735</v>
      </c>
      <c r="U47" s="84"/>
      <c r="V47" s="84"/>
      <c r="W47" s="84"/>
      <c r="X47" s="84"/>
      <c r="Y47" s="80"/>
      <c r="Z47" s="84"/>
      <c r="AA47" s="84"/>
      <c r="AB47" s="97"/>
      <c r="AC47" s="97"/>
      <c r="AD47" s="97"/>
      <c r="AE47" s="97"/>
      <c r="AF47" s="97"/>
      <c r="AG47" s="97"/>
      <c r="AH47" s="97"/>
      <c r="AI47" s="97"/>
      <c r="AJ47" s="97"/>
      <c r="AK47" s="97"/>
      <c r="AL47" s="97"/>
      <c r="AM47" s="97"/>
      <c r="AN47" s="97"/>
      <c r="AO47" s="97"/>
      <c r="AP47" s="97"/>
      <c r="AQ47" s="97"/>
      <c r="AR47" s="97"/>
      <c r="AS47" s="97"/>
      <c r="AT47" s="97"/>
      <c r="AU47" s="97"/>
      <c r="AV47" s="97"/>
      <c r="AW47" s="97"/>
      <c r="AX47" s="97"/>
    </row>
    <row r="48" ht="15.75" customHeight="1">
      <c r="A48" s="80" t="s">
        <v>115</v>
      </c>
      <c r="B48" s="91" t="s">
        <v>473</v>
      </c>
      <c r="C48" s="81"/>
      <c r="D48" s="81"/>
      <c r="E48" s="81"/>
      <c r="F48" s="84"/>
      <c r="G48" s="84"/>
      <c r="H48" s="84"/>
      <c r="I48" s="84"/>
      <c r="J48" s="86"/>
      <c r="K48" s="150"/>
      <c r="L48" s="84"/>
      <c r="M48" s="86"/>
      <c r="N48" s="84"/>
      <c r="O48" s="84"/>
      <c r="P48" s="84"/>
      <c r="Q48" s="150"/>
      <c r="R48" s="84"/>
      <c r="S48" s="84"/>
      <c r="T48" s="151" t="s">
        <v>738</v>
      </c>
      <c r="U48" s="84"/>
      <c r="V48" s="84"/>
      <c r="W48" s="84"/>
      <c r="X48" s="84"/>
      <c r="Y48" s="80"/>
      <c r="Z48" s="84"/>
      <c r="AA48" s="84"/>
      <c r="AB48" s="97"/>
      <c r="AC48" s="97"/>
      <c r="AD48" s="97"/>
      <c r="AE48" s="97"/>
      <c r="AF48" s="97"/>
      <c r="AG48" s="97"/>
      <c r="AH48" s="97"/>
      <c r="AI48" s="97"/>
      <c r="AJ48" s="97"/>
      <c r="AK48" s="97"/>
      <c r="AL48" s="97"/>
      <c r="AM48" s="97"/>
      <c r="AN48" s="97"/>
      <c r="AO48" s="97"/>
      <c r="AP48" s="97"/>
      <c r="AQ48" s="97"/>
      <c r="AR48" s="97"/>
      <c r="AS48" s="97"/>
      <c r="AT48" s="97"/>
      <c r="AU48" s="97"/>
      <c r="AV48" s="97"/>
      <c r="AW48" s="97"/>
      <c r="AX48" s="97"/>
    </row>
    <row r="49" ht="15.75" customHeight="1">
      <c r="A49" s="80" t="s">
        <v>115</v>
      </c>
      <c r="B49" s="91" t="s">
        <v>477</v>
      </c>
      <c r="C49" s="81"/>
      <c r="D49" s="81"/>
      <c r="E49" s="81"/>
      <c r="F49" s="84"/>
      <c r="G49" s="84"/>
      <c r="H49" s="84"/>
      <c r="I49" s="84"/>
      <c r="J49" s="86"/>
      <c r="K49" s="150"/>
      <c r="L49" s="84"/>
      <c r="M49" s="86"/>
      <c r="N49" s="84"/>
      <c r="O49" s="84"/>
      <c r="P49" s="84"/>
      <c r="Q49" s="150"/>
      <c r="R49" s="84"/>
      <c r="S49" s="84"/>
      <c r="T49" s="151" t="s">
        <v>751</v>
      </c>
      <c r="U49" s="84"/>
      <c r="V49" s="84"/>
      <c r="W49" s="84"/>
      <c r="X49" s="84"/>
      <c r="Y49" s="80"/>
      <c r="Z49" s="84"/>
      <c r="AA49" s="84"/>
      <c r="AB49" s="97"/>
      <c r="AC49" s="97"/>
      <c r="AD49" s="97"/>
      <c r="AE49" s="97"/>
      <c r="AF49" s="97"/>
      <c r="AG49" s="97"/>
      <c r="AH49" s="97"/>
      <c r="AI49" s="97"/>
      <c r="AJ49" s="97"/>
      <c r="AK49" s="97"/>
      <c r="AL49" s="97"/>
      <c r="AM49" s="97"/>
      <c r="AN49" s="97"/>
      <c r="AO49" s="97"/>
      <c r="AP49" s="97"/>
      <c r="AQ49" s="97"/>
      <c r="AR49" s="97"/>
      <c r="AS49" s="97"/>
      <c r="AT49" s="97"/>
      <c r="AU49" s="97"/>
      <c r="AV49" s="97"/>
      <c r="AW49" s="97"/>
      <c r="AX49" s="97"/>
    </row>
    <row r="50" ht="15.75" customHeight="1">
      <c r="A50" s="80" t="s">
        <v>115</v>
      </c>
      <c r="B50" s="91" t="s">
        <v>482</v>
      </c>
      <c r="C50" s="81"/>
      <c r="D50" s="81"/>
      <c r="E50" s="81"/>
      <c r="F50" s="84"/>
      <c r="G50" s="84"/>
      <c r="H50" s="84"/>
      <c r="I50" s="84"/>
      <c r="J50" s="86"/>
      <c r="K50" s="150"/>
      <c r="L50" s="84"/>
      <c r="M50" s="86"/>
      <c r="N50" s="84"/>
      <c r="O50" s="84"/>
      <c r="P50" s="84"/>
      <c r="Q50" s="150"/>
      <c r="R50" s="84"/>
      <c r="S50" s="84"/>
      <c r="T50" s="151" t="s">
        <v>761</v>
      </c>
      <c r="U50" s="84"/>
      <c r="V50" s="84"/>
      <c r="W50" s="84"/>
      <c r="X50" s="84"/>
      <c r="Y50" s="80"/>
      <c r="Z50" s="84"/>
      <c r="AA50" s="84"/>
      <c r="AB50" s="97"/>
      <c r="AC50" s="97"/>
      <c r="AD50" s="97"/>
      <c r="AE50" s="97"/>
      <c r="AF50" s="97"/>
      <c r="AG50" s="97"/>
      <c r="AH50" s="97"/>
      <c r="AI50" s="97"/>
      <c r="AJ50" s="97"/>
      <c r="AK50" s="97"/>
      <c r="AL50" s="97"/>
      <c r="AM50" s="97"/>
      <c r="AN50" s="97"/>
      <c r="AO50" s="97"/>
      <c r="AP50" s="97"/>
      <c r="AQ50" s="97"/>
      <c r="AR50" s="97"/>
      <c r="AS50" s="97"/>
      <c r="AT50" s="97"/>
      <c r="AU50" s="97"/>
      <c r="AV50" s="97"/>
      <c r="AW50" s="97"/>
      <c r="AX50" s="97"/>
    </row>
    <row r="51" ht="15.75" customHeight="1">
      <c r="A51" s="80" t="s">
        <v>115</v>
      </c>
      <c r="B51" s="91" t="s">
        <v>489</v>
      </c>
      <c r="C51" s="81"/>
      <c r="D51" s="81"/>
      <c r="E51" s="81"/>
      <c r="F51" s="84"/>
      <c r="G51" s="84"/>
      <c r="H51" s="84"/>
      <c r="I51" s="84"/>
      <c r="J51" s="86"/>
      <c r="K51" s="150"/>
      <c r="L51" s="84"/>
      <c r="M51" s="86"/>
      <c r="N51" s="84"/>
      <c r="O51" s="84"/>
      <c r="P51" s="84"/>
      <c r="Q51" s="80"/>
      <c r="R51" s="84"/>
      <c r="S51" s="84"/>
      <c r="T51" s="151" t="s">
        <v>769</v>
      </c>
      <c r="U51" s="84"/>
      <c r="V51" s="84"/>
      <c r="W51" s="84"/>
      <c r="X51" s="84"/>
      <c r="Y51" s="80"/>
      <c r="Z51" s="84"/>
      <c r="AA51" s="84"/>
      <c r="AB51" s="97"/>
      <c r="AC51" s="97"/>
      <c r="AD51" s="97"/>
      <c r="AE51" s="97"/>
      <c r="AF51" s="97"/>
      <c r="AG51" s="97"/>
      <c r="AH51" s="97"/>
      <c r="AI51" s="97"/>
      <c r="AJ51" s="97"/>
      <c r="AK51" s="97"/>
      <c r="AL51" s="97"/>
      <c r="AM51" s="97"/>
      <c r="AN51" s="97"/>
      <c r="AO51" s="97"/>
      <c r="AP51" s="97"/>
      <c r="AQ51" s="97"/>
      <c r="AR51" s="97"/>
      <c r="AS51" s="97"/>
      <c r="AT51" s="97"/>
      <c r="AU51" s="97"/>
      <c r="AV51" s="97"/>
      <c r="AW51" s="97"/>
      <c r="AX51" s="97"/>
    </row>
    <row r="52" ht="15.75" customHeight="1">
      <c r="A52" s="80" t="s">
        <v>115</v>
      </c>
      <c r="B52" s="91" t="s">
        <v>495</v>
      </c>
      <c r="C52" s="81"/>
      <c r="D52" s="81"/>
      <c r="E52" s="81"/>
      <c r="F52" s="84"/>
      <c r="G52" s="84"/>
      <c r="H52" s="84"/>
      <c r="I52" s="84"/>
      <c r="J52" s="86"/>
      <c r="K52" s="150"/>
      <c r="L52" s="84"/>
      <c r="M52" s="86"/>
      <c r="N52" s="84"/>
      <c r="O52" s="84"/>
      <c r="P52" s="84"/>
      <c r="Q52" s="80"/>
      <c r="R52" s="84"/>
      <c r="S52" s="84"/>
      <c r="T52" s="151" t="s">
        <v>782</v>
      </c>
      <c r="U52" s="84"/>
      <c r="V52" s="84"/>
      <c r="W52" s="84"/>
      <c r="X52" s="84"/>
      <c r="Y52" s="80"/>
      <c r="Z52" s="84"/>
      <c r="AA52" s="84"/>
      <c r="AB52" s="97"/>
      <c r="AC52" s="97"/>
      <c r="AD52" s="97"/>
      <c r="AE52" s="97"/>
      <c r="AF52" s="97"/>
      <c r="AG52" s="97"/>
      <c r="AH52" s="97"/>
      <c r="AI52" s="97"/>
      <c r="AJ52" s="97"/>
      <c r="AK52" s="97"/>
      <c r="AL52" s="97"/>
      <c r="AM52" s="97"/>
      <c r="AN52" s="97"/>
      <c r="AO52" s="97"/>
      <c r="AP52" s="97"/>
      <c r="AQ52" s="97"/>
      <c r="AR52" s="97"/>
      <c r="AS52" s="97"/>
      <c r="AT52" s="97"/>
      <c r="AU52" s="97"/>
      <c r="AV52" s="97"/>
      <c r="AW52" s="97"/>
      <c r="AX52" s="97"/>
    </row>
    <row r="53" ht="15.75" customHeight="1">
      <c r="A53" s="80" t="s">
        <v>115</v>
      </c>
      <c r="B53" s="91" t="s">
        <v>499</v>
      </c>
      <c r="C53" s="81"/>
      <c r="D53" s="81"/>
      <c r="E53" s="81"/>
      <c r="F53" s="84"/>
      <c r="G53" s="84"/>
      <c r="H53" s="84"/>
      <c r="I53" s="84"/>
      <c r="J53" s="86"/>
      <c r="K53" s="150"/>
      <c r="L53" s="84"/>
      <c r="M53" s="86"/>
      <c r="N53" s="84"/>
      <c r="O53" s="84"/>
      <c r="P53" s="84"/>
      <c r="Q53" s="80"/>
      <c r="R53" s="84"/>
      <c r="S53" s="84"/>
      <c r="T53" s="80" t="s">
        <v>794</v>
      </c>
      <c r="U53" s="84"/>
      <c r="V53" s="84"/>
      <c r="W53" s="84"/>
      <c r="X53" s="84"/>
      <c r="Y53" s="80"/>
      <c r="Z53" s="84"/>
      <c r="AA53" s="84"/>
      <c r="AB53" s="97"/>
      <c r="AC53" s="97"/>
      <c r="AD53" s="97"/>
      <c r="AE53" s="97"/>
      <c r="AF53" s="97"/>
      <c r="AG53" s="97"/>
      <c r="AH53" s="97"/>
      <c r="AI53" s="97"/>
      <c r="AJ53" s="97"/>
      <c r="AK53" s="97"/>
      <c r="AL53" s="97"/>
      <c r="AM53" s="97"/>
      <c r="AN53" s="97"/>
      <c r="AO53" s="97"/>
      <c r="AP53" s="97"/>
      <c r="AQ53" s="97"/>
      <c r="AR53" s="97"/>
      <c r="AS53" s="97"/>
      <c r="AT53" s="97"/>
      <c r="AU53" s="97"/>
      <c r="AV53" s="97"/>
      <c r="AW53" s="97"/>
      <c r="AX53" s="97"/>
    </row>
    <row r="54" ht="15.75" customHeight="1">
      <c r="A54" s="80" t="s">
        <v>115</v>
      </c>
      <c r="B54" s="91" t="s">
        <v>505</v>
      </c>
      <c r="C54" s="81"/>
      <c r="D54" s="81"/>
      <c r="E54" s="81"/>
      <c r="F54" s="84"/>
      <c r="G54" s="84"/>
      <c r="H54" s="84"/>
      <c r="I54" s="84"/>
      <c r="J54" s="86"/>
      <c r="K54" s="150"/>
      <c r="L54" s="84"/>
      <c r="M54" s="86"/>
      <c r="N54" s="84"/>
      <c r="O54" s="84"/>
      <c r="P54" s="84"/>
      <c r="Q54" s="80"/>
      <c r="R54" s="84"/>
      <c r="S54" s="84"/>
      <c r="T54" s="80" t="s">
        <v>806</v>
      </c>
      <c r="U54" s="84"/>
      <c r="V54" s="84"/>
      <c r="W54" s="84"/>
      <c r="X54" s="84"/>
      <c r="Y54" s="80"/>
      <c r="Z54" s="84"/>
      <c r="AA54" s="84"/>
      <c r="AB54" s="97"/>
      <c r="AC54" s="97"/>
      <c r="AD54" s="97"/>
      <c r="AE54" s="97"/>
      <c r="AF54" s="97"/>
      <c r="AG54" s="97"/>
      <c r="AH54" s="97"/>
      <c r="AI54" s="97"/>
      <c r="AJ54" s="97"/>
      <c r="AK54" s="97"/>
      <c r="AL54" s="97"/>
      <c r="AM54" s="97"/>
      <c r="AN54" s="97"/>
      <c r="AO54" s="97"/>
      <c r="AP54" s="97"/>
      <c r="AQ54" s="97"/>
      <c r="AR54" s="97"/>
      <c r="AS54" s="97"/>
      <c r="AT54" s="97"/>
      <c r="AU54" s="97"/>
      <c r="AV54" s="97"/>
      <c r="AW54" s="97"/>
      <c r="AX54" s="97"/>
    </row>
    <row r="55" ht="15.75" customHeight="1">
      <c r="A55" s="131" t="s">
        <v>115</v>
      </c>
      <c r="B55" s="142" t="s">
        <v>519</v>
      </c>
      <c r="C55" s="133"/>
      <c r="D55" s="146"/>
      <c r="E55" s="133"/>
      <c r="F55" s="134"/>
      <c r="G55" s="134"/>
      <c r="H55" s="134"/>
      <c r="I55" s="134"/>
      <c r="J55" s="134"/>
      <c r="K55" s="134"/>
      <c r="L55" s="134"/>
      <c r="M55" s="134"/>
      <c r="N55" s="134"/>
      <c r="O55" s="134"/>
      <c r="P55" s="134"/>
      <c r="Q55" s="131"/>
      <c r="R55" s="134"/>
      <c r="S55" s="134"/>
      <c r="T55" s="151" t="s">
        <v>821</v>
      </c>
      <c r="U55" s="134"/>
      <c r="V55" s="134"/>
      <c r="W55" s="134"/>
      <c r="X55" s="134"/>
      <c r="Y55" s="134"/>
      <c r="Z55" s="134"/>
      <c r="AA55" s="134"/>
      <c r="AB55" s="134"/>
      <c r="AC55" s="134"/>
      <c r="AD55" s="97"/>
      <c r="AE55" s="97"/>
      <c r="AF55" s="97"/>
      <c r="AG55" s="97"/>
      <c r="AH55" s="97"/>
      <c r="AI55" s="97"/>
      <c r="AJ55" s="97"/>
      <c r="AK55" s="97"/>
      <c r="AL55" s="97"/>
      <c r="AM55" s="97"/>
      <c r="AN55" s="97"/>
      <c r="AO55" s="97"/>
      <c r="AP55" s="97"/>
      <c r="AQ55" s="97"/>
      <c r="AR55" s="97"/>
      <c r="AS55" s="97"/>
      <c r="AT55" s="97"/>
      <c r="AU55" s="97"/>
      <c r="AV55" s="97"/>
      <c r="AW55" s="97"/>
      <c r="AX55" s="97"/>
    </row>
    <row r="56" ht="15.75" customHeight="1">
      <c r="A56" s="75" t="s">
        <v>44</v>
      </c>
      <c r="B56" s="75" t="s">
        <v>527</v>
      </c>
      <c r="C56" s="76" t="s">
        <v>229</v>
      </c>
      <c r="D56" s="76" t="s">
        <v>529</v>
      </c>
      <c r="E56" s="117" t="s">
        <v>530</v>
      </c>
      <c r="F56" s="76"/>
      <c r="G56" s="76"/>
      <c r="H56" s="76"/>
      <c r="I56" s="45"/>
      <c r="J56" s="45"/>
      <c r="K56" s="45"/>
      <c r="L56" s="45"/>
      <c r="M56" s="45"/>
      <c r="N56" s="45"/>
      <c r="O56" s="75" t="s">
        <v>827</v>
      </c>
      <c r="P56" s="45"/>
      <c r="Q56" s="7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row>
    <row r="57" ht="15.75" customHeight="1">
      <c r="A57" s="75" t="s">
        <v>161</v>
      </c>
      <c r="B57" s="75" t="s">
        <v>533</v>
      </c>
      <c r="C57" s="76" t="s">
        <v>535</v>
      </c>
      <c r="D57" s="141"/>
      <c r="E57" s="117"/>
      <c r="F57" s="45"/>
      <c r="G57" s="45"/>
      <c r="H57" s="45"/>
      <c r="I57" s="45"/>
      <c r="J57" s="45"/>
      <c r="K57" s="45"/>
      <c r="L57" s="45"/>
      <c r="M57" s="45"/>
      <c r="N57" s="45"/>
      <c r="O57" s="75" t="s">
        <v>833</v>
      </c>
      <c r="P57" s="45"/>
      <c r="Q57" s="7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row>
    <row r="58" ht="15.75" customHeight="1">
      <c r="A58" s="75" t="s">
        <v>541</v>
      </c>
      <c r="B58" s="75" t="s">
        <v>543</v>
      </c>
      <c r="C58" s="76" t="s">
        <v>242</v>
      </c>
      <c r="D58" s="76" t="s">
        <v>244</v>
      </c>
      <c r="E58" s="117" t="s">
        <v>245</v>
      </c>
      <c r="F58" s="76"/>
      <c r="G58" s="76"/>
      <c r="H58" s="76"/>
      <c r="I58" s="45"/>
      <c r="J58" s="45"/>
      <c r="K58" s="45"/>
      <c r="L58" s="45"/>
      <c r="M58" s="45"/>
      <c r="N58" s="45"/>
      <c r="O58" s="45"/>
      <c r="P58" s="45"/>
      <c r="Q58" s="75" t="s">
        <v>184</v>
      </c>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row>
    <row r="59" ht="15.75" customHeight="1">
      <c r="A59" s="75" t="s">
        <v>548</v>
      </c>
      <c r="B59" s="75" t="s">
        <v>549</v>
      </c>
      <c r="C59" s="76" t="s">
        <v>250</v>
      </c>
      <c r="D59" s="76" t="s">
        <v>251</v>
      </c>
      <c r="E59" s="117" t="s">
        <v>252</v>
      </c>
      <c r="F59" s="76"/>
      <c r="G59" s="76"/>
      <c r="H59" s="76"/>
      <c r="I59" s="45"/>
      <c r="J59" s="45"/>
      <c r="K59" s="45"/>
      <c r="L59" s="45"/>
      <c r="M59" s="45"/>
      <c r="N59" s="45"/>
      <c r="O59" s="75" t="s">
        <v>846</v>
      </c>
      <c r="P59" s="45"/>
      <c r="Q59" s="75" t="s">
        <v>184</v>
      </c>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row>
    <row r="60" ht="15.75" customHeight="1">
      <c r="A60" s="75" t="s">
        <v>44</v>
      </c>
      <c r="B60" s="75" t="s">
        <v>551</v>
      </c>
      <c r="C60" s="76" t="s">
        <v>253</v>
      </c>
      <c r="D60" s="76" t="s">
        <v>254</v>
      </c>
      <c r="E60" s="117" t="s">
        <v>255</v>
      </c>
      <c r="F60" s="76"/>
      <c r="G60" s="76"/>
      <c r="H60" s="76"/>
      <c r="I60" s="45"/>
      <c r="J60" s="45"/>
      <c r="K60" s="45"/>
      <c r="L60" s="45"/>
      <c r="M60" s="45"/>
      <c r="N60" s="45"/>
      <c r="O60" s="75" t="s">
        <v>856</v>
      </c>
      <c r="P60" s="45"/>
      <c r="Q60" s="75" t="s">
        <v>184</v>
      </c>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row>
    <row r="61" ht="15.75" customHeight="1">
      <c r="A61" s="75" t="s">
        <v>44</v>
      </c>
      <c r="B61" s="75" t="s">
        <v>556</v>
      </c>
      <c r="C61" s="76" t="s">
        <v>557</v>
      </c>
      <c r="D61" s="76" t="s">
        <v>558</v>
      </c>
      <c r="E61" s="117" t="s">
        <v>559</v>
      </c>
      <c r="F61" s="76"/>
      <c r="G61" s="76"/>
      <c r="H61" s="76"/>
      <c r="I61" s="45"/>
      <c r="J61" s="45"/>
      <c r="K61" s="45"/>
      <c r="L61" s="45"/>
      <c r="M61" s="45"/>
      <c r="N61" s="45"/>
      <c r="O61" s="75" t="s">
        <v>867</v>
      </c>
      <c r="P61" s="45"/>
      <c r="Q61" s="75" t="s">
        <v>184</v>
      </c>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row>
    <row r="62" ht="15.75" customHeight="1">
      <c r="A62" s="75" t="s">
        <v>44</v>
      </c>
      <c r="B62" s="75" t="s">
        <v>563</v>
      </c>
      <c r="C62" s="76" t="s">
        <v>564</v>
      </c>
      <c r="D62" s="76" t="s">
        <v>565</v>
      </c>
      <c r="E62" s="117" t="s">
        <v>566</v>
      </c>
      <c r="F62" s="76"/>
      <c r="G62" s="76"/>
      <c r="H62" s="76"/>
      <c r="I62" s="45"/>
      <c r="J62" s="45"/>
      <c r="K62" s="45"/>
      <c r="L62" s="45"/>
      <c r="M62" s="45"/>
      <c r="N62" s="45"/>
      <c r="O62" s="75" t="s">
        <v>872</v>
      </c>
      <c r="P62" s="45"/>
      <c r="Q62" s="75" t="s">
        <v>184</v>
      </c>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row>
    <row r="63" ht="15.75" customHeight="1">
      <c r="A63" s="75" t="s">
        <v>541</v>
      </c>
      <c r="B63" s="75" t="s">
        <v>575</v>
      </c>
      <c r="C63" s="76" t="s">
        <v>576</v>
      </c>
      <c r="D63" s="76" t="s">
        <v>577</v>
      </c>
      <c r="E63" s="117" t="s">
        <v>578</v>
      </c>
      <c r="F63" s="76"/>
      <c r="G63" s="76"/>
      <c r="H63" s="76"/>
      <c r="I63" s="45"/>
      <c r="J63" s="45"/>
      <c r="K63" s="45"/>
      <c r="L63" s="45"/>
      <c r="M63" s="45"/>
      <c r="N63" s="45"/>
      <c r="O63" s="75" t="s">
        <v>874</v>
      </c>
      <c r="P63" s="45"/>
      <c r="Q63" s="75" t="s">
        <v>184</v>
      </c>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row>
    <row r="64" ht="15.75" customHeight="1">
      <c r="A64" s="75" t="s">
        <v>580</v>
      </c>
      <c r="B64" s="75" t="s">
        <v>581</v>
      </c>
      <c r="C64" s="76" t="s">
        <v>881</v>
      </c>
      <c r="D64" s="76" t="s">
        <v>882</v>
      </c>
      <c r="E64" s="117" t="s">
        <v>883</v>
      </c>
      <c r="F64" s="76"/>
      <c r="G64" s="76"/>
      <c r="H64" s="76"/>
      <c r="I64" s="45"/>
      <c r="J64" s="45"/>
      <c r="K64" s="45"/>
      <c r="L64" s="45"/>
      <c r="M64" s="45"/>
      <c r="N64" s="45"/>
      <c r="O64" s="75" t="s">
        <v>885</v>
      </c>
      <c r="P64" s="45"/>
      <c r="Q64" s="75" t="s">
        <v>184</v>
      </c>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row>
    <row r="65" ht="15.75" customHeight="1">
      <c r="A65" s="75" t="s">
        <v>217</v>
      </c>
      <c r="B65" s="75" t="s">
        <v>586</v>
      </c>
      <c r="C65" s="76" t="s">
        <v>890</v>
      </c>
      <c r="D65" s="76" t="s">
        <v>891</v>
      </c>
      <c r="E65" s="117" t="s">
        <v>892</v>
      </c>
      <c r="F65" s="45"/>
      <c r="G65" s="45"/>
      <c r="H65" s="45"/>
      <c r="I65" s="45"/>
      <c r="J65" s="45"/>
      <c r="K65" s="45"/>
      <c r="L65" s="45"/>
      <c r="M65" s="45"/>
      <c r="N65" s="45"/>
      <c r="O65" s="75" t="s">
        <v>893</v>
      </c>
      <c r="P65" s="45"/>
      <c r="Q65" s="75" t="s">
        <v>184</v>
      </c>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row>
    <row r="66" ht="15.75" customHeight="1">
      <c r="A66" s="75" t="s">
        <v>343</v>
      </c>
      <c r="B66" s="75" t="s">
        <v>143</v>
      </c>
      <c r="C66" s="46"/>
      <c r="D66" s="45"/>
      <c r="E66" s="47"/>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row>
    <row r="67" ht="15.75" customHeight="1">
      <c r="A67" s="75" t="s">
        <v>541</v>
      </c>
      <c r="B67" s="75" t="s">
        <v>618</v>
      </c>
      <c r="C67" s="76" t="s">
        <v>899</v>
      </c>
      <c r="D67" s="76" t="s">
        <v>901</v>
      </c>
      <c r="E67" s="117" t="s">
        <v>903</v>
      </c>
      <c r="F67" s="76"/>
      <c r="G67" s="76"/>
      <c r="H67" s="76"/>
      <c r="I67" s="45"/>
      <c r="J67" s="45"/>
      <c r="K67" s="45"/>
      <c r="L67" s="45"/>
      <c r="M67" s="45"/>
      <c r="N67" s="45"/>
      <c r="O67" s="75" t="s">
        <v>904</v>
      </c>
      <c r="P67" s="45"/>
      <c r="Q67" s="75" t="s">
        <v>184</v>
      </c>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row>
    <row r="68" ht="15.75" customHeight="1">
      <c r="A68" s="80" t="s">
        <v>150</v>
      </c>
      <c r="B68" s="81" t="s">
        <v>625</v>
      </c>
      <c r="C68" s="82"/>
      <c r="D68" s="83"/>
      <c r="E68" s="83"/>
      <c r="F68" s="84"/>
      <c r="G68" s="84"/>
      <c r="H68" s="84"/>
      <c r="I68" s="84"/>
      <c r="J68" s="86"/>
      <c r="K68" s="84"/>
      <c r="L68" s="84"/>
      <c r="M68" s="86"/>
      <c r="N68" s="86"/>
      <c r="O68" s="91"/>
      <c r="P68" s="84"/>
      <c r="Q68" s="84"/>
      <c r="R68" s="84"/>
      <c r="S68" s="84"/>
      <c r="T68" s="94" t="s">
        <v>156</v>
      </c>
      <c r="U68" s="84"/>
      <c r="V68" s="84"/>
      <c r="W68" s="84"/>
      <c r="X68" s="84"/>
      <c r="Y68" s="84"/>
      <c r="Z68" s="84"/>
      <c r="AA68" s="84"/>
      <c r="AB68" s="84"/>
      <c r="AC68" s="84"/>
      <c r="AD68" s="97"/>
      <c r="AE68" s="97"/>
      <c r="AF68" s="97"/>
      <c r="AG68" s="97"/>
      <c r="AH68" s="97"/>
      <c r="AI68" s="97"/>
      <c r="AJ68" s="97"/>
      <c r="AK68" s="97"/>
      <c r="AL68" s="97"/>
      <c r="AM68" s="97"/>
      <c r="AN68" s="97"/>
      <c r="AO68" s="97"/>
      <c r="AP68" s="97"/>
      <c r="AQ68" s="97"/>
      <c r="AR68" s="97"/>
      <c r="AS68" s="97"/>
      <c r="AT68" s="97"/>
      <c r="AU68" s="97"/>
      <c r="AV68" s="97"/>
      <c r="AW68" s="97"/>
      <c r="AX68" s="97"/>
    </row>
    <row r="69" ht="15.75" customHeight="1">
      <c r="A69" s="75" t="s">
        <v>115</v>
      </c>
      <c r="B69" s="75" t="s">
        <v>631</v>
      </c>
      <c r="C69" s="76"/>
      <c r="D69" s="45"/>
      <c r="E69" s="47"/>
      <c r="F69" s="45"/>
      <c r="G69" s="45"/>
      <c r="H69" s="45"/>
      <c r="I69" s="45"/>
      <c r="J69" s="45"/>
      <c r="K69" s="45"/>
      <c r="L69" s="45"/>
      <c r="M69" s="45"/>
      <c r="N69" s="45"/>
      <c r="O69" s="75"/>
      <c r="P69" s="45"/>
      <c r="Q69" s="45"/>
      <c r="R69" s="45"/>
      <c r="S69" s="45"/>
      <c r="T69" s="75" t="s">
        <v>918</v>
      </c>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row>
    <row r="70" ht="15.75" customHeight="1">
      <c r="A70" s="75" t="s">
        <v>161</v>
      </c>
      <c r="B70" s="75" t="s">
        <v>636</v>
      </c>
      <c r="C70" s="76" t="s">
        <v>637</v>
      </c>
      <c r="D70" s="45"/>
      <c r="E70" s="47"/>
      <c r="F70" s="45"/>
      <c r="G70" s="45"/>
      <c r="H70" s="45"/>
      <c r="I70" s="45"/>
      <c r="J70" s="45"/>
      <c r="K70" s="45"/>
      <c r="L70" s="45"/>
      <c r="M70" s="45"/>
      <c r="N70" s="45"/>
      <c r="O70" s="75" t="s">
        <v>928</v>
      </c>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row>
    <row r="71" ht="15.75" customHeight="1">
      <c r="A71" s="75" t="s">
        <v>161</v>
      </c>
      <c r="B71" s="75" t="s">
        <v>643</v>
      </c>
      <c r="C71" s="46"/>
      <c r="D71" s="45"/>
      <c r="E71" s="47"/>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row>
    <row r="72" ht="15.75" customHeight="1">
      <c r="A72" s="75"/>
      <c r="B72" s="75"/>
      <c r="C72" s="76"/>
      <c r="D72" s="45"/>
      <c r="E72" s="47"/>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row>
    <row r="73" ht="15.75" customHeight="1">
      <c r="A73" s="80" t="s">
        <v>150</v>
      </c>
      <c r="B73" s="81" t="s">
        <v>654</v>
      </c>
      <c r="C73" s="82"/>
      <c r="D73" s="83"/>
      <c r="E73" s="83"/>
      <c r="F73" s="84"/>
      <c r="G73" s="84"/>
      <c r="H73" s="84"/>
      <c r="I73" s="84"/>
      <c r="J73" s="86"/>
      <c r="K73" s="84"/>
      <c r="L73" s="84"/>
      <c r="M73" s="86"/>
      <c r="N73" s="86"/>
      <c r="O73" s="91"/>
      <c r="P73" s="84"/>
      <c r="Q73" s="84"/>
      <c r="R73" s="84"/>
      <c r="S73" s="84"/>
      <c r="T73" s="94" t="s">
        <v>156</v>
      </c>
      <c r="U73" s="84"/>
      <c r="V73" s="84"/>
      <c r="W73" s="84"/>
      <c r="X73" s="84"/>
      <c r="Y73" s="84"/>
      <c r="Z73" s="84"/>
      <c r="AA73" s="84"/>
      <c r="AB73" s="84"/>
      <c r="AC73" s="84"/>
      <c r="AD73" s="97"/>
      <c r="AE73" s="97"/>
      <c r="AF73" s="97"/>
      <c r="AG73" s="97"/>
      <c r="AH73" s="97"/>
      <c r="AI73" s="97"/>
      <c r="AJ73" s="97"/>
      <c r="AK73" s="97"/>
      <c r="AL73" s="97"/>
      <c r="AM73" s="97"/>
      <c r="AN73" s="97"/>
      <c r="AO73" s="97"/>
      <c r="AP73" s="97"/>
      <c r="AQ73" s="97"/>
      <c r="AR73" s="97"/>
      <c r="AS73" s="97"/>
      <c r="AT73" s="97"/>
      <c r="AU73" s="97"/>
      <c r="AV73" s="97"/>
      <c r="AW73" s="97"/>
      <c r="AX73" s="97"/>
    </row>
    <row r="74" ht="15.75" customHeight="1">
      <c r="A74" s="150" t="s">
        <v>161</v>
      </c>
      <c r="B74" s="82" t="s">
        <v>659</v>
      </c>
      <c r="C74" s="82" t="s">
        <v>660</v>
      </c>
      <c r="D74" s="83"/>
      <c r="E74" s="83"/>
      <c r="F74" s="84"/>
      <c r="G74" s="84"/>
      <c r="H74" s="84"/>
      <c r="I74" s="84"/>
      <c r="J74" s="86"/>
      <c r="K74" s="84"/>
      <c r="L74" s="84"/>
      <c r="M74" s="86"/>
      <c r="N74" s="86"/>
      <c r="O74" s="91"/>
      <c r="P74" s="84"/>
      <c r="Q74" s="84"/>
      <c r="R74" s="84"/>
      <c r="S74" s="84"/>
      <c r="T74" s="84"/>
      <c r="U74" s="84"/>
      <c r="V74" s="84"/>
      <c r="W74" s="84"/>
      <c r="X74" s="84"/>
      <c r="Y74" s="84"/>
      <c r="Z74" s="84"/>
      <c r="AA74" s="84"/>
      <c r="AB74" s="84"/>
      <c r="AC74" s="84"/>
      <c r="AD74" s="97"/>
      <c r="AE74" s="97"/>
      <c r="AF74" s="97"/>
      <c r="AG74" s="97"/>
      <c r="AH74" s="97"/>
      <c r="AI74" s="97"/>
      <c r="AJ74" s="97"/>
      <c r="AK74" s="97"/>
      <c r="AL74" s="97"/>
      <c r="AM74" s="97"/>
      <c r="AN74" s="97"/>
      <c r="AO74" s="97"/>
      <c r="AP74" s="97"/>
      <c r="AQ74" s="97"/>
      <c r="AR74" s="97"/>
      <c r="AS74" s="97"/>
      <c r="AT74" s="97"/>
      <c r="AU74" s="97"/>
      <c r="AV74" s="97"/>
      <c r="AW74" s="97"/>
      <c r="AX74" s="97"/>
    </row>
    <row r="75" ht="15.75" customHeight="1">
      <c r="A75" s="152" t="s">
        <v>44</v>
      </c>
      <c r="B75" s="77" t="s">
        <v>665</v>
      </c>
      <c r="C75" s="76" t="s">
        <v>949</v>
      </c>
      <c r="D75" s="76" t="s">
        <v>950</v>
      </c>
      <c r="E75" s="117" t="s">
        <v>951</v>
      </c>
      <c r="F75" s="76"/>
      <c r="G75" s="76"/>
      <c r="H75" s="76"/>
      <c r="I75" s="176"/>
      <c r="J75" s="176"/>
      <c r="K75" s="176"/>
      <c r="L75" s="176"/>
      <c r="M75" s="176"/>
      <c r="N75" s="176"/>
      <c r="O75" s="176"/>
      <c r="P75" s="176"/>
      <c r="Q75" s="176"/>
      <c r="R75" s="176"/>
      <c r="S75" s="176"/>
      <c r="T75" s="176"/>
      <c r="U75" s="176"/>
      <c r="V75" s="176"/>
      <c r="W75" s="176"/>
      <c r="X75" s="176"/>
      <c r="Y75" s="176"/>
      <c r="Z75" s="176"/>
      <c r="AA75" s="176"/>
      <c r="AB75" s="176"/>
      <c r="AC75" s="176"/>
      <c r="AD75" s="97"/>
      <c r="AE75" s="97"/>
      <c r="AF75" s="97"/>
      <c r="AG75" s="97"/>
      <c r="AH75" s="97"/>
      <c r="AI75" s="97"/>
      <c r="AJ75" s="97"/>
      <c r="AK75" s="97"/>
      <c r="AL75" s="97"/>
      <c r="AM75" s="97"/>
      <c r="AN75" s="97"/>
      <c r="AO75" s="97"/>
      <c r="AP75" s="97"/>
      <c r="AQ75" s="97"/>
      <c r="AR75" s="97"/>
      <c r="AS75" s="97"/>
      <c r="AT75" s="97"/>
      <c r="AU75" s="97"/>
      <c r="AV75" s="97"/>
      <c r="AW75" s="97"/>
      <c r="AX75" s="97"/>
    </row>
    <row r="76" ht="15.75" customHeight="1">
      <c r="A76" s="80" t="s">
        <v>150</v>
      </c>
      <c r="B76" s="81" t="s">
        <v>669</v>
      </c>
      <c r="C76" s="82"/>
      <c r="D76" s="83"/>
      <c r="E76" s="83"/>
      <c r="F76" s="84"/>
      <c r="G76" s="84"/>
      <c r="H76" s="84"/>
      <c r="I76" s="84"/>
      <c r="J76" s="86"/>
      <c r="K76" s="84"/>
      <c r="L76" s="84"/>
      <c r="M76" s="86"/>
      <c r="N76" s="86"/>
      <c r="O76" s="91"/>
      <c r="P76" s="84"/>
      <c r="Q76" s="84"/>
      <c r="R76" s="84"/>
      <c r="S76" s="84"/>
      <c r="T76" s="94" t="s">
        <v>156</v>
      </c>
      <c r="U76" s="84"/>
      <c r="V76" s="84"/>
      <c r="W76" s="84"/>
      <c r="X76" s="84"/>
      <c r="Y76" s="84"/>
      <c r="Z76" s="84"/>
      <c r="AA76" s="84"/>
      <c r="AB76" s="84"/>
      <c r="AC76" s="84"/>
      <c r="AD76" s="97"/>
      <c r="AE76" s="97"/>
      <c r="AF76" s="97"/>
      <c r="AG76" s="97"/>
      <c r="AH76" s="97"/>
      <c r="AI76" s="97"/>
      <c r="AJ76" s="97"/>
      <c r="AK76" s="97"/>
      <c r="AL76" s="97"/>
      <c r="AM76" s="97"/>
      <c r="AN76" s="97"/>
      <c r="AO76" s="97"/>
      <c r="AP76" s="97"/>
      <c r="AQ76" s="97"/>
      <c r="AR76" s="97"/>
      <c r="AS76" s="97"/>
      <c r="AT76" s="97"/>
      <c r="AU76" s="97"/>
      <c r="AV76" s="97"/>
      <c r="AW76" s="97"/>
      <c r="AX76" s="97"/>
    </row>
    <row r="77" ht="15.75" customHeight="1">
      <c r="A77" s="153" t="s">
        <v>44</v>
      </c>
      <c r="B77" s="154" t="s">
        <v>675</v>
      </c>
      <c r="C77" s="76" t="s">
        <v>960</v>
      </c>
      <c r="D77" s="76" t="s">
        <v>962</v>
      </c>
      <c r="E77" s="117" t="s">
        <v>964</v>
      </c>
      <c r="F77" s="76"/>
      <c r="G77" s="76"/>
      <c r="H77" s="76"/>
      <c r="I77" s="176"/>
      <c r="J77" s="176"/>
      <c r="K77" s="176"/>
      <c r="L77" s="176"/>
      <c r="M77" s="176"/>
      <c r="N77" s="176"/>
      <c r="O77" s="176"/>
      <c r="P77" s="176"/>
      <c r="Q77" s="176"/>
      <c r="R77" s="176"/>
      <c r="S77" s="176"/>
      <c r="T77" s="176"/>
      <c r="U77" s="176"/>
      <c r="V77" s="176"/>
      <c r="W77" s="176"/>
      <c r="X77" s="176"/>
      <c r="Y77" s="176"/>
      <c r="Z77" s="176"/>
      <c r="AA77" s="176"/>
      <c r="AB77" s="176"/>
      <c r="AC77" s="176"/>
      <c r="AD77" s="97"/>
      <c r="AE77" s="97"/>
      <c r="AF77" s="97"/>
      <c r="AG77" s="97"/>
      <c r="AH77" s="97"/>
      <c r="AI77" s="97"/>
      <c r="AJ77" s="97"/>
      <c r="AK77" s="97"/>
      <c r="AL77" s="97"/>
      <c r="AM77" s="97"/>
      <c r="AN77" s="97"/>
      <c r="AO77" s="97"/>
      <c r="AP77" s="97"/>
      <c r="AQ77" s="97"/>
      <c r="AR77" s="97"/>
      <c r="AS77" s="97"/>
      <c r="AT77" s="97"/>
      <c r="AU77" s="97"/>
      <c r="AV77" s="97"/>
      <c r="AW77" s="97"/>
      <c r="AX77" s="97"/>
    </row>
    <row r="78" ht="15.75" customHeight="1">
      <c r="A78" s="114" t="s">
        <v>680</v>
      </c>
      <c r="B78" s="157" t="s">
        <v>681</v>
      </c>
      <c r="C78" s="76" t="s">
        <v>981</v>
      </c>
      <c r="D78" s="76" t="s">
        <v>982</v>
      </c>
      <c r="E78" s="117" t="s">
        <v>983</v>
      </c>
      <c r="F78" s="76"/>
      <c r="G78" s="76"/>
      <c r="H78" s="76"/>
      <c r="I78" s="118"/>
      <c r="J78" s="120"/>
      <c r="K78" s="118"/>
      <c r="L78" s="118"/>
      <c r="M78" s="118"/>
      <c r="N78" s="118"/>
      <c r="O78" s="118"/>
      <c r="P78" s="118"/>
      <c r="Q78" s="118" t="s">
        <v>184</v>
      </c>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97"/>
      <c r="AP78" s="97"/>
      <c r="AQ78" s="97"/>
      <c r="AR78" s="97"/>
      <c r="AS78" s="97"/>
      <c r="AT78" s="97"/>
      <c r="AU78" s="97"/>
      <c r="AV78" s="97"/>
      <c r="AW78" s="97"/>
      <c r="AX78" s="97"/>
    </row>
    <row r="79" ht="15.75" customHeight="1">
      <c r="A79" s="114" t="s">
        <v>541</v>
      </c>
      <c r="B79" s="157" t="s">
        <v>695</v>
      </c>
      <c r="C79" s="76" t="s">
        <v>1001</v>
      </c>
      <c r="D79" s="76" t="s">
        <v>1002</v>
      </c>
      <c r="E79" s="117" t="s">
        <v>1003</v>
      </c>
      <c r="F79" s="76"/>
      <c r="G79" s="76"/>
      <c r="H79" s="76"/>
      <c r="I79" s="118"/>
      <c r="J79" s="120"/>
      <c r="K79" s="118"/>
      <c r="L79" s="118"/>
      <c r="M79" s="118"/>
      <c r="N79" s="118"/>
      <c r="O79" s="121" t="s">
        <v>1008</v>
      </c>
      <c r="P79" s="118"/>
      <c r="Q79" s="118" t="s">
        <v>184</v>
      </c>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97"/>
      <c r="AP79" s="97"/>
      <c r="AQ79" s="97"/>
      <c r="AR79" s="97"/>
      <c r="AS79" s="97"/>
      <c r="AT79" s="97"/>
      <c r="AU79" s="97"/>
      <c r="AV79" s="97"/>
      <c r="AW79" s="97"/>
      <c r="AX79" s="97"/>
    </row>
    <row r="80" ht="15.75" customHeight="1">
      <c r="A80" s="114" t="s">
        <v>703</v>
      </c>
      <c r="B80" s="157" t="s">
        <v>704</v>
      </c>
      <c r="C80" s="76" t="s">
        <v>1023</v>
      </c>
      <c r="D80" s="76" t="s">
        <v>1025</v>
      </c>
      <c r="E80" s="117" t="s">
        <v>1026</v>
      </c>
      <c r="F80" s="76"/>
      <c r="G80" s="76"/>
      <c r="H80" s="76"/>
      <c r="I80" s="118"/>
      <c r="J80" s="120"/>
      <c r="K80" s="118"/>
      <c r="L80" s="118"/>
      <c r="M80" s="118"/>
      <c r="N80" s="118"/>
      <c r="O80" s="121" t="s">
        <v>1033</v>
      </c>
      <c r="P80" s="118"/>
      <c r="Q80" s="118" t="s">
        <v>184</v>
      </c>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97"/>
      <c r="AP80" s="97"/>
      <c r="AQ80" s="97"/>
      <c r="AR80" s="97"/>
      <c r="AS80" s="97"/>
      <c r="AT80" s="97"/>
      <c r="AU80" s="97"/>
      <c r="AV80" s="97"/>
      <c r="AW80" s="97"/>
      <c r="AX80" s="97"/>
    </row>
    <row r="81" ht="15.75" customHeight="1">
      <c r="A81" s="114" t="s">
        <v>707</v>
      </c>
      <c r="B81" s="157" t="s">
        <v>708</v>
      </c>
      <c r="C81" s="76" t="s">
        <v>1056</v>
      </c>
      <c r="D81" s="76" t="s">
        <v>1059</v>
      </c>
      <c r="E81" s="117" t="s">
        <v>1062</v>
      </c>
      <c r="F81" s="76"/>
      <c r="G81" s="76"/>
      <c r="H81" s="76"/>
      <c r="I81" s="118"/>
      <c r="J81" s="120"/>
      <c r="K81" s="118"/>
      <c r="L81" s="118"/>
      <c r="M81" s="118"/>
      <c r="N81" s="118"/>
      <c r="O81" s="121" t="s">
        <v>1063</v>
      </c>
      <c r="P81" s="118"/>
      <c r="Q81" s="118" t="s">
        <v>184</v>
      </c>
      <c r="R81" s="118"/>
      <c r="S81" s="118"/>
      <c r="T81" s="118"/>
      <c r="U81" s="118"/>
      <c r="V81" s="118"/>
      <c r="W81" s="118"/>
      <c r="X81" s="118"/>
      <c r="Y81" s="118" t="s">
        <v>1070</v>
      </c>
      <c r="Z81" s="118"/>
      <c r="AA81" s="118"/>
      <c r="AB81" s="118"/>
      <c r="AC81" s="118"/>
      <c r="AD81" s="118"/>
      <c r="AE81" s="118"/>
      <c r="AF81" s="118"/>
      <c r="AG81" s="118"/>
      <c r="AH81" s="118"/>
      <c r="AI81" s="118"/>
      <c r="AJ81" s="118"/>
      <c r="AK81" s="118"/>
      <c r="AL81" s="118"/>
      <c r="AM81" s="118"/>
      <c r="AN81" s="118"/>
      <c r="AO81" s="97"/>
      <c r="AP81" s="97"/>
      <c r="AQ81" s="97"/>
      <c r="AR81" s="97"/>
      <c r="AS81" s="97"/>
      <c r="AT81" s="97"/>
      <c r="AU81" s="97"/>
      <c r="AV81" s="97"/>
      <c r="AW81" s="97"/>
      <c r="AX81" s="97"/>
    </row>
    <row r="82" ht="15.75" customHeight="1">
      <c r="A82" s="162" t="s">
        <v>217</v>
      </c>
      <c r="B82" s="163" t="s">
        <v>719</v>
      </c>
      <c r="C82" s="76" t="s">
        <v>1079</v>
      </c>
      <c r="D82" s="76" t="s">
        <v>1081</v>
      </c>
      <c r="E82" s="117" t="s">
        <v>1083</v>
      </c>
      <c r="F82" s="76"/>
      <c r="G82" s="76"/>
      <c r="H82" s="76"/>
      <c r="I82" s="182"/>
      <c r="J82" s="183"/>
      <c r="K82" s="182"/>
      <c r="L82" s="182"/>
      <c r="M82" s="182"/>
      <c r="N82" s="182"/>
      <c r="O82" s="184" t="s">
        <v>1094</v>
      </c>
      <c r="P82" s="182"/>
      <c r="Q82" s="182" t="s">
        <v>184</v>
      </c>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97"/>
      <c r="AP82" s="97"/>
      <c r="AQ82" s="97"/>
      <c r="AR82" s="97"/>
      <c r="AS82" s="97"/>
      <c r="AT82" s="97"/>
      <c r="AU82" s="97"/>
      <c r="AV82" s="97"/>
      <c r="AW82" s="97"/>
      <c r="AX82" s="97"/>
    </row>
    <row r="83" ht="15.75" customHeight="1">
      <c r="A83" s="114" t="s">
        <v>727</v>
      </c>
      <c r="B83" s="157" t="s">
        <v>728</v>
      </c>
      <c r="C83" s="76" t="s">
        <v>1103</v>
      </c>
      <c r="D83" s="76" t="s">
        <v>1105</v>
      </c>
      <c r="E83" s="117" t="s">
        <v>1107</v>
      </c>
      <c r="F83" s="76"/>
      <c r="G83" s="76"/>
      <c r="H83" s="76"/>
      <c r="I83" s="118"/>
      <c r="J83" s="122" t="s">
        <v>1108</v>
      </c>
      <c r="K83" s="118"/>
      <c r="L83" s="118"/>
      <c r="M83" s="118"/>
      <c r="N83" s="118"/>
      <c r="O83" s="121" t="s">
        <v>1111</v>
      </c>
      <c r="P83" s="118"/>
      <c r="Q83" s="118" t="s">
        <v>184</v>
      </c>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97"/>
      <c r="AP83" s="97"/>
      <c r="AQ83" s="97"/>
      <c r="AR83" s="97"/>
      <c r="AS83" s="97"/>
      <c r="AT83" s="97"/>
      <c r="AU83" s="97"/>
      <c r="AV83" s="97"/>
      <c r="AW83" s="97"/>
      <c r="AX83" s="97"/>
    </row>
    <row r="84" ht="15.75" customHeight="1">
      <c r="A84" s="162" t="s">
        <v>217</v>
      </c>
      <c r="B84" s="163" t="s">
        <v>729</v>
      </c>
      <c r="C84" s="76" t="s">
        <v>1123</v>
      </c>
      <c r="D84" s="76" t="s">
        <v>1124</v>
      </c>
      <c r="E84" s="117" t="s">
        <v>1125</v>
      </c>
      <c r="F84" s="76"/>
      <c r="G84" s="76"/>
      <c r="H84" s="76"/>
      <c r="I84" s="182"/>
      <c r="J84" s="183"/>
      <c r="K84" s="182"/>
      <c r="L84" s="182"/>
      <c r="M84" s="182"/>
      <c r="N84" s="182"/>
      <c r="O84" s="184" t="s">
        <v>1128</v>
      </c>
      <c r="P84" s="182"/>
      <c r="Q84" s="182" t="s">
        <v>184</v>
      </c>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97"/>
      <c r="AP84" s="97"/>
      <c r="AQ84" s="97"/>
      <c r="AR84" s="97"/>
      <c r="AS84" s="97"/>
      <c r="AT84" s="97"/>
      <c r="AU84" s="97"/>
      <c r="AV84" s="97"/>
      <c r="AW84" s="97"/>
      <c r="AX84" s="97"/>
    </row>
    <row r="85" ht="15.75" customHeight="1">
      <c r="A85" s="114" t="s">
        <v>680</v>
      </c>
      <c r="B85" s="157" t="s">
        <v>732</v>
      </c>
      <c r="C85" s="76" t="s">
        <v>1141</v>
      </c>
      <c r="D85" s="76" t="s">
        <v>1142</v>
      </c>
      <c r="E85" s="117" t="s">
        <v>1143</v>
      </c>
      <c r="F85" s="76" t="s">
        <v>1144</v>
      </c>
      <c r="G85" s="76" t="s">
        <v>1146</v>
      </c>
      <c r="H85" s="76" t="s">
        <v>1148</v>
      </c>
      <c r="I85" s="118"/>
      <c r="J85" s="120"/>
      <c r="K85" s="118"/>
      <c r="L85" s="118"/>
      <c r="M85" s="118"/>
      <c r="N85" s="118"/>
      <c r="O85" s="121" t="s">
        <v>1008</v>
      </c>
      <c r="P85" s="118"/>
      <c r="Q85" s="118" t="s">
        <v>184</v>
      </c>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97"/>
      <c r="AP85" s="97"/>
      <c r="AQ85" s="97"/>
      <c r="AR85" s="97"/>
      <c r="AS85" s="97"/>
      <c r="AT85" s="97"/>
      <c r="AU85" s="97"/>
      <c r="AV85" s="97"/>
      <c r="AW85" s="97"/>
      <c r="AX85" s="97"/>
    </row>
    <row r="86" ht="15.75" customHeight="1">
      <c r="A86" s="114" t="s">
        <v>680</v>
      </c>
      <c r="B86" s="157" t="s">
        <v>736</v>
      </c>
      <c r="C86" s="76" t="s">
        <v>1165</v>
      </c>
      <c r="D86" s="76" t="s">
        <v>1166</v>
      </c>
      <c r="E86" s="117" t="s">
        <v>1167</v>
      </c>
      <c r="F86" s="76"/>
      <c r="G86" s="76"/>
      <c r="H86" s="76"/>
      <c r="I86" s="118"/>
      <c r="J86" s="120"/>
      <c r="K86" s="118"/>
      <c r="L86" s="118"/>
      <c r="M86" s="185"/>
      <c r="N86" s="185"/>
      <c r="O86" s="118"/>
      <c r="P86" s="118"/>
      <c r="Q86" s="118" t="s">
        <v>184</v>
      </c>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97"/>
      <c r="AP86" s="97"/>
      <c r="AQ86" s="97"/>
      <c r="AR86" s="97"/>
      <c r="AS86" s="97"/>
      <c r="AT86" s="97"/>
      <c r="AU86" s="97"/>
      <c r="AV86" s="97"/>
      <c r="AW86" s="97"/>
      <c r="AX86" s="97"/>
    </row>
    <row r="87" ht="15.75" customHeight="1">
      <c r="A87" s="114" t="s">
        <v>541</v>
      </c>
      <c r="B87" s="157" t="s">
        <v>747</v>
      </c>
      <c r="C87" s="76" t="s">
        <v>1179</v>
      </c>
      <c r="D87" s="76" t="s">
        <v>1180</v>
      </c>
      <c r="E87" s="117" t="s">
        <v>1181</v>
      </c>
      <c r="F87" s="76"/>
      <c r="G87" s="76"/>
      <c r="H87" s="76"/>
      <c r="I87" s="118"/>
      <c r="J87" s="120"/>
      <c r="K87" s="118"/>
      <c r="L87" s="118"/>
      <c r="M87" s="185"/>
      <c r="N87" s="185"/>
      <c r="O87" s="121" t="s">
        <v>1182</v>
      </c>
      <c r="P87" s="118"/>
      <c r="Q87" s="118" t="s">
        <v>184</v>
      </c>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97"/>
      <c r="AP87" s="97"/>
      <c r="AQ87" s="97"/>
      <c r="AR87" s="97"/>
      <c r="AS87" s="97"/>
      <c r="AT87" s="97"/>
      <c r="AU87" s="97"/>
      <c r="AV87" s="97"/>
      <c r="AW87" s="97"/>
      <c r="AX87" s="97"/>
    </row>
    <row r="88" ht="15.75" customHeight="1">
      <c r="A88" s="114" t="s">
        <v>703</v>
      </c>
      <c r="B88" s="157" t="s">
        <v>757</v>
      </c>
      <c r="C88" s="76" t="s">
        <v>1199</v>
      </c>
      <c r="D88" s="76" t="s">
        <v>1201</v>
      </c>
      <c r="E88" s="117" t="s">
        <v>1202</v>
      </c>
      <c r="F88" s="76"/>
      <c r="G88" s="76"/>
      <c r="H88" s="76"/>
      <c r="I88" s="118"/>
      <c r="J88" s="120"/>
      <c r="K88" s="118"/>
      <c r="L88" s="118"/>
      <c r="M88" s="118"/>
      <c r="N88" s="118"/>
      <c r="O88" s="121" t="s">
        <v>1209</v>
      </c>
      <c r="P88" s="118"/>
      <c r="Q88" s="118" t="s">
        <v>184</v>
      </c>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97"/>
      <c r="AP88" s="97"/>
      <c r="AQ88" s="97"/>
      <c r="AR88" s="97"/>
      <c r="AS88" s="97"/>
      <c r="AT88" s="97"/>
      <c r="AU88" s="97"/>
      <c r="AV88" s="97"/>
      <c r="AW88" s="97"/>
      <c r="AX88" s="97"/>
    </row>
    <row r="89" ht="15.75" customHeight="1">
      <c r="A89" s="114" t="s">
        <v>707</v>
      </c>
      <c r="B89" s="157" t="s">
        <v>760</v>
      </c>
      <c r="C89" s="76" t="s">
        <v>1224</v>
      </c>
      <c r="D89" s="76" t="s">
        <v>1225</v>
      </c>
      <c r="E89" s="117" t="s">
        <v>1226</v>
      </c>
      <c r="F89" s="76"/>
      <c r="G89" s="76"/>
      <c r="H89" s="76"/>
      <c r="I89" s="118"/>
      <c r="J89" s="120"/>
      <c r="K89" s="118"/>
      <c r="L89" s="118"/>
      <c r="M89" s="118"/>
      <c r="N89" s="118"/>
      <c r="O89" s="121" t="s">
        <v>1231</v>
      </c>
      <c r="P89" s="118"/>
      <c r="Q89" s="118" t="s">
        <v>184</v>
      </c>
      <c r="R89" s="118"/>
      <c r="S89" s="118"/>
      <c r="T89" s="118"/>
      <c r="U89" s="118"/>
      <c r="V89" s="118"/>
      <c r="W89" s="118"/>
      <c r="X89" s="118"/>
      <c r="Y89" s="118" t="s">
        <v>1070</v>
      </c>
      <c r="Z89" s="118"/>
      <c r="AA89" s="118"/>
      <c r="AB89" s="118"/>
      <c r="AC89" s="118"/>
      <c r="AD89" s="118"/>
      <c r="AE89" s="118"/>
      <c r="AF89" s="118"/>
      <c r="AG89" s="118"/>
      <c r="AH89" s="118"/>
      <c r="AI89" s="118"/>
      <c r="AJ89" s="118"/>
      <c r="AK89" s="118"/>
      <c r="AL89" s="118"/>
      <c r="AM89" s="118"/>
      <c r="AN89" s="118"/>
      <c r="AO89" s="97"/>
      <c r="AP89" s="97"/>
      <c r="AQ89" s="97"/>
      <c r="AR89" s="97"/>
      <c r="AS89" s="97"/>
      <c r="AT89" s="97"/>
      <c r="AU89" s="97"/>
      <c r="AV89" s="97"/>
      <c r="AW89" s="97"/>
      <c r="AX89" s="97"/>
    </row>
    <row r="90" ht="15.75" customHeight="1">
      <c r="A90" s="162" t="s">
        <v>217</v>
      </c>
      <c r="B90" s="163" t="s">
        <v>763</v>
      </c>
      <c r="C90" s="76" t="s">
        <v>1249</v>
      </c>
      <c r="D90" s="76" t="s">
        <v>1250</v>
      </c>
      <c r="E90" s="117" t="s">
        <v>1251</v>
      </c>
      <c r="F90" s="76"/>
      <c r="G90" s="76"/>
      <c r="H90" s="76"/>
      <c r="I90" s="182"/>
      <c r="J90" s="183"/>
      <c r="K90" s="182"/>
      <c r="L90" s="182"/>
      <c r="M90" s="182"/>
      <c r="N90" s="182"/>
      <c r="O90" s="184" t="s">
        <v>1257</v>
      </c>
      <c r="P90" s="182"/>
      <c r="Q90" s="153" t="s">
        <v>184</v>
      </c>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97"/>
      <c r="AP90" s="97"/>
      <c r="AQ90" s="97"/>
      <c r="AR90" s="97"/>
      <c r="AS90" s="97"/>
      <c r="AT90" s="97"/>
      <c r="AU90" s="97"/>
      <c r="AV90" s="97"/>
      <c r="AW90" s="97"/>
      <c r="AX90" s="97"/>
    </row>
    <row r="91" ht="15.75" customHeight="1">
      <c r="A91" s="114" t="s">
        <v>727</v>
      </c>
      <c r="B91" s="157" t="s">
        <v>768</v>
      </c>
      <c r="C91" s="76" t="s">
        <v>1277</v>
      </c>
      <c r="D91" s="76" t="s">
        <v>1278</v>
      </c>
      <c r="E91" s="117" t="s">
        <v>1280</v>
      </c>
      <c r="F91" s="76"/>
      <c r="G91" s="76"/>
      <c r="H91" s="76"/>
      <c r="I91" s="118"/>
      <c r="J91" s="122" t="s">
        <v>1283</v>
      </c>
      <c r="K91" s="118"/>
      <c r="L91" s="118"/>
      <c r="M91" s="118"/>
      <c r="N91" s="118"/>
      <c r="O91" s="121" t="s">
        <v>1284</v>
      </c>
      <c r="P91" s="118"/>
      <c r="Q91" s="118" t="s">
        <v>184</v>
      </c>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97"/>
      <c r="AP91" s="97"/>
      <c r="AQ91" s="97"/>
      <c r="AR91" s="97"/>
      <c r="AS91" s="97"/>
      <c r="AT91" s="97"/>
      <c r="AU91" s="97"/>
      <c r="AV91" s="97"/>
      <c r="AW91" s="97"/>
      <c r="AX91" s="97"/>
    </row>
    <row r="92" ht="15.75" customHeight="1">
      <c r="A92" s="162" t="s">
        <v>217</v>
      </c>
      <c r="B92" s="163" t="s">
        <v>778</v>
      </c>
      <c r="C92" s="76" t="s">
        <v>1293</v>
      </c>
      <c r="D92" s="76" t="s">
        <v>1294</v>
      </c>
      <c r="E92" s="117" t="s">
        <v>1295</v>
      </c>
      <c r="F92" s="76"/>
      <c r="G92" s="76"/>
      <c r="H92" s="76"/>
      <c r="I92" s="182"/>
      <c r="J92" s="183"/>
      <c r="K92" s="182"/>
      <c r="L92" s="182"/>
      <c r="M92" s="182"/>
      <c r="N92" s="182"/>
      <c r="O92" s="184" t="s">
        <v>1296</v>
      </c>
      <c r="P92" s="182"/>
      <c r="Q92" s="184" t="s">
        <v>184</v>
      </c>
      <c r="R92" s="182"/>
      <c r="S92" s="182"/>
      <c r="T92" s="182"/>
      <c r="U92" s="182"/>
      <c r="V92" s="182"/>
      <c r="W92" s="182"/>
      <c r="X92" s="182"/>
      <c r="Y92" s="182"/>
      <c r="Z92" s="182"/>
      <c r="AA92" s="182"/>
      <c r="AB92" s="182"/>
      <c r="AC92" s="182"/>
      <c r="AD92" s="134"/>
      <c r="AE92" s="134"/>
      <c r="AF92" s="134"/>
      <c r="AG92" s="134"/>
      <c r="AH92" s="134"/>
      <c r="AI92" s="134"/>
      <c r="AJ92" s="134"/>
      <c r="AK92" s="134"/>
      <c r="AL92" s="134"/>
      <c r="AM92" s="134"/>
      <c r="AN92" s="134"/>
      <c r="AO92" s="97"/>
      <c r="AP92" s="97"/>
      <c r="AQ92" s="97"/>
      <c r="AR92" s="97"/>
      <c r="AS92" s="97"/>
      <c r="AT92" s="97"/>
      <c r="AU92" s="97"/>
      <c r="AV92" s="97"/>
      <c r="AW92" s="97"/>
      <c r="AX92" s="97"/>
    </row>
    <row r="93" ht="15.75" customHeight="1">
      <c r="A93" s="114" t="s">
        <v>680</v>
      </c>
      <c r="B93" s="157" t="s">
        <v>779</v>
      </c>
      <c r="C93" s="76" t="s">
        <v>1306</v>
      </c>
      <c r="D93" s="76" t="s">
        <v>1307</v>
      </c>
      <c r="E93" s="117" t="s">
        <v>1308</v>
      </c>
      <c r="F93" s="76" t="s">
        <v>1309</v>
      </c>
      <c r="G93" s="76" t="s">
        <v>1310</v>
      </c>
      <c r="H93" s="76" t="s">
        <v>1311</v>
      </c>
      <c r="I93" s="118"/>
      <c r="J93" s="120"/>
      <c r="K93" s="118"/>
      <c r="L93" s="118"/>
      <c r="M93" s="118"/>
      <c r="N93" s="118"/>
      <c r="O93" s="121" t="s">
        <v>1182</v>
      </c>
      <c r="P93" s="118"/>
      <c r="Q93" s="118" t="s">
        <v>184</v>
      </c>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97"/>
      <c r="AP93" s="97"/>
      <c r="AQ93" s="97"/>
      <c r="AR93" s="97"/>
      <c r="AS93" s="97"/>
      <c r="AT93" s="97"/>
      <c r="AU93" s="97"/>
      <c r="AV93" s="97"/>
      <c r="AW93" s="97"/>
      <c r="AX93" s="97"/>
    </row>
    <row r="94" ht="15.75" customHeight="1">
      <c r="A94" s="80" t="s">
        <v>150</v>
      </c>
      <c r="B94" s="81" t="s">
        <v>784</v>
      </c>
      <c r="C94" s="82"/>
      <c r="D94" s="83"/>
      <c r="E94" s="83"/>
      <c r="F94" s="84"/>
      <c r="G94" s="84"/>
      <c r="H94" s="84"/>
      <c r="I94" s="84"/>
      <c r="J94" s="86"/>
      <c r="K94" s="84"/>
      <c r="L94" s="84"/>
      <c r="M94" s="86"/>
      <c r="N94" s="86"/>
      <c r="O94" s="91"/>
      <c r="P94" s="84"/>
      <c r="Q94" s="84"/>
      <c r="R94" s="84"/>
      <c r="S94" s="84"/>
      <c r="T94" s="94" t="s">
        <v>156</v>
      </c>
      <c r="U94" s="84"/>
      <c r="V94" s="84"/>
      <c r="W94" s="84"/>
      <c r="X94" s="84"/>
      <c r="Y94" s="84"/>
      <c r="Z94" s="84"/>
      <c r="AA94" s="84"/>
      <c r="AB94" s="84"/>
      <c r="AC94" s="84"/>
      <c r="AD94" s="97"/>
      <c r="AE94" s="97"/>
      <c r="AF94" s="97"/>
      <c r="AG94" s="97"/>
      <c r="AH94" s="97"/>
      <c r="AI94" s="97"/>
      <c r="AJ94" s="97"/>
      <c r="AK94" s="97"/>
      <c r="AL94" s="97"/>
      <c r="AM94" s="97"/>
      <c r="AN94" s="97"/>
      <c r="AO94" s="97"/>
      <c r="AP94" s="97"/>
      <c r="AQ94" s="97"/>
      <c r="AR94" s="97"/>
      <c r="AS94" s="97"/>
      <c r="AT94" s="97"/>
      <c r="AU94" s="97"/>
      <c r="AV94" s="97"/>
      <c r="AW94" s="97"/>
      <c r="AX94" s="97"/>
    </row>
    <row r="95" ht="15.75" customHeight="1">
      <c r="A95" s="80" t="s">
        <v>115</v>
      </c>
      <c r="B95" s="81" t="s">
        <v>786</v>
      </c>
      <c r="C95" s="82"/>
      <c r="D95" s="83"/>
      <c r="E95" s="83"/>
      <c r="F95" s="84"/>
      <c r="G95" s="84"/>
      <c r="H95" s="84"/>
      <c r="I95" s="86"/>
      <c r="J95" s="86"/>
      <c r="K95" s="84"/>
      <c r="L95" s="86"/>
      <c r="M95" s="86"/>
      <c r="N95" s="86"/>
      <c r="O95" s="86"/>
      <c r="P95" s="84"/>
      <c r="Q95" s="84"/>
      <c r="R95" s="84"/>
      <c r="S95" s="84"/>
      <c r="T95" s="80" t="s">
        <v>1329</v>
      </c>
      <c r="U95" s="84"/>
      <c r="V95" s="84"/>
      <c r="W95" s="84"/>
      <c r="X95" s="84"/>
      <c r="Y95" s="84"/>
      <c r="Z95" s="84"/>
      <c r="AA95" s="84"/>
      <c r="AB95" s="84"/>
      <c r="AC95" s="84"/>
      <c r="AD95" s="97"/>
      <c r="AE95" s="97"/>
      <c r="AF95" s="97"/>
      <c r="AG95" s="97"/>
      <c r="AH95" s="97"/>
      <c r="AI95" s="97"/>
      <c r="AJ95" s="97"/>
      <c r="AK95" s="97"/>
      <c r="AL95" s="97"/>
      <c r="AM95" s="97"/>
      <c r="AN95" s="97"/>
      <c r="AO95" s="97"/>
      <c r="AP95" s="97"/>
      <c r="AQ95" s="97"/>
      <c r="AR95" s="97"/>
      <c r="AS95" s="97"/>
      <c r="AT95" s="97"/>
      <c r="AU95" s="97"/>
      <c r="AV95" s="97"/>
      <c r="AW95" s="97"/>
      <c r="AX95" s="97"/>
    </row>
    <row r="96" ht="15.75" customHeight="1">
      <c r="A96" s="80" t="s">
        <v>150</v>
      </c>
      <c r="B96" s="164" t="s">
        <v>790</v>
      </c>
      <c r="C96" s="82"/>
      <c r="D96" s="83"/>
      <c r="E96" s="83"/>
      <c r="F96" s="84"/>
      <c r="G96" s="84"/>
      <c r="H96" s="84"/>
      <c r="I96" s="84"/>
      <c r="J96" s="86"/>
      <c r="K96" s="84"/>
      <c r="L96" s="84"/>
      <c r="M96" s="86"/>
      <c r="N96" s="86"/>
      <c r="O96" s="91"/>
      <c r="P96" s="84"/>
      <c r="Q96" s="84"/>
      <c r="R96" s="84"/>
      <c r="S96" s="84"/>
      <c r="T96" s="94" t="s">
        <v>156</v>
      </c>
      <c r="U96" s="84"/>
      <c r="V96" s="84"/>
      <c r="W96" s="84"/>
      <c r="X96" s="84"/>
      <c r="Y96" s="84"/>
      <c r="Z96" s="84"/>
      <c r="AA96" s="84"/>
      <c r="AB96" s="84"/>
      <c r="AC96" s="84"/>
      <c r="AD96" s="97"/>
      <c r="AE96" s="97"/>
      <c r="AF96" s="97"/>
      <c r="AG96" s="97"/>
      <c r="AH96" s="97"/>
      <c r="AI96" s="97"/>
      <c r="AJ96" s="97"/>
      <c r="AK96" s="97"/>
      <c r="AL96" s="97"/>
      <c r="AM96" s="97"/>
      <c r="AN96" s="97"/>
      <c r="AO96" s="97"/>
      <c r="AP96" s="97"/>
      <c r="AQ96" s="97"/>
      <c r="AR96" s="97"/>
      <c r="AS96" s="97"/>
      <c r="AT96" s="97"/>
      <c r="AU96" s="97"/>
      <c r="AV96" s="97"/>
      <c r="AW96" s="97"/>
      <c r="AX96" s="97"/>
    </row>
    <row r="97" ht="15.75" customHeight="1">
      <c r="A97" s="152" t="s">
        <v>44</v>
      </c>
      <c r="B97" s="77" t="s">
        <v>796</v>
      </c>
      <c r="C97" s="76" t="s">
        <v>1370</v>
      </c>
      <c r="D97" s="76" t="s">
        <v>1373</v>
      </c>
      <c r="E97" s="117" t="s">
        <v>1380</v>
      </c>
      <c r="F97" s="76"/>
      <c r="G97" s="76"/>
      <c r="H97" s="76"/>
      <c r="I97" s="176"/>
      <c r="J97" s="176"/>
      <c r="K97" s="176"/>
      <c r="L97" s="176"/>
      <c r="M97" s="176"/>
      <c r="N97" s="176"/>
      <c r="O97" s="176"/>
      <c r="P97" s="176"/>
      <c r="Q97" s="176"/>
      <c r="R97" s="176"/>
      <c r="S97" s="176"/>
      <c r="T97" s="176"/>
      <c r="U97" s="176"/>
      <c r="V97" s="176"/>
      <c r="W97" s="176"/>
      <c r="X97" s="176"/>
      <c r="Y97" s="176"/>
      <c r="Z97" s="176"/>
      <c r="AA97" s="176"/>
      <c r="AB97" s="176"/>
      <c r="AC97" s="176"/>
      <c r="AD97" s="97"/>
      <c r="AE97" s="97"/>
      <c r="AF97" s="97"/>
      <c r="AG97" s="97"/>
      <c r="AH97" s="97"/>
      <c r="AI97" s="97"/>
      <c r="AJ97" s="97"/>
      <c r="AK97" s="97"/>
      <c r="AL97" s="97"/>
      <c r="AM97" s="97"/>
      <c r="AN97" s="97"/>
      <c r="AO97" s="97"/>
      <c r="AP97" s="97"/>
      <c r="AQ97" s="97"/>
      <c r="AR97" s="97"/>
      <c r="AS97" s="97"/>
      <c r="AT97" s="97"/>
      <c r="AU97" s="97"/>
      <c r="AV97" s="97"/>
      <c r="AW97" s="97"/>
      <c r="AX97" s="97"/>
    </row>
    <row r="98" ht="15.75" customHeight="1">
      <c r="A98" s="114" t="s">
        <v>798</v>
      </c>
      <c r="B98" s="165" t="s">
        <v>799</v>
      </c>
      <c r="C98" s="76" t="s">
        <v>1404</v>
      </c>
      <c r="D98" s="76" t="s">
        <v>1409</v>
      </c>
      <c r="E98" s="117" t="s">
        <v>1411</v>
      </c>
      <c r="F98" s="76"/>
      <c r="G98" s="76"/>
      <c r="H98" s="76"/>
      <c r="I98" s="120"/>
      <c r="J98" s="118"/>
      <c r="K98" s="121" t="s">
        <v>1413</v>
      </c>
      <c r="L98" s="118"/>
      <c r="M98" s="118"/>
      <c r="N98" s="118"/>
      <c r="O98" s="118"/>
      <c r="P98" s="118"/>
      <c r="Q98" s="118" t="s">
        <v>184</v>
      </c>
      <c r="R98" s="118"/>
      <c r="S98" s="118"/>
      <c r="T98" s="118"/>
      <c r="U98" s="118"/>
      <c r="V98" s="118"/>
      <c r="W98" s="118"/>
      <c r="X98" s="118"/>
      <c r="Y98" s="118"/>
      <c r="Z98" s="118"/>
      <c r="AA98" s="118"/>
      <c r="AB98" s="118"/>
      <c r="AC98" s="118"/>
      <c r="AD98" s="97"/>
      <c r="AE98" s="97"/>
      <c r="AF98" s="97"/>
      <c r="AG98" s="97"/>
      <c r="AH98" s="97"/>
      <c r="AI98" s="97"/>
      <c r="AJ98" s="97"/>
      <c r="AK98" s="97"/>
      <c r="AL98" s="97"/>
      <c r="AM98" s="97"/>
      <c r="AN98" s="97"/>
      <c r="AO98" s="97"/>
      <c r="AP98" s="97"/>
      <c r="AQ98" s="97"/>
      <c r="AR98" s="97"/>
      <c r="AS98" s="97"/>
      <c r="AT98" s="97"/>
      <c r="AU98" s="97"/>
      <c r="AV98" s="97"/>
      <c r="AW98" s="97"/>
      <c r="AX98" s="97"/>
    </row>
    <row r="99" ht="15.75" customHeight="1">
      <c r="A99" s="162" t="s">
        <v>217</v>
      </c>
      <c r="B99" s="166" t="s">
        <v>805</v>
      </c>
      <c r="C99" s="76" t="s">
        <v>1428</v>
      </c>
      <c r="D99" s="76" t="s">
        <v>1429</v>
      </c>
      <c r="E99" s="117" t="s">
        <v>1430</v>
      </c>
      <c r="F99" s="76"/>
      <c r="G99" s="76"/>
      <c r="H99" s="76"/>
      <c r="I99" s="183"/>
      <c r="J99" s="183"/>
      <c r="K99" s="182"/>
      <c r="L99" s="182"/>
      <c r="M99" s="182"/>
      <c r="N99" s="182"/>
      <c r="O99" s="182" t="s">
        <v>1433</v>
      </c>
      <c r="P99" s="182"/>
      <c r="Q99" s="182" t="s">
        <v>184</v>
      </c>
      <c r="R99" s="182"/>
      <c r="S99" s="182"/>
      <c r="T99" s="182"/>
      <c r="U99" s="182"/>
      <c r="V99" s="182"/>
      <c r="W99" s="182"/>
      <c r="X99" s="182"/>
      <c r="Y99" s="182"/>
      <c r="Z99" s="182"/>
      <c r="AA99" s="182"/>
      <c r="AB99" s="182"/>
      <c r="AC99" s="182"/>
      <c r="AD99" s="97"/>
      <c r="AE99" s="97"/>
      <c r="AF99" s="97"/>
      <c r="AG99" s="97"/>
      <c r="AH99" s="97"/>
      <c r="AI99" s="97"/>
      <c r="AJ99" s="97"/>
      <c r="AK99" s="97"/>
      <c r="AL99" s="97"/>
      <c r="AM99" s="97"/>
      <c r="AN99" s="97"/>
      <c r="AO99" s="97"/>
      <c r="AP99" s="97"/>
      <c r="AQ99" s="97"/>
      <c r="AR99" s="97"/>
      <c r="AS99" s="97"/>
      <c r="AT99" s="97"/>
      <c r="AU99" s="97"/>
      <c r="AV99" s="97"/>
      <c r="AW99" s="97"/>
      <c r="AX99" s="97"/>
    </row>
    <row r="100" ht="15.75" customHeight="1">
      <c r="A100" s="167" t="s">
        <v>807</v>
      </c>
      <c r="B100" s="168" t="s">
        <v>808</v>
      </c>
      <c r="C100" s="168" t="s">
        <v>809</v>
      </c>
      <c r="D100" s="169" t="s">
        <v>810</v>
      </c>
      <c r="E100" s="169" t="s">
        <v>811</v>
      </c>
      <c r="F100" s="205"/>
      <c r="G100" s="205"/>
      <c r="H100" s="205"/>
      <c r="I100" s="205"/>
      <c r="J100" s="205"/>
      <c r="K100" s="205"/>
      <c r="L100" s="207"/>
      <c r="M100" s="207"/>
      <c r="N100" s="207"/>
      <c r="O100" s="207" t="s">
        <v>1453</v>
      </c>
      <c r="P100" s="205"/>
      <c r="Q100" s="205"/>
      <c r="R100" s="205"/>
      <c r="S100" s="205"/>
      <c r="T100" s="207"/>
      <c r="U100" s="207" t="s">
        <v>1457</v>
      </c>
      <c r="V100" s="205"/>
      <c r="W100" s="205"/>
      <c r="X100" s="205"/>
      <c r="Y100" s="205"/>
      <c r="Z100" s="205"/>
      <c r="AA100" s="205"/>
      <c r="AB100" s="205"/>
      <c r="AC100" s="205"/>
      <c r="AD100" s="97"/>
      <c r="AE100" s="97"/>
      <c r="AF100" s="97"/>
      <c r="AG100" s="97"/>
      <c r="AH100" s="97"/>
      <c r="AI100" s="97"/>
      <c r="AJ100" s="97"/>
      <c r="AK100" s="97"/>
      <c r="AL100" s="97"/>
      <c r="AM100" s="97"/>
      <c r="AN100" s="97"/>
      <c r="AO100" s="97"/>
      <c r="AP100" s="97"/>
      <c r="AQ100" s="97"/>
      <c r="AR100" s="97"/>
      <c r="AS100" s="97"/>
      <c r="AT100" s="97"/>
      <c r="AU100" s="97"/>
      <c r="AV100" s="97"/>
      <c r="AW100" s="97"/>
      <c r="AX100" s="97"/>
    </row>
    <row r="101" ht="15.75" customHeight="1">
      <c r="A101" s="131" t="s">
        <v>115</v>
      </c>
      <c r="B101" s="132" t="s">
        <v>816</v>
      </c>
      <c r="C101" s="133" t="s">
        <v>817</v>
      </c>
      <c r="D101" s="133" t="s">
        <v>818</v>
      </c>
      <c r="E101" s="133" t="s">
        <v>820</v>
      </c>
      <c r="F101" s="134"/>
      <c r="G101" s="134"/>
      <c r="H101" s="134"/>
      <c r="I101" s="134"/>
      <c r="J101" s="134"/>
      <c r="K101" s="134"/>
      <c r="L101" s="134"/>
      <c r="M101" s="134"/>
      <c r="N101" s="134"/>
      <c r="O101" s="134"/>
      <c r="P101" s="134"/>
      <c r="Q101" s="134"/>
      <c r="R101" s="134"/>
      <c r="S101" s="149"/>
      <c r="T101" s="134" t="s">
        <v>1491</v>
      </c>
      <c r="U101" s="134"/>
      <c r="V101" s="134"/>
      <c r="W101" s="134"/>
      <c r="X101" s="134"/>
      <c r="Y101" s="134"/>
      <c r="Z101" s="134"/>
      <c r="AA101" s="134"/>
      <c r="AB101" s="134"/>
      <c r="AC101" s="134"/>
      <c r="AD101" s="97"/>
      <c r="AE101" s="97"/>
      <c r="AF101" s="97"/>
      <c r="AG101" s="97"/>
      <c r="AH101" s="97"/>
      <c r="AI101" s="97"/>
      <c r="AJ101" s="97"/>
      <c r="AK101" s="97"/>
      <c r="AL101" s="97"/>
      <c r="AM101" s="97"/>
      <c r="AN101" s="97"/>
      <c r="AO101" s="97"/>
      <c r="AP101" s="97"/>
      <c r="AQ101" s="97"/>
      <c r="AR101" s="97"/>
      <c r="AS101" s="97"/>
      <c r="AT101" s="97"/>
      <c r="AU101" s="97"/>
      <c r="AV101" s="97"/>
      <c r="AW101" s="97"/>
      <c r="AX101" s="97"/>
    </row>
    <row r="102" ht="15.75" customHeight="1">
      <c r="A102" s="170" t="s">
        <v>238</v>
      </c>
      <c r="B102" s="171" t="s">
        <v>825</v>
      </c>
      <c r="C102" s="76" t="s">
        <v>1519</v>
      </c>
      <c r="D102" s="76" t="s">
        <v>1520</v>
      </c>
      <c r="E102" s="117" t="s">
        <v>1522</v>
      </c>
      <c r="F102" s="76"/>
      <c r="G102" s="76"/>
      <c r="H102" s="76"/>
      <c r="I102" s="209"/>
      <c r="J102" s="210"/>
      <c r="K102" s="210" t="s">
        <v>1526</v>
      </c>
      <c r="L102" s="210"/>
      <c r="M102" s="209"/>
      <c r="N102" s="209"/>
      <c r="O102" s="209"/>
      <c r="P102" s="209"/>
      <c r="Q102" s="209" t="s">
        <v>184</v>
      </c>
      <c r="R102" s="209"/>
      <c r="S102" s="209"/>
      <c r="T102" s="209"/>
      <c r="U102" s="209"/>
      <c r="V102" s="209"/>
      <c r="W102" s="209"/>
      <c r="X102" s="209"/>
      <c r="Y102" s="209"/>
      <c r="Z102" s="209"/>
      <c r="AA102" s="209"/>
      <c r="AB102" s="209"/>
      <c r="AC102" s="209"/>
      <c r="AD102" s="97"/>
      <c r="AE102" s="97"/>
      <c r="AF102" s="97"/>
      <c r="AG102" s="97"/>
      <c r="AH102" s="97"/>
      <c r="AI102" s="97"/>
      <c r="AJ102" s="97"/>
      <c r="AK102" s="97"/>
      <c r="AL102" s="97"/>
      <c r="AM102" s="97"/>
      <c r="AN102" s="97"/>
      <c r="AO102" s="97"/>
      <c r="AP102" s="97"/>
      <c r="AQ102" s="97"/>
      <c r="AR102" s="97"/>
      <c r="AS102" s="97"/>
      <c r="AT102" s="97"/>
      <c r="AU102" s="97"/>
      <c r="AV102" s="97"/>
      <c r="AW102" s="97"/>
      <c r="AX102" s="97"/>
    </row>
    <row r="103" ht="15.75" customHeight="1">
      <c r="A103" s="121" t="s">
        <v>680</v>
      </c>
      <c r="B103" s="165" t="s">
        <v>832</v>
      </c>
      <c r="C103" s="76" t="s">
        <v>1543</v>
      </c>
      <c r="D103" s="76" t="s">
        <v>1545</v>
      </c>
      <c r="E103" s="117" t="s">
        <v>1549</v>
      </c>
      <c r="F103" s="76"/>
      <c r="G103" s="76"/>
      <c r="H103" s="76"/>
      <c r="I103" s="120"/>
      <c r="J103" s="118"/>
      <c r="K103" s="118"/>
      <c r="L103" s="118"/>
      <c r="M103" s="118"/>
      <c r="N103" s="118"/>
      <c r="O103" s="118"/>
      <c r="P103" s="118"/>
      <c r="Q103" s="118" t="s">
        <v>184</v>
      </c>
      <c r="R103" s="118"/>
      <c r="S103" s="118"/>
      <c r="T103" s="118"/>
      <c r="U103" s="118"/>
      <c r="V103" s="118"/>
      <c r="W103" s="118"/>
      <c r="X103" s="118"/>
      <c r="Y103" s="118"/>
      <c r="Z103" s="118"/>
      <c r="AA103" s="118"/>
      <c r="AB103" s="118"/>
      <c r="AC103" s="118"/>
      <c r="AD103" s="97"/>
      <c r="AE103" s="97"/>
      <c r="AF103" s="97"/>
      <c r="AG103" s="97"/>
      <c r="AH103" s="97"/>
      <c r="AI103" s="97"/>
      <c r="AJ103" s="97"/>
      <c r="AK103" s="97"/>
      <c r="AL103" s="97"/>
      <c r="AM103" s="97"/>
      <c r="AN103" s="97"/>
      <c r="AO103" s="97"/>
      <c r="AP103" s="97"/>
      <c r="AQ103" s="97"/>
      <c r="AR103" s="97"/>
      <c r="AS103" s="97"/>
      <c r="AT103" s="97"/>
      <c r="AU103" s="97"/>
      <c r="AV103" s="97"/>
      <c r="AW103" s="97"/>
      <c r="AX103" s="97"/>
    </row>
    <row r="104" ht="15.75" customHeight="1">
      <c r="A104" s="167" t="s">
        <v>842</v>
      </c>
      <c r="B104" s="169" t="s">
        <v>808</v>
      </c>
      <c r="C104" s="169" t="s">
        <v>809</v>
      </c>
      <c r="D104" s="169" t="s">
        <v>810</v>
      </c>
      <c r="E104" s="169" t="s">
        <v>811</v>
      </c>
      <c r="F104" s="205"/>
      <c r="G104" s="205"/>
      <c r="H104" s="205"/>
      <c r="I104" s="205"/>
      <c r="J104" s="205"/>
      <c r="K104" s="205"/>
      <c r="L104" s="205"/>
      <c r="M104" s="205"/>
      <c r="N104" s="205"/>
      <c r="O104" s="205"/>
      <c r="P104" s="205"/>
      <c r="Q104" s="205"/>
      <c r="R104" s="205"/>
      <c r="S104" s="205"/>
      <c r="T104" s="205"/>
      <c r="U104" s="205"/>
      <c r="V104" s="205"/>
      <c r="W104" s="205"/>
      <c r="X104" s="205"/>
      <c r="Y104" s="205"/>
      <c r="Z104" s="205"/>
      <c r="AA104" s="205"/>
      <c r="AB104" s="205"/>
      <c r="AC104" s="205"/>
      <c r="AD104" s="97"/>
      <c r="AE104" s="97"/>
      <c r="AF104" s="97"/>
      <c r="AG104" s="97"/>
      <c r="AH104" s="97"/>
      <c r="AI104" s="97"/>
      <c r="AJ104" s="97"/>
      <c r="AK104" s="97"/>
      <c r="AL104" s="97"/>
      <c r="AM104" s="97"/>
      <c r="AN104" s="97"/>
      <c r="AO104" s="97"/>
      <c r="AP104" s="97"/>
      <c r="AQ104" s="97"/>
      <c r="AR104" s="97"/>
      <c r="AS104" s="97"/>
      <c r="AT104" s="97"/>
      <c r="AU104" s="97"/>
      <c r="AV104" s="97"/>
      <c r="AW104" s="97"/>
      <c r="AX104" s="97"/>
    </row>
    <row r="105" ht="15.75" customHeight="1">
      <c r="A105" s="80" t="s">
        <v>150</v>
      </c>
      <c r="B105" s="164" t="s">
        <v>850</v>
      </c>
      <c r="C105" s="82"/>
      <c r="D105" s="83"/>
      <c r="E105" s="83"/>
      <c r="F105" s="84"/>
      <c r="G105" s="84"/>
      <c r="H105" s="84"/>
      <c r="I105" s="84"/>
      <c r="J105" s="86"/>
      <c r="K105" s="84"/>
      <c r="L105" s="84"/>
      <c r="M105" s="86"/>
      <c r="N105" s="86"/>
      <c r="O105" s="91"/>
      <c r="P105" s="84"/>
      <c r="Q105" s="84"/>
      <c r="R105" s="84"/>
      <c r="S105" s="84"/>
      <c r="T105" s="94" t="s">
        <v>156</v>
      </c>
      <c r="U105" s="84"/>
      <c r="V105" s="84"/>
      <c r="W105" s="84"/>
      <c r="X105" s="84"/>
      <c r="Y105" s="84"/>
      <c r="Z105" s="84"/>
      <c r="AA105" s="84"/>
      <c r="AB105" s="84"/>
      <c r="AC105" s="84"/>
      <c r="AD105" s="97"/>
      <c r="AE105" s="97"/>
      <c r="AF105" s="97"/>
      <c r="AG105" s="97"/>
      <c r="AH105" s="97"/>
      <c r="AI105" s="97"/>
      <c r="AJ105" s="97"/>
      <c r="AK105" s="97"/>
      <c r="AL105" s="97"/>
      <c r="AM105" s="97"/>
      <c r="AN105" s="97"/>
      <c r="AO105" s="97"/>
      <c r="AP105" s="97"/>
      <c r="AQ105" s="97"/>
      <c r="AR105" s="97"/>
      <c r="AS105" s="97"/>
      <c r="AT105" s="97"/>
      <c r="AU105" s="97"/>
      <c r="AV105" s="97"/>
      <c r="AW105" s="97"/>
      <c r="AX105" s="97"/>
    </row>
    <row r="106" ht="15.75" customHeight="1">
      <c r="A106" s="80" t="s">
        <v>115</v>
      </c>
      <c r="B106" s="81" t="s">
        <v>863</v>
      </c>
      <c r="C106" s="82"/>
      <c r="D106" s="83"/>
      <c r="E106" s="83"/>
      <c r="F106" s="84"/>
      <c r="G106" s="84"/>
      <c r="H106" s="84"/>
      <c r="I106" s="86"/>
      <c r="J106" s="86"/>
      <c r="K106" s="84"/>
      <c r="L106" s="86"/>
      <c r="M106" s="86"/>
      <c r="N106" s="86"/>
      <c r="O106" s="86"/>
      <c r="P106" s="84"/>
      <c r="Q106" s="84"/>
      <c r="R106" s="84"/>
      <c r="S106" s="84"/>
      <c r="T106" s="80" t="s">
        <v>1613</v>
      </c>
      <c r="U106" s="84"/>
      <c r="V106" s="84"/>
      <c r="W106" s="84"/>
      <c r="X106" s="84"/>
      <c r="Y106" s="84"/>
      <c r="Z106" s="84"/>
      <c r="AA106" s="84"/>
      <c r="AB106" s="84"/>
      <c r="AC106" s="84"/>
      <c r="AD106" s="97"/>
      <c r="AE106" s="97"/>
      <c r="AF106" s="97"/>
      <c r="AG106" s="97"/>
      <c r="AH106" s="97"/>
      <c r="AI106" s="97"/>
      <c r="AJ106" s="97"/>
      <c r="AK106" s="97"/>
      <c r="AL106" s="97"/>
      <c r="AM106" s="97"/>
      <c r="AN106" s="97"/>
      <c r="AO106" s="97"/>
      <c r="AP106" s="97"/>
      <c r="AQ106" s="97"/>
      <c r="AR106" s="97"/>
      <c r="AS106" s="97"/>
      <c r="AT106" s="97"/>
      <c r="AU106" s="97"/>
      <c r="AV106" s="97"/>
      <c r="AW106" s="97"/>
      <c r="AX106" s="97"/>
    </row>
    <row r="107" ht="15.75" customHeight="1">
      <c r="A107" s="131"/>
      <c r="B107" s="164"/>
      <c r="C107" s="133"/>
      <c r="D107" s="133"/>
      <c r="E107" s="133"/>
      <c r="F107" s="216"/>
      <c r="G107" s="216"/>
      <c r="H107" s="216"/>
      <c r="I107" s="216"/>
      <c r="J107" s="216"/>
      <c r="K107" s="216"/>
      <c r="L107" s="216"/>
      <c r="M107" s="216"/>
      <c r="N107" s="216"/>
      <c r="O107" s="216"/>
      <c r="P107" s="216"/>
      <c r="Q107" s="216"/>
      <c r="R107" s="216"/>
      <c r="S107" s="216"/>
      <c r="T107" s="149"/>
      <c r="U107" s="216"/>
      <c r="V107" s="216"/>
      <c r="W107" s="216"/>
      <c r="X107" s="216"/>
      <c r="Y107" s="216"/>
      <c r="Z107" s="216"/>
      <c r="AA107" s="216"/>
      <c r="AB107" s="216"/>
      <c r="AC107" s="216"/>
      <c r="AD107" s="217"/>
      <c r="AE107" s="217"/>
      <c r="AF107" s="217"/>
      <c r="AG107" s="217"/>
      <c r="AH107" s="217"/>
      <c r="AI107" s="217"/>
      <c r="AJ107" s="217"/>
      <c r="AK107" s="217"/>
      <c r="AL107" s="217"/>
      <c r="AM107" s="217"/>
      <c r="AN107" s="217"/>
      <c r="AO107" s="217"/>
      <c r="AP107" s="217"/>
      <c r="AQ107" s="217"/>
      <c r="AR107" s="217"/>
      <c r="AS107" s="217"/>
      <c r="AT107" s="217"/>
      <c r="AU107" s="217"/>
      <c r="AV107" s="217"/>
      <c r="AW107" s="217"/>
      <c r="AX107" s="217"/>
    </row>
    <row r="108" ht="15.75" customHeight="1">
      <c r="A108" s="131" t="s">
        <v>150</v>
      </c>
      <c r="B108" s="164" t="s">
        <v>877</v>
      </c>
      <c r="C108" s="133"/>
      <c r="D108" s="133"/>
      <c r="E108" s="133"/>
      <c r="F108" s="216"/>
      <c r="G108" s="216"/>
      <c r="H108" s="216"/>
      <c r="I108" s="216"/>
      <c r="J108" s="216"/>
      <c r="K108" s="216"/>
      <c r="L108" s="216"/>
      <c r="M108" s="216"/>
      <c r="N108" s="216"/>
      <c r="O108" s="216"/>
      <c r="P108" s="216"/>
      <c r="Q108" s="216"/>
      <c r="R108" s="216"/>
      <c r="S108" s="216"/>
      <c r="T108" s="149" t="s">
        <v>156</v>
      </c>
      <c r="U108" s="216"/>
      <c r="V108" s="216"/>
      <c r="W108" s="216"/>
      <c r="X108" s="216"/>
      <c r="Y108" s="216"/>
      <c r="Z108" s="216"/>
      <c r="AA108" s="216"/>
      <c r="AB108" s="216"/>
      <c r="AC108" s="216"/>
      <c r="AD108" s="217"/>
      <c r="AE108" s="217"/>
      <c r="AF108" s="217"/>
      <c r="AG108" s="217"/>
      <c r="AH108" s="217"/>
      <c r="AI108" s="217"/>
      <c r="AJ108" s="217"/>
      <c r="AK108" s="217"/>
      <c r="AL108" s="217"/>
      <c r="AM108" s="217"/>
      <c r="AN108" s="217"/>
      <c r="AO108" s="217"/>
      <c r="AP108" s="217"/>
      <c r="AQ108" s="217"/>
      <c r="AR108" s="217"/>
      <c r="AS108" s="217"/>
      <c r="AT108" s="217"/>
      <c r="AU108" s="217"/>
      <c r="AV108" s="217"/>
      <c r="AW108" s="217"/>
      <c r="AX108" s="217"/>
    </row>
    <row r="109" ht="15.75" customHeight="1">
      <c r="A109" s="80" t="s">
        <v>161</v>
      </c>
      <c r="B109" s="81" t="s">
        <v>884</v>
      </c>
      <c r="C109" s="81"/>
      <c r="D109" s="77"/>
      <c r="E109" s="77"/>
      <c r="F109" s="176"/>
      <c r="G109" s="176"/>
      <c r="H109" s="176"/>
      <c r="I109" s="176"/>
      <c r="J109" s="176"/>
      <c r="K109" s="176"/>
      <c r="L109" s="176"/>
      <c r="M109" s="176"/>
      <c r="N109" s="176"/>
      <c r="O109" s="153" t="s">
        <v>1645</v>
      </c>
      <c r="P109" s="176"/>
      <c r="Q109" s="176"/>
      <c r="R109" s="176"/>
      <c r="S109" s="176"/>
      <c r="T109" s="176"/>
      <c r="U109" s="176"/>
      <c r="V109" s="176"/>
      <c r="W109" s="176"/>
      <c r="X109" s="176"/>
      <c r="Y109" s="176"/>
      <c r="Z109" s="176"/>
      <c r="AA109" s="176"/>
      <c r="AB109" s="176"/>
      <c r="AC109" s="176"/>
      <c r="AD109" s="176"/>
      <c r="AE109" s="176"/>
      <c r="AF109" s="176"/>
      <c r="AG109" s="176"/>
      <c r="AH109" s="176"/>
      <c r="AI109" s="176"/>
      <c r="AJ109" s="176"/>
      <c r="AK109" s="176"/>
      <c r="AL109" s="176"/>
      <c r="AM109" s="176"/>
      <c r="AN109" s="176"/>
      <c r="AO109" s="97"/>
      <c r="AP109" s="97"/>
      <c r="AQ109" s="97"/>
      <c r="AR109" s="97"/>
      <c r="AS109" s="97"/>
      <c r="AT109" s="97"/>
      <c r="AU109" s="97"/>
      <c r="AV109" s="97"/>
      <c r="AW109" s="97"/>
      <c r="AX109" s="97"/>
    </row>
    <row r="110" ht="15.75" customHeight="1">
      <c r="A110" s="152" t="s">
        <v>44</v>
      </c>
      <c r="B110" s="77" t="s">
        <v>889</v>
      </c>
      <c r="C110" s="76" t="s">
        <v>1655</v>
      </c>
      <c r="D110" s="76" t="s">
        <v>1656</v>
      </c>
      <c r="E110" s="117" t="s">
        <v>1657</v>
      </c>
      <c r="F110" s="76"/>
      <c r="G110" s="76"/>
      <c r="H110" s="76"/>
      <c r="I110" s="176"/>
      <c r="J110" s="176"/>
      <c r="K110" s="176"/>
      <c r="L110" s="176"/>
      <c r="M110" s="176"/>
      <c r="N110" s="176"/>
      <c r="O110" s="176"/>
      <c r="P110" s="176"/>
      <c r="Q110" s="176"/>
      <c r="R110" s="176"/>
      <c r="S110" s="176"/>
      <c r="T110" s="176"/>
      <c r="U110" s="176"/>
      <c r="V110" s="176"/>
      <c r="W110" s="176"/>
      <c r="X110" s="176"/>
      <c r="Y110" s="176"/>
      <c r="Z110" s="176"/>
      <c r="AA110" s="176"/>
      <c r="AB110" s="176"/>
      <c r="AC110" s="176"/>
      <c r="AD110" s="176"/>
      <c r="AE110" s="176"/>
      <c r="AF110" s="176"/>
      <c r="AG110" s="176"/>
      <c r="AH110" s="176"/>
      <c r="AI110" s="176"/>
      <c r="AJ110" s="176"/>
      <c r="AK110" s="176"/>
      <c r="AL110" s="176"/>
      <c r="AM110" s="176"/>
      <c r="AN110" s="176"/>
      <c r="AO110" s="97"/>
      <c r="AP110" s="97"/>
      <c r="AQ110" s="97"/>
      <c r="AR110" s="97"/>
      <c r="AS110" s="97"/>
      <c r="AT110" s="97"/>
      <c r="AU110" s="97"/>
      <c r="AV110" s="97"/>
      <c r="AW110" s="97"/>
      <c r="AX110" s="97"/>
    </row>
    <row r="111" ht="15.75" customHeight="1">
      <c r="A111" s="114" t="s">
        <v>894</v>
      </c>
      <c r="B111" s="165" t="s">
        <v>896</v>
      </c>
      <c r="C111" s="76" t="s">
        <v>1670</v>
      </c>
      <c r="D111" s="76" t="s">
        <v>1671</v>
      </c>
      <c r="E111" s="117" t="s">
        <v>1672</v>
      </c>
      <c r="F111" s="76"/>
      <c r="G111" s="76"/>
      <c r="H111" s="76"/>
      <c r="I111" s="118"/>
      <c r="J111" s="120"/>
      <c r="K111" s="118"/>
      <c r="L111" s="118"/>
      <c r="M111" s="118"/>
      <c r="N111" s="118"/>
      <c r="O111" s="118"/>
      <c r="P111" s="118"/>
      <c r="Q111" s="118" t="s">
        <v>184</v>
      </c>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97"/>
      <c r="AP111" s="97"/>
      <c r="AQ111" s="97"/>
      <c r="AR111" s="97"/>
      <c r="AS111" s="97"/>
      <c r="AT111" s="97"/>
      <c r="AU111" s="97"/>
      <c r="AV111" s="97"/>
      <c r="AW111" s="97"/>
      <c r="AX111" s="97"/>
    </row>
    <row r="112" ht="15.75" customHeight="1">
      <c r="A112" s="114" t="s">
        <v>541</v>
      </c>
      <c r="B112" s="165" t="s">
        <v>911</v>
      </c>
      <c r="C112" s="76" t="s">
        <v>1683</v>
      </c>
      <c r="D112" s="76" t="s">
        <v>1684</v>
      </c>
      <c r="E112" s="117" t="s">
        <v>1686</v>
      </c>
      <c r="F112" s="76"/>
      <c r="G112" s="76"/>
      <c r="H112" s="76"/>
      <c r="I112" s="118"/>
      <c r="J112" s="120"/>
      <c r="K112" s="118"/>
      <c r="L112" s="118"/>
      <c r="M112" s="118"/>
      <c r="N112" s="118"/>
      <c r="O112" s="118"/>
      <c r="P112" s="118"/>
      <c r="Q112" s="118" t="s">
        <v>184</v>
      </c>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97"/>
      <c r="AP112" s="97"/>
      <c r="AQ112" s="97"/>
      <c r="AR112" s="97"/>
      <c r="AS112" s="97"/>
      <c r="AT112" s="97"/>
      <c r="AU112" s="97"/>
      <c r="AV112" s="97"/>
      <c r="AW112" s="97"/>
      <c r="AX112" s="97"/>
    </row>
    <row r="113" ht="15.75" customHeight="1">
      <c r="A113" s="121" t="s">
        <v>916</v>
      </c>
      <c r="B113" s="165" t="s">
        <v>917</v>
      </c>
      <c r="C113" s="76" t="s">
        <v>1701</v>
      </c>
      <c r="D113" s="76" t="s">
        <v>1704</v>
      </c>
      <c r="E113" s="117" t="s">
        <v>1706</v>
      </c>
      <c r="F113" s="76"/>
      <c r="G113" s="76"/>
      <c r="H113" s="76"/>
      <c r="I113" s="118"/>
      <c r="J113" s="120"/>
      <c r="K113" s="118"/>
      <c r="L113" s="118"/>
      <c r="M113" s="118"/>
      <c r="N113" s="118"/>
      <c r="O113" s="121" t="s">
        <v>1708</v>
      </c>
      <c r="P113" s="118"/>
      <c r="Q113" s="118" t="s">
        <v>184</v>
      </c>
      <c r="R113" s="118"/>
      <c r="S113" s="118"/>
      <c r="T113" s="118"/>
      <c r="U113" s="118"/>
      <c r="V113" s="118"/>
      <c r="W113" s="118"/>
      <c r="X113" s="118"/>
      <c r="Y113" s="118"/>
      <c r="Z113" s="118"/>
      <c r="AA113" s="118"/>
      <c r="AB113" s="118"/>
      <c r="AC113" s="118"/>
      <c r="AD113" s="176"/>
      <c r="AE113" s="176"/>
      <c r="AF113" s="176"/>
      <c r="AG113" s="176"/>
      <c r="AH113" s="176"/>
      <c r="AI113" s="176"/>
      <c r="AJ113" s="176"/>
      <c r="AK113" s="176"/>
      <c r="AL113" s="176"/>
      <c r="AM113" s="176"/>
      <c r="AN113" s="176"/>
      <c r="AO113" s="97"/>
      <c r="AP113" s="97"/>
      <c r="AQ113" s="97"/>
      <c r="AR113" s="97"/>
      <c r="AS113" s="97"/>
      <c r="AT113" s="97"/>
      <c r="AU113" s="97"/>
      <c r="AV113" s="97"/>
      <c r="AW113" s="97"/>
      <c r="AX113" s="97"/>
    </row>
    <row r="114" ht="15.75" customHeight="1">
      <c r="A114" s="162" t="s">
        <v>217</v>
      </c>
      <c r="B114" s="166" t="s">
        <v>933</v>
      </c>
      <c r="C114" s="76" t="s">
        <v>1718</v>
      </c>
      <c r="D114" s="76" t="s">
        <v>1719</v>
      </c>
      <c r="E114" s="117" t="s">
        <v>1720</v>
      </c>
      <c r="F114" s="76"/>
      <c r="G114" s="76"/>
      <c r="H114" s="76"/>
      <c r="I114" s="182"/>
      <c r="J114" s="183"/>
      <c r="K114" s="182"/>
      <c r="L114" s="182"/>
      <c r="M114" s="182"/>
      <c r="N114" s="182"/>
      <c r="O114" s="184" t="s">
        <v>1721</v>
      </c>
      <c r="P114" s="182"/>
      <c r="Q114" s="184" t="s">
        <v>184</v>
      </c>
      <c r="R114" s="182"/>
      <c r="S114" s="182"/>
      <c r="T114" s="182"/>
      <c r="U114" s="182"/>
      <c r="V114" s="182"/>
      <c r="W114" s="182"/>
      <c r="X114" s="182"/>
      <c r="Y114" s="182"/>
      <c r="Z114" s="182"/>
      <c r="AA114" s="182"/>
      <c r="AB114" s="182"/>
      <c r="AC114" s="182"/>
      <c r="AD114" s="176"/>
      <c r="AE114" s="176"/>
      <c r="AF114" s="176"/>
      <c r="AG114" s="176"/>
      <c r="AH114" s="176"/>
      <c r="AI114" s="176"/>
      <c r="AJ114" s="176"/>
      <c r="AK114" s="176"/>
      <c r="AL114" s="176"/>
      <c r="AM114" s="176"/>
      <c r="AN114" s="176"/>
      <c r="AO114" s="97"/>
      <c r="AP114" s="97"/>
      <c r="AQ114" s="97"/>
      <c r="AR114" s="97"/>
      <c r="AS114" s="97"/>
      <c r="AT114" s="97"/>
      <c r="AU114" s="97"/>
      <c r="AV114" s="97"/>
      <c r="AW114" s="97"/>
      <c r="AX114" s="97"/>
    </row>
    <row r="115" ht="15.75" customHeight="1">
      <c r="A115" s="114" t="s">
        <v>541</v>
      </c>
      <c r="B115" s="165" t="s">
        <v>937</v>
      </c>
      <c r="C115" s="76" t="s">
        <v>1731</v>
      </c>
      <c r="D115" s="76" t="s">
        <v>1732</v>
      </c>
      <c r="E115" s="117" t="s">
        <v>1733</v>
      </c>
      <c r="F115" s="76"/>
      <c r="G115" s="76"/>
      <c r="H115" s="76"/>
      <c r="I115" s="118"/>
      <c r="J115" s="120"/>
      <c r="K115" s="118"/>
      <c r="L115" s="118"/>
      <c r="M115" s="118"/>
      <c r="N115" s="118"/>
      <c r="O115" s="118"/>
      <c r="P115" s="118"/>
      <c r="Q115" s="118" t="s">
        <v>184</v>
      </c>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97"/>
      <c r="AP115" s="97"/>
      <c r="AQ115" s="97"/>
      <c r="AR115" s="97"/>
      <c r="AS115" s="97"/>
      <c r="AT115" s="97"/>
      <c r="AU115" s="97"/>
      <c r="AV115" s="97"/>
      <c r="AW115" s="97"/>
      <c r="AX115" s="97"/>
    </row>
    <row r="116" ht="15.75" customHeight="1">
      <c r="A116" s="121" t="s">
        <v>916</v>
      </c>
      <c r="B116" s="165" t="s">
        <v>940</v>
      </c>
      <c r="C116" s="76" t="s">
        <v>1741</v>
      </c>
      <c r="D116" s="76" t="s">
        <v>1743</v>
      </c>
      <c r="E116" s="117" t="s">
        <v>1744</v>
      </c>
      <c r="F116" s="76" t="s">
        <v>1746</v>
      </c>
      <c r="G116" s="76" t="s">
        <v>1747</v>
      </c>
      <c r="H116" s="76" t="s">
        <v>1748</v>
      </c>
      <c r="I116" s="118"/>
      <c r="J116" s="120"/>
      <c r="K116" s="118"/>
      <c r="L116" s="118"/>
      <c r="M116" s="118"/>
      <c r="N116" s="118"/>
      <c r="O116" s="121" t="s">
        <v>1749</v>
      </c>
      <c r="P116" s="118"/>
      <c r="Q116" s="118" t="s">
        <v>184</v>
      </c>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97"/>
      <c r="AP116" s="97"/>
      <c r="AQ116" s="97"/>
      <c r="AR116" s="97"/>
      <c r="AS116" s="97"/>
      <c r="AT116" s="97"/>
      <c r="AU116" s="97"/>
      <c r="AV116" s="97"/>
      <c r="AW116" s="97"/>
      <c r="AX116" s="97"/>
    </row>
    <row r="117" ht="15.75" customHeight="1">
      <c r="A117" s="162" t="s">
        <v>217</v>
      </c>
      <c r="B117" s="166" t="s">
        <v>941</v>
      </c>
      <c r="C117" s="76" t="s">
        <v>1756</v>
      </c>
      <c r="D117" s="76" t="s">
        <v>1757</v>
      </c>
      <c r="E117" s="117" t="s">
        <v>1758</v>
      </c>
      <c r="F117" s="76"/>
      <c r="G117" s="76"/>
      <c r="H117" s="76"/>
      <c r="I117" s="182"/>
      <c r="J117" s="183"/>
      <c r="K117" s="182"/>
      <c r="L117" s="182"/>
      <c r="M117" s="182"/>
      <c r="N117" s="182"/>
      <c r="O117" s="184" t="s">
        <v>1759</v>
      </c>
      <c r="P117" s="182"/>
      <c r="Q117" s="182" t="s">
        <v>184</v>
      </c>
      <c r="R117" s="182"/>
      <c r="S117" s="182"/>
      <c r="T117" s="182"/>
      <c r="U117" s="182"/>
      <c r="V117" s="182"/>
      <c r="W117" s="182"/>
      <c r="X117" s="182"/>
      <c r="Y117" s="182"/>
      <c r="Z117" s="182"/>
      <c r="AA117" s="182"/>
      <c r="AB117" s="182"/>
      <c r="AC117" s="182"/>
      <c r="AD117" s="182"/>
      <c r="AE117" s="182"/>
      <c r="AF117" s="182"/>
      <c r="AG117" s="182"/>
      <c r="AH117" s="182"/>
      <c r="AI117" s="182"/>
      <c r="AJ117" s="182"/>
      <c r="AK117" s="182"/>
      <c r="AL117" s="182"/>
      <c r="AM117" s="182"/>
      <c r="AN117" s="182"/>
      <c r="AO117" s="97"/>
      <c r="AP117" s="97"/>
      <c r="AQ117" s="97"/>
      <c r="AR117" s="97"/>
      <c r="AS117" s="97"/>
      <c r="AT117" s="97"/>
      <c r="AU117" s="97"/>
      <c r="AV117" s="97"/>
      <c r="AW117" s="97"/>
      <c r="AX117" s="97"/>
    </row>
    <row r="118" ht="15.75" customHeight="1">
      <c r="A118" s="114" t="s">
        <v>541</v>
      </c>
      <c r="B118" s="165" t="s">
        <v>944</v>
      </c>
      <c r="C118" s="76" t="s">
        <v>1769</v>
      </c>
      <c r="D118" s="76" t="s">
        <v>1770</v>
      </c>
      <c r="E118" s="117" t="s">
        <v>1771</v>
      </c>
      <c r="F118" s="76"/>
      <c r="G118" s="76"/>
      <c r="H118" s="76"/>
      <c r="I118" s="118"/>
      <c r="J118" s="120"/>
      <c r="K118" s="118"/>
      <c r="L118" s="118"/>
      <c r="M118" s="118"/>
      <c r="N118" s="118"/>
      <c r="O118" s="121" t="s">
        <v>1749</v>
      </c>
      <c r="P118" s="118"/>
      <c r="Q118" s="118" t="s">
        <v>184</v>
      </c>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97"/>
      <c r="AP118" s="97"/>
      <c r="AQ118" s="97"/>
      <c r="AR118" s="97"/>
      <c r="AS118" s="97"/>
      <c r="AT118" s="97"/>
      <c r="AU118" s="97"/>
      <c r="AV118" s="97"/>
      <c r="AW118" s="97"/>
      <c r="AX118" s="97"/>
    </row>
    <row r="119" ht="15.75" customHeight="1">
      <c r="A119" s="152" t="s">
        <v>44</v>
      </c>
      <c r="B119" s="77" t="s">
        <v>952</v>
      </c>
      <c r="C119" s="76" t="s">
        <v>1784</v>
      </c>
      <c r="D119" s="76" t="s">
        <v>1786</v>
      </c>
      <c r="E119" s="117" t="s">
        <v>1788</v>
      </c>
      <c r="F119" s="76"/>
      <c r="G119" s="76"/>
      <c r="H119" s="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97"/>
      <c r="AP119" s="97"/>
      <c r="AQ119" s="97"/>
      <c r="AR119" s="97"/>
      <c r="AS119" s="97"/>
      <c r="AT119" s="97"/>
      <c r="AU119" s="97"/>
      <c r="AV119" s="97"/>
      <c r="AW119" s="97"/>
      <c r="AX119" s="97"/>
    </row>
    <row r="120" ht="15.75" customHeight="1">
      <c r="A120" s="170" t="s">
        <v>238</v>
      </c>
      <c r="B120" s="171" t="s">
        <v>955</v>
      </c>
      <c r="C120" s="76" t="s">
        <v>1792</v>
      </c>
      <c r="D120" s="76" t="s">
        <v>1793</v>
      </c>
      <c r="E120" s="117" t="s">
        <v>1794</v>
      </c>
      <c r="F120" s="76"/>
      <c r="G120" s="76"/>
      <c r="H120" s="76"/>
      <c r="I120" s="209"/>
      <c r="J120" s="209"/>
      <c r="K120" s="218" t="s">
        <v>1795</v>
      </c>
      <c r="L120" s="210"/>
      <c r="M120" s="210"/>
      <c r="N120" s="210"/>
      <c r="O120" s="209"/>
      <c r="P120" s="209"/>
      <c r="Q120" s="209" t="s">
        <v>184</v>
      </c>
      <c r="R120" s="209"/>
      <c r="S120" s="209"/>
      <c r="T120" s="209"/>
      <c r="U120" s="209"/>
      <c r="V120" s="209"/>
      <c r="W120" s="209"/>
      <c r="X120" s="209"/>
      <c r="Y120" s="209"/>
      <c r="Z120" s="209"/>
      <c r="AA120" s="209"/>
      <c r="AB120" s="209"/>
      <c r="AC120" s="209"/>
      <c r="AD120" s="209"/>
      <c r="AE120" s="209"/>
      <c r="AF120" s="209"/>
      <c r="AG120" s="209"/>
      <c r="AH120" s="209"/>
      <c r="AI120" s="209"/>
      <c r="AJ120" s="209"/>
      <c r="AK120" s="209"/>
      <c r="AL120" s="209"/>
      <c r="AM120" s="209"/>
      <c r="AN120" s="209"/>
      <c r="AO120" s="97"/>
      <c r="AP120" s="97"/>
      <c r="AQ120" s="97"/>
      <c r="AR120" s="97"/>
      <c r="AS120" s="97"/>
      <c r="AT120" s="97"/>
      <c r="AU120" s="97"/>
      <c r="AV120" s="97"/>
      <c r="AW120" s="97"/>
      <c r="AX120" s="97"/>
    </row>
    <row r="121" ht="15.75" customHeight="1">
      <c r="A121" s="150"/>
      <c r="B121" s="82"/>
      <c r="C121" s="82"/>
      <c r="D121" s="83"/>
      <c r="E121" s="83"/>
      <c r="F121" s="84"/>
      <c r="G121" s="84"/>
      <c r="H121" s="84"/>
      <c r="I121" s="86"/>
      <c r="J121" s="86"/>
      <c r="K121" s="84"/>
      <c r="L121" s="86"/>
      <c r="M121" s="86"/>
      <c r="N121" s="86"/>
      <c r="O121" s="86"/>
      <c r="P121" s="84"/>
      <c r="Q121" s="84"/>
      <c r="R121" s="84"/>
      <c r="S121" s="84"/>
      <c r="T121" s="84"/>
      <c r="U121" s="84"/>
      <c r="V121" s="84"/>
      <c r="W121" s="84"/>
      <c r="X121" s="84"/>
      <c r="Y121" s="84"/>
      <c r="Z121" s="84"/>
      <c r="AA121" s="84"/>
      <c r="AB121" s="84"/>
      <c r="AC121" s="84"/>
      <c r="AD121" s="97"/>
      <c r="AE121" s="97"/>
      <c r="AF121" s="97"/>
      <c r="AG121" s="97"/>
      <c r="AH121" s="97"/>
      <c r="AI121" s="97"/>
      <c r="AJ121" s="97"/>
      <c r="AK121" s="97"/>
      <c r="AL121" s="97"/>
      <c r="AM121" s="97"/>
      <c r="AN121" s="97"/>
      <c r="AO121" s="97"/>
      <c r="AP121" s="97"/>
      <c r="AQ121" s="97"/>
      <c r="AR121" s="97"/>
      <c r="AS121" s="97"/>
      <c r="AT121" s="97"/>
      <c r="AU121" s="97"/>
      <c r="AV121" s="97"/>
      <c r="AW121" s="97"/>
      <c r="AX121" s="97"/>
    </row>
    <row r="122" ht="15.75" customHeight="1">
      <c r="A122" s="150" t="s">
        <v>161</v>
      </c>
      <c r="B122" s="82" t="s">
        <v>963</v>
      </c>
      <c r="C122" s="82"/>
      <c r="D122" s="83"/>
      <c r="E122" s="83"/>
      <c r="F122" s="84"/>
      <c r="G122" s="84"/>
      <c r="H122" s="84"/>
      <c r="I122" s="84"/>
      <c r="J122" s="86" t="s">
        <v>1811</v>
      </c>
      <c r="K122" s="84"/>
      <c r="L122" s="84"/>
      <c r="M122" s="86"/>
      <c r="N122" s="86"/>
      <c r="O122" s="86"/>
      <c r="P122" s="84"/>
      <c r="Q122" s="84"/>
      <c r="R122" s="84"/>
      <c r="S122" s="84"/>
      <c r="T122" s="84"/>
      <c r="U122" s="84"/>
      <c r="V122" s="84"/>
      <c r="W122" s="84"/>
      <c r="X122" s="84"/>
      <c r="Y122" s="84"/>
      <c r="Z122" s="84"/>
      <c r="AA122" s="84"/>
      <c r="AB122" s="84"/>
      <c r="AC122" s="84"/>
      <c r="AD122" s="97"/>
      <c r="AE122" s="97"/>
      <c r="AF122" s="97"/>
      <c r="AG122" s="97"/>
      <c r="AH122" s="97"/>
      <c r="AI122" s="97"/>
      <c r="AJ122" s="97"/>
      <c r="AK122" s="97"/>
      <c r="AL122" s="97"/>
      <c r="AM122" s="97"/>
      <c r="AN122" s="97"/>
      <c r="AO122" s="97"/>
      <c r="AP122" s="97"/>
      <c r="AQ122" s="97"/>
      <c r="AR122" s="97"/>
      <c r="AS122" s="97"/>
      <c r="AT122" s="97"/>
      <c r="AU122" s="97"/>
      <c r="AV122" s="97"/>
      <c r="AW122" s="97"/>
      <c r="AX122" s="97"/>
    </row>
    <row r="123" ht="15.75" customHeight="1">
      <c r="A123" s="114" t="s">
        <v>979</v>
      </c>
      <c r="B123" s="165" t="s">
        <v>980</v>
      </c>
      <c r="C123" s="76" t="s">
        <v>1821</v>
      </c>
      <c r="D123" s="76" t="s">
        <v>1823</v>
      </c>
      <c r="E123" s="117" t="s">
        <v>1824</v>
      </c>
      <c r="F123" s="76"/>
      <c r="G123" s="76"/>
      <c r="H123" s="76"/>
      <c r="I123" s="118"/>
      <c r="J123" s="120" t="s">
        <v>6</v>
      </c>
      <c r="K123" s="118"/>
      <c r="L123" s="118"/>
      <c r="M123" s="118"/>
      <c r="N123" s="118"/>
      <c r="O123" s="118"/>
      <c r="P123" s="118"/>
      <c r="Q123" s="118"/>
      <c r="R123" s="118"/>
      <c r="S123" s="118"/>
      <c r="T123" s="118"/>
      <c r="U123" s="118"/>
      <c r="V123" s="118"/>
      <c r="W123" s="118"/>
      <c r="X123" s="118"/>
      <c r="Y123" s="118"/>
      <c r="Z123" s="118"/>
      <c r="AA123" s="118"/>
      <c r="AB123" s="118"/>
      <c r="AC123" s="118"/>
      <c r="AD123" s="97"/>
      <c r="AE123" s="97"/>
      <c r="AF123" s="97"/>
      <c r="AG123" s="97"/>
      <c r="AH123" s="97"/>
      <c r="AI123" s="97"/>
      <c r="AJ123" s="97"/>
      <c r="AK123" s="97"/>
      <c r="AL123" s="97"/>
      <c r="AM123" s="97"/>
      <c r="AN123" s="97"/>
      <c r="AO123" s="97"/>
      <c r="AP123" s="97"/>
      <c r="AQ123" s="97"/>
      <c r="AR123" s="97"/>
      <c r="AS123" s="97"/>
      <c r="AT123" s="97"/>
      <c r="AU123" s="97"/>
      <c r="AV123" s="97"/>
      <c r="AW123" s="97"/>
      <c r="AX123" s="97"/>
    </row>
    <row r="124" ht="15.75" customHeight="1">
      <c r="A124" s="114" t="s">
        <v>979</v>
      </c>
      <c r="B124" s="165" t="s">
        <v>989</v>
      </c>
      <c r="C124" s="76" t="s">
        <v>1832</v>
      </c>
      <c r="D124" s="76" t="s">
        <v>1834</v>
      </c>
      <c r="E124" s="117" t="s">
        <v>1835</v>
      </c>
      <c r="F124" s="76"/>
      <c r="G124" s="76"/>
      <c r="H124" s="76"/>
      <c r="I124" s="118"/>
      <c r="J124" s="120" t="s">
        <v>1837</v>
      </c>
      <c r="K124" s="118"/>
      <c r="L124" s="118"/>
      <c r="M124" s="118"/>
      <c r="N124" s="118"/>
      <c r="O124" s="118"/>
      <c r="P124" s="118"/>
      <c r="Q124" s="118" t="s">
        <v>184</v>
      </c>
      <c r="R124" s="118"/>
      <c r="S124" s="118"/>
      <c r="T124" s="118"/>
      <c r="U124" s="118"/>
      <c r="V124" s="118"/>
      <c r="W124" s="118"/>
      <c r="X124" s="118"/>
      <c r="Y124" s="118"/>
      <c r="Z124" s="118"/>
      <c r="AA124" s="118"/>
      <c r="AB124" s="118"/>
      <c r="AC124" s="118"/>
      <c r="AD124" s="97"/>
      <c r="AE124" s="97"/>
      <c r="AF124" s="97"/>
      <c r="AG124" s="97"/>
      <c r="AH124" s="97"/>
      <c r="AI124" s="97"/>
      <c r="AJ124" s="97"/>
      <c r="AK124" s="97"/>
      <c r="AL124" s="97"/>
      <c r="AM124" s="97"/>
      <c r="AN124" s="97"/>
      <c r="AO124" s="97"/>
      <c r="AP124" s="97"/>
      <c r="AQ124" s="97"/>
      <c r="AR124" s="97"/>
      <c r="AS124" s="97"/>
      <c r="AT124" s="97"/>
      <c r="AU124" s="97"/>
      <c r="AV124" s="97"/>
      <c r="AW124" s="97"/>
      <c r="AX124" s="97"/>
    </row>
    <row r="125" ht="15.75" customHeight="1">
      <c r="A125" s="114" t="s">
        <v>979</v>
      </c>
      <c r="B125" s="165" t="s">
        <v>995</v>
      </c>
      <c r="C125" s="76" t="s">
        <v>1843</v>
      </c>
      <c r="D125" s="76" t="s">
        <v>1844</v>
      </c>
      <c r="E125" s="117" t="s">
        <v>1845</v>
      </c>
      <c r="F125" s="76"/>
      <c r="G125" s="76"/>
      <c r="H125" s="76"/>
      <c r="I125" s="118"/>
      <c r="J125" s="120" t="s">
        <v>1837</v>
      </c>
      <c r="K125" s="118"/>
      <c r="L125" s="118"/>
      <c r="M125" s="118"/>
      <c r="N125" s="118"/>
      <c r="O125" s="118"/>
      <c r="P125" s="118"/>
      <c r="Q125" s="118" t="s">
        <v>184</v>
      </c>
      <c r="R125" s="118"/>
      <c r="S125" s="118"/>
      <c r="T125" s="118"/>
      <c r="U125" s="118"/>
      <c r="V125" s="118"/>
      <c r="W125" s="118"/>
      <c r="X125" s="118"/>
      <c r="Y125" s="118"/>
      <c r="Z125" s="118"/>
      <c r="AA125" s="118"/>
      <c r="AB125" s="118"/>
      <c r="AC125" s="118"/>
      <c r="AD125" s="97"/>
      <c r="AE125" s="97"/>
      <c r="AF125" s="97"/>
      <c r="AG125" s="97"/>
      <c r="AH125" s="97"/>
      <c r="AI125" s="97"/>
      <c r="AJ125" s="97"/>
      <c r="AK125" s="97"/>
      <c r="AL125" s="97"/>
      <c r="AM125" s="97"/>
      <c r="AN125" s="97"/>
      <c r="AO125" s="97"/>
      <c r="AP125" s="97"/>
      <c r="AQ125" s="97"/>
      <c r="AR125" s="97"/>
      <c r="AS125" s="97"/>
      <c r="AT125" s="97"/>
      <c r="AU125" s="97"/>
      <c r="AV125" s="97"/>
      <c r="AW125" s="97"/>
      <c r="AX125" s="97"/>
    </row>
    <row r="126" ht="15.75" customHeight="1">
      <c r="A126" s="114" t="s">
        <v>979</v>
      </c>
      <c r="B126" s="165" t="s">
        <v>996</v>
      </c>
      <c r="C126" s="76" t="s">
        <v>1861</v>
      </c>
      <c r="D126" s="76" t="s">
        <v>1861</v>
      </c>
      <c r="E126" s="117" t="s">
        <v>1862</v>
      </c>
      <c r="F126" s="76"/>
      <c r="G126" s="76"/>
      <c r="H126" s="76"/>
      <c r="I126" s="118"/>
      <c r="J126" s="120" t="s">
        <v>1837</v>
      </c>
      <c r="K126" s="118"/>
      <c r="L126" s="118"/>
      <c r="M126" s="118"/>
      <c r="N126" s="118"/>
      <c r="O126" s="118"/>
      <c r="P126" s="118"/>
      <c r="Q126" s="118" t="s">
        <v>184</v>
      </c>
      <c r="R126" s="118"/>
      <c r="S126" s="118"/>
      <c r="T126" s="118"/>
      <c r="U126" s="118"/>
      <c r="V126" s="118"/>
      <c r="W126" s="118"/>
      <c r="X126" s="118"/>
      <c r="Y126" s="118"/>
      <c r="Z126" s="118"/>
      <c r="AA126" s="118"/>
      <c r="AB126" s="118"/>
      <c r="AC126" s="118"/>
      <c r="AD126" s="97"/>
      <c r="AE126" s="97"/>
      <c r="AF126" s="97"/>
      <c r="AG126" s="97"/>
      <c r="AH126" s="97"/>
      <c r="AI126" s="97"/>
      <c r="AJ126" s="97"/>
      <c r="AK126" s="97"/>
      <c r="AL126" s="97"/>
      <c r="AM126" s="97"/>
      <c r="AN126" s="97"/>
      <c r="AO126" s="97"/>
      <c r="AP126" s="97"/>
      <c r="AQ126" s="97"/>
      <c r="AR126" s="97"/>
      <c r="AS126" s="97"/>
      <c r="AT126" s="97"/>
      <c r="AU126" s="97"/>
      <c r="AV126" s="97"/>
      <c r="AW126" s="97"/>
      <c r="AX126" s="97"/>
    </row>
    <row r="127" ht="15.75" customHeight="1">
      <c r="A127" s="114" t="s">
        <v>979</v>
      </c>
      <c r="B127" s="165" t="s">
        <v>1004</v>
      </c>
      <c r="C127" s="76" t="s">
        <v>1880</v>
      </c>
      <c r="D127" s="76" t="s">
        <v>1882</v>
      </c>
      <c r="E127" s="117" t="s">
        <v>1884</v>
      </c>
      <c r="F127" s="76"/>
      <c r="G127" s="76"/>
      <c r="H127" s="76"/>
      <c r="I127" s="118"/>
      <c r="J127" s="120" t="s">
        <v>1837</v>
      </c>
      <c r="K127" s="118"/>
      <c r="L127" s="118"/>
      <c r="M127" s="118"/>
      <c r="N127" s="118"/>
      <c r="O127" s="118"/>
      <c r="P127" s="118"/>
      <c r="Q127" s="118" t="s">
        <v>184</v>
      </c>
      <c r="R127" s="118"/>
      <c r="S127" s="118"/>
      <c r="T127" s="118"/>
      <c r="U127" s="118"/>
      <c r="V127" s="118"/>
      <c r="W127" s="118"/>
      <c r="X127" s="118"/>
      <c r="Y127" s="118"/>
      <c r="Z127" s="118"/>
      <c r="AA127" s="118"/>
      <c r="AB127" s="118"/>
      <c r="AC127" s="118"/>
      <c r="AD127" s="97"/>
      <c r="AE127" s="97"/>
      <c r="AF127" s="97"/>
      <c r="AG127" s="97"/>
      <c r="AH127" s="97"/>
      <c r="AI127" s="97"/>
      <c r="AJ127" s="97"/>
      <c r="AK127" s="97"/>
      <c r="AL127" s="97"/>
      <c r="AM127" s="97"/>
      <c r="AN127" s="97"/>
      <c r="AO127" s="97"/>
      <c r="AP127" s="97"/>
      <c r="AQ127" s="97"/>
      <c r="AR127" s="97"/>
      <c r="AS127" s="97"/>
      <c r="AT127" s="97"/>
      <c r="AU127" s="97"/>
      <c r="AV127" s="97"/>
      <c r="AW127" s="97"/>
      <c r="AX127" s="97"/>
    </row>
    <row r="128" ht="15.75" customHeight="1">
      <c r="A128" s="114" t="s">
        <v>979</v>
      </c>
      <c r="B128" s="165" t="s">
        <v>1009</v>
      </c>
      <c r="C128" s="76" t="s">
        <v>1891</v>
      </c>
      <c r="D128" s="76" t="s">
        <v>1892</v>
      </c>
      <c r="E128" s="117" t="s">
        <v>1893</v>
      </c>
      <c r="F128" s="76"/>
      <c r="G128" s="76"/>
      <c r="H128" s="76"/>
      <c r="I128" s="118"/>
      <c r="J128" s="120" t="s">
        <v>1837</v>
      </c>
      <c r="K128" s="118"/>
      <c r="L128" s="118"/>
      <c r="M128" s="118"/>
      <c r="N128" s="118"/>
      <c r="O128" s="118"/>
      <c r="P128" s="118"/>
      <c r="Q128" s="118" t="s">
        <v>184</v>
      </c>
      <c r="R128" s="118"/>
      <c r="S128" s="118"/>
      <c r="T128" s="118"/>
      <c r="U128" s="118"/>
      <c r="V128" s="118"/>
      <c r="W128" s="118"/>
      <c r="X128" s="118"/>
      <c r="Y128" s="118"/>
      <c r="Z128" s="118"/>
      <c r="AA128" s="118"/>
      <c r="AB128" s="118"/>
      <c r="AC128" s="118"/>
      <c r="AD128" s="97"/>
      <c r="AE128" s="97"/>
      <c r="AF128" s="97"/>
      <c r="AG128" s="97"/>
      <c r="AH128" s="97"/>
      <c r="AI128" s="97"/>
      <c r="AJ128" s="97"/>
      <c r="AK128" s="97"/>
      <c r="AL128" s="97"/>
      <c r="AM128" s="97"/>
      <c r="AN128" s="97"/>
      <c r="AO128" s="97"/>
      <c r="AP128" s="97"/>
      <c r="AQ128" s="97"/>
      <c r="AR128" s="97"/>
      <c r="AS128" s="97"/>
      <c r="AT128" s="97"/>
      <c r="AU128" s="97"/>
      <c r="AV128" s="97"/>
      <c r="AW128" s="97"/>
      <c r="AX128" s="97"/>
    </row>
    <row r="129" ht="15.75" customHeight="1">
      <c r="A129" s="114" t="s">
        <v>979</v>
      </c>
      <c r="B129" s="165" t="s">
        <v>1014</v>
      </c>
      <c r="C129" s="76" t="s">
        <v>1906</v>
      </c>
      <c r="D129" s="76" t="s">
        <v>1908</v>
      </c>
      <c r="E129" s="117" t="s">
        <v>1910</v>
      </c>
      <c r="F129" s="76"/>
      <c r="G129" s="76"/>
      <c r="H129" s="76"/>
      <c r="I129" s="118"/>
      <c r="J129" s="120" t="s">
        <v>1837</v>
      </c>
      <c r="K129" s="118"/>
      <c r="L129" s="118"/>
      <c r="M129" s="118"/>
      <c r="N129" s="118"/>
      <c r="O129" s="118"/>
      <c r="P129" s="118"/>
      <c r="Q129" s="118" t="s">
        <v>184</v>
      </c>
      <c r="R129" s="118"/>
      <c r="S129" s="118"/>
      <c r="T129" s="118"/>
      <c r="U129" s="118"/>
      <c r="V129" s="118"/>
      <c r="W129" s="118"/>
      <c r="X129" s="118"/>
      <c r="Y129" s="118"/>
      <c r="Z129" s="118"/>
      <c r="AA129" s="118"/>
      <c r="AB129" s="118"/>
      <c r="AC129" s="118"/>
      <c r="AD129" s="97"/>
      <c r="AE129" s="97"/>
      <c r="AF129" s="97"/>
      <c r="AG129" s="97"/>
      <c r="AH129" s="97"/>
      <c r="AI129" s="97"/>
      <c r="AJ129" s="97"/>
      <c r="AK129" s="97"/>
      <c r="AL129" s="97"/>
      <c r="AM129" s="97"/>
      <c r="AN129" s="97"/>
      <c r="AO129" s="97"/>
      <c r="AP129" s="97"/>
      <c r="AQ129" s="97"/>
      <c r="AR129" s="97"/>
      <c r="AS129" s="97"/>
      <c r="AT129" s="97"/>
      <c r="AU129" s="97"/>
      <c r="AV129" s="97"/>
      <c r="AW129" s="97"/>
      <c r="AX129" s="97"/>
    </row>
    <row r="130" ht="15.75" customHeight="1">
      <c r="A130" s="114" t="s">
        <v>979</v>
      </c>
      <c r="B130" s="165" t="s">
        <v>1019</v>
      </c>
      <c r="C130" s="76" t="s">
        <v>1919</v>
      </c>
      <c r="D130" s="76" t="s">
        <v>1920</v>
      </c>
      <c r="E130" s="117" t="s">
        <v>1921</v>
      </c>
      <c r="F130" s="76"/>
      <c r="G130" s="76"/>
      <c r="H130" s="76"/>
      <c r="I130" s="118"/>
      <c r="J130" s="120" t="s">
        <v>1837</v>
      </c>
      <c r="K130" s="118"/>
      <c r="L130" s="118"/>
      <c r="M130" s="118"/>
      <c r="N130" s="118"/>
      <c r="O130" s="118"/>
      <c r="P130" s="118"/>
      <c r="Q130" s="118" t="s">
        <v>184</v>
      </c>
      <c r="R130" s="118"/>
      <c r="S130" s="118"/>
      <c r="T130" s="118"/>
      <c r="U130" s="118"/>
      <c r="V130" s="118"/>
      <c r="W130" s="118"/>
      <c r="X130" s="118"/>
      <c r="Y130" s="118"/>
      <c r="Z130" s="118"/>
      <c r="AA130" s="118"/>
      <c r="AB130" s="118"/>
      <c r="AC130" s="118"/>
      <c r="AD130" s="97"/>
      <c r="AE130" s="97"/>
      <c r="AF130" s="97"/>
      <c r="AG130" s="97"/>
      <c r="AH130" s="97"/>
      <c r="AI130" s="97"/>
      <c r="AJ130" s="97"/>
      <c r="AK130" s="97"/>
      <c r="AL130" s="97"/>
      <c r="AM130" s="97"/>
      <c r="AN130" s="97"/>
      <c r="AO130" s="97"/>
      <c r="AP130" s="97"/>
      <c r="AQ130" s="97"/>
      <c r="AR130" s="97"/>
      <c r="AS130" s="97"/>
      <c r="AT130" s="97"/>
      <c r="AU130" s="97"/>
      <c r="AV130" s="97"/>
      <c r="AW130" s="97"/>
      <c r="AX130" s="97"/>
    </row>
    <row r="131" ht="15.75" customHeight="1">
      <c r="A131" s="150" t="s">
        <v>343</v>
      </c>
      <c r="B131" s="83" t="s">
        <v>963</v>
      </c>
      <c r="C131" s="83"/>
      <c r="D131" s="83"/>
      <c r="E131" s="83"/>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97"/>
      <c r="AE131" s="97"/>
      <c r="AF131" s="97"/>
      <c r="AG131" s="97"/>
      <c r="AH131" s="97"/>
      <c r="AI131" s="97"/>
      <c r="AJ131" s="97"/>
      <c r="AK131" s="97"/>
      <c r="AL131" s="97"/>
      <c r="AM131" s="97"/>
      <c r="AN131" s="97"/>
      <c r="AO131" s="97"/>
      <c r="AP131" s="97"/>
      <c r="AQ131" s="97"/>
      <c r="AR131" s="97"/>
      <c r="AS131" s="97"/>
      <c r="AT131" s="97"/>
      <c r="AU131" s="97"/>
      <c r="AV131" s="97"/>
      <c r="AW131" s="97"/>
      <c r="AX131" s="97"/>
    </row>
    <row r="132" ht="15.75" customHeight="1">
      <c r="A132" s="150" t="s">
        <v>161</v>
      </c>
      <c r="B132" s="82" t="s">
        <v>1037</v>
      </c>
      <c r="C132" s="82"/>
      <c r="D132" s="83"/>
      <c r="E132" s="83"/>
      <c r="F132" s="84"/>
      <c r="G132" s="84"/>
      <c r="H132" s="84"/>
      <c r="I132" s="84"/>
      <c r="J132" s="86" t="s">
        <v>1811</v>
      </c>
      <c r="K132" s="84"/>
      <c r="L132" s="84"/>
      <c r="M132" s="86"/>
      <c r="N132" s="86"/>
      <c r="O132" s="86"/>
      <c r="P132" s="84"/>
      <c r="Q132" s="84"/>
      <c r="R132" s="84"/>
      <c r="S132" s="84"/>
      <c r="T132" s="84"/>
      <c r="U132" s="84"/>
      <c r="V132" s="84"/>
      <c r="W132" s="84"/>
      <c r="X132" s="84"/>
      <c r="Y132" s="84"/>
      <c r="Z132" s="84"/>
      <c r="AA132" s="84"/>
      <c r="AB132" s="84"/>
      <c r="AC132" s="84"/>
      <c r="AD132" s="97"/>
      <c r="AE132" s="97"/>
      <c r="AF132" s="97"/>
      <c r="AG132" s="97"/>
      <c r="AH132" s="97"/>
      <c r="AI132" s="97"/>
      <c r="AJ132" s="97"/>
      <c r="AK132" s="97"/>
      <c r="AL132" s="97"/>
      <c r="AM132" s="97"/>
      <c r="AN132" s="97"/>
      <c r="AO132" s="97"/>
      <c r="AP132" s="97"/>
      <c r="AQ132" s="97"/>
      <c r="AR132" s="97"/>
      <c r="AS132" s="97"/>
      <c r="AT132" s="97"/>
      <c r="AU132" s="97"/>
      <c r="AV132" s="97"/>
      <c r="AW132" s="97"/>
      <c r="AX132" s="97"/>
    </row>
    <row r="133" ht="15.75" customHeight="1">
      <c r="A133" s="114" t="s">
        <v>1041</v>
      </c>
      <c r="B133" s="165" t="s">
        <v>1042</v>
      </c>
      <c r="C133" s="76" t="s">
        <v>1942</v>
      </c>
      <c r="D133" s="76" t="s">
        <v>1943</v>
      </c>
      <c r="E133" s="117" t="s">
        <v>1944</v>
      </c>
      <c r="F133" s="76"/>
      <c r="G133" s="76"/>
      <c r="H133" s="76"/>
      <c r="I133" s="118"/>
      <c r="J133" s="120" t="s">
        <v>6</v>
      </c>
      <c r="K133" s="118"/>
      <c r="L133" s="118"/>
      <c r="M133" s="118"/>
      <c r="N133" s="118"/>
      <c r="O133" s="118"/>
      <c r="P133" s="118"/>
      <c r="Q133" s="118"/>
      <c r="R133" s="118"/>
      <c r="S133" s="118"/>
      <c r="T133" s="118"/>
      <c r="U133" s="118"/>
      <c r="V133" s="118"/>
      <c r="W133" s="118"/>
      <c r="X133" s="118"/>
      <c r="Y133" s="118"/>
      <c r="Z133" s="118"/>
      <c r="AA133" s="118"/>
      <c r="AB133" s="118"/>
      <c r="AC133" s="118"/>
      <c r="AD133" s="97"/>
      <c r="AE133" s="97"/>
      <c r="AF133" s="97"/>
      <c r="AG133" s="97"/>
      <c r="AH133" s="97"/>
      <c r="AI133" s="97"/>
      <c r="AJ133" s="97"/>
      <c r="AK133" s="97"/>
      <c r="AL133" s="97"/>
      <c r="AM133" s="97"/>
      <c r="AN133" s="97"/>
      <c r="AO133" s="97"/>
      <c r="AP133" s="97"/>
      <c r="AQ133" s="97"/>
      <c r="AR133" s="97"/>
      <c r="AS133" s="97"/>
      <c r="AT133" s="97"/>
      <c r="AU133" s="97"/>
      <c r="AV133" s="97"/>
      <c r="AW133" s="97"/>
      <c r="AX133" s="97"/>
    </row>
    <row r="134" ht="15.75" customHeight="1">
      <c r="A134" s="114" t="s">
        <v>1041</v>
      </c>
      <c r="B134" s="165" t="s">
        <v>1050</v>
      </c>
      <c r="C134" s="76" t="s">
        <v>1964</v>
      </c>
      <c r="D134" s="76" t="s">
        <v>1965</v>
      </c>
      <c r="E134" s="117" t="s">
        <v>1966</v>
      </c>
      <c r="F134" s="76"/>
      <c r="G134" s="76"/>
      <c r="H134" s="76"/>
      <c r="I134" s="118"/>
      <c r="J134" s="120" t="s">
        <v>1837</v>
      </c>
      <c r="K134" s="118"/>
      <c r="L134" s="118"/>
      <c r="M134" s="118"/>
      <c r="N134" s="118"/>
      <c r="O134" s="118"/>
      <c r="P134" s="118"/>
      <c r="Q134" s="118" t="s">
        <v>184</v>
      </c>
      <c r="R134" s="118"/>
      <c r="S134" s="118"/>
      <c r="T134" s="118"/>
      <c r="U134" s="118"/>
      <c r="V134" s="118"/>
      <c r="W134" s="118"/>
      <c r="X134" s="118"/>
      <c r="Y134" s="118"/>
      <c r="Z134" s="118"/>
      <c r="AA134" s="118"/>
      <c r="AB134" s="118"/>
      <c r="AC134" s="118"/>
      <c r="AD134" s="97"/>
      <c r="AE134" s="97"/>
      <c r="AF134" s="97"/>
      <c r="AG134" s="97"/>
      <c r="AH134" s="97"/>
      <c r="AI134" s="97"/>
      <c r="AJ134" s="97"/>
      <c r="AK134" s="97"/>
      <c r="AL134" s="97"/>
      <c r="AM134" s="97"/>
      <c r="AN134" s="97"/>
      <c r="AO134" s="97"/>
      <c r="AP134" s="97"/>
      <c r="AQ134" s="97"/>
      <c r="AR134" s="97"/>
      <c r="AS134" s="97"/>
      <c r="AT134" s="97"/>
      <c r="AU134" s="97"/>
      <c r="AV134" s="97"/>
      <c r="AW134" s="97"/>
      <c r="AX134" s="97"/>
    </row>
    <row r="135" ht="15.75" customHeight="1">
      <c r="A135" s="114" t="s">
        <v>1041</v>
      </c>
      <c r="B135" s="165" t="s">
        <v>1057</v>
      </c>
      <c r="C135" s="76" t="s">
        <v>1976</v>
      </c>
      <c r="D135" s="76" t="s">
        <v>1977</v>
      </c>
      <c r="E135" s="117" t="s">
        <v>1978</v>
      </c>
      <c r="F135" s="76"/>
      <c r="G135" s="76"/>
      <c r="H135" s="76"/>
      <c r="I135" s="118"/>
      <c r="J135" s="120" t="s">
        <v>1837</v>
      </c>
      <c r="K135" s="118"/>
      <c r="L135" s="118"/>
      <c r="M135" s="118"/>
      <c r="N135" s="118"/>
      <c r="O135" s="118"/>
      <c r="P135" s="118"/>
      <c r="Q135" s="118" t="s">
        <v>184</v>
      </c>
      <c r="R135" s="118"/>
      <c r="S135" s="118"/>
      <c r="T135" s="118"/>
      <c r="U135" s="118"/>
      <c r="V135" s="118"/>
      <c r="W135" s="118"/>
      <c r="X135" s="118"/>
      <c r="Y135" s="118"/>
      <c r="Z135" s="118"/>
      <c r="AA135" s="118"/>
      <c r="AB135" s="118"/>
      <c r="AC135" s="118"/>
      <c r="AD135" s="97"/>
      <c r="AE135" s="97"/>
      <c r="AF135" s="97"/>
      <c r="AG135" s="97"/>
      <c r="AH135" s="97"/>
      <c r="AI135" s="97"/>
      <c r="AJ135" s="97"/>
      <c r="AK135" s="97"/>
      <c r="AL135" s="97"/>
      <c r="AM135" s="97"/>
      <c r="AN135" s="97"/>
      <c r="AO135" s="97"/>
      <c r="AP135" s="97"/>
      <c r="AQ135" s="97"/>
      <c r="AR135" s="97"/>
      <c r="AS135" s="97"/>
      <c r="AT135" s="97"/>
      <c r="AU135" s="97"/>
      <c r="AV135" s="97"/>
      <c r="AW135" s="97"/>
      <c r="AX135" s="97"/>
    </row>
    <row r="136" ht="15.75" customHeight="1">
      <c r="A136" s="150" t="s">
        <v>343</v>
      </c>
      <c r="B136" s="83" t="s">
        <v>1037</v>
      </c>
      <c r="C136" s="83"/>
      <c r="D136" s="83"/>
      <c r="E136" s="83"/>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97"/>
      <c r="AE136" s="97"/>
      <c r="AF136" s="97"/>
      <c r="AG136" s="97"/>
      <c r="AH136" s="97"/>
      <c r="AI136" s="97"/>
      <c r="AJ136" s="97"/>
      <c r="AK136" s="97"/>
      <c r="AL136" s="97"/>
      <c r="AM136" s="97"/>
      <c r="AN136" s="97"/>
      <c r="AO136" s="97"/>
      <c r="AP136" s="97"/>
      <c r="AQ136" s="97"/>
      <c r="AR136" s="97"/>
      <c r="AS136" s="97"/>
      <c r="AT136" s="97"/>
      <c r="AU136" s="97"/>
      <c r="AV136" s="97"/>
      <c r="AW136" s="97"/>
      <c r="AX136" s="97"/>
    </row>
    <row r="137" ht="15.75" customHeight="1">
      <c r="A137" s="170" t="s">
        <v>238</v>
      </c>
      <c r="B137" s="171" t="s">
        <v>1067</v>
      </c>
      <c r="C137" s="76" t="s">
        <v>1998</v>
      </c>
      <c r="D137" s="76" t="s">
        <v>1999</v>
      </c>
      <c r="E137" s="117" t="s">
        <v>2000</v>
      </c>
      <c r="F137" s="76" t="s">
        <v>2001</v>
      </c>
      <c r="G137" s="76" t="s">
        <v>2002</v>
      </c>
      <c r="H137" s="76" t="s">
        <v>2003</v>
      </c>
      <c r="I137" s="209"/>
      <c r="J137" s="209"/>
      <c r="K137" s="210" t="s">
        <v>1795</v>
      </c>
      <c r="L137" s="210"/>
      <c r="M137" s="209"/>
      <c r="N137" s="209"/>
      <c r="O137" s="209"/>
      <c r="P137" s="209"/>
      <c r="Q137" s="209" t="s">
        <v>184</v>
      </c>
      <c r="R137" s="209"/>
      <c r="S137" s="209"/>
      <c r="T137" s="209"/>
      <c r="U137" s="209"/>
      <c r="V137" s="209"/>
      <c r="W137" s="209"/>
      <c r="X137" s="209"/>
      <c r="Y137" s="209"/>
      <c r="Z137" s="209"/>
      <c r="AA137" s="209"/>
      <c r="AB137" s="209"/>
      <c r="AC137" s="209"/>
      <c r="AD137" s="97"/>
      <c r="AE137" s="97"/>
      <c r="AF137" s="97"/>
      <c r="AG137" s="97"/>
      <c r="AH137" s="97"/>
      <c r="AI137" s="97"/>
      <c r="AJ137" s="97"/>
      <c r="AK137" s="97"/>
      <c r="AL137" s="97"/>
      <c r="AM137" s="97"/>
      <c r="AN137" s="97"/>
      <c r="AO137" s="97"/>
      <c r="AP137" s="97"/>
      <c r="AQ137" s="97"/>
      <c r="AR137" s="97"/>
      <c r="AS137" s="97"/>
      <c r="AT137" s="97"/>
      <c r="AU137" s="97"/>
      <c r="AV137" s="97"/>
      <c r="AW137" s="97"/>
      <c r="AX137" s="97"/>
    </row>
    <row r="138" ht="15.75" customHeight="1">
      <c r="A138" s="150"/>
      <c r="B138" s="82"/>
      <c r="C138" s="82"/>
      <c r="D138" s="83"/>
      <c r="E138" s="83"/>
      <c r="F138" s="84"/>
      <c r="G138" s="84"/>
      <c r="H138" s="84"/>
      <c r="I138" s="86"/>
      <c r="J138" s="86"/>
      <c r="K138" s="84"/>
      <c r="L138" s="86"/>
      <c r="M138" s="86"/>
      <c r="N138" s="86"/>
      <c r="O138" s="86"/>
      <c r="P138" s="84"/>
      <c r="Q138" s="84"/>
      <c r="R138" s="84"/>
      <c r="S138" s="84"/>
      <c r="T138" s="84"/>
      <c r="U138" s="84"/>
      <c r="V138" s="84"/>
      <c r="W138" s="84"/>
      <c r="X138" s="84"/>
      <c r="Y138" s="84"/>
      <c r="Z138" s="84"/>
      <c r="AA138" s="84"/>
      <c r="AB138" s="84"/>
      <c r="AC138" s="84"/>
      <c r="AD138" s="97"/>
      <c r="AE138" s="97"/>
      <c r="AF138" s="97"/>
      <c r="AG138" s="97"/>
      <c r="AH138" s="97"/>
      <c r="AI138" s="97"/>
      <c r="AJ138" s="97"/>
      <c r="AK138" s="97"/>
      <c r="AL138" s="97"/>
      <c r="AM138" s="97"/>
      <c r="AN138" s="97"/>
      <c r="AO138" s="97"/>
      <c r="AP138" s="97"/>
      <c r="AQ138" s="97"/>
      <c r="AR138" s="97"/>
      <c r="AS138" s="97"/>
      <c r="AT138" s="97"/>
      <c r="AU138" s="97"/>
      <c r="AV138" s="97"/>
      <c r="AW138" s="97"/>
      <c r="AX138" s="97"/>
    </row>
    <row r="139" ht="15.75" customHeight="1">
      <c r="A139" s="150" t="s">
        <v>161</v>
      </c>
      <c r="B139" s="82" t="s">
        <v>1080</v>
      </c>
      <c r="C139" s="82" t="s">
        <v>1082</v>
      </c>
      <c r="D139" s="82"/>
      <c r="E139" s="82"/>
      <c r="F139" s="84"/>
      <c r="G139" s="84"/>
      <c r="H139" s="84"/>
      <c r="I139" s="84"/>
      <c r="J139" s="86" t="s">
        <v>1811</v>
      </c>
      <c r="K139" s="84"/>
      <c r="L139" s="84"/>
      <c r="M139" s="84"/>
      <c r="N139" s="84"/>
      <c r="O139" s="86"/>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97"/>
      <c r="AP139" s="97"/>
      <c r="AQ139" s="97"/>
      <c r="AR139" s="97"/>
      <c r="AS139" s="97"/>
      <c r="AT139" s="97"/>
      <c r="AU139" s="97"/>
      <c r="AV139" s="97"/>
      <c r="AW139" s="97"/>
      <c r="AX139" s="97"/>
    </row>
    <row r="140" ht="15.75" customHeight="1">
      <c r="A140" s="152" t="s">
        <v>44</v>
      </c>
      <c r="B140" s="77" t="s">
        <v>1087</v>
      </c>
      <c r="C140" s="76" t="s">
        <v>2032</v>
      </c>
      <c r="D140" s="76" t="s">
        <v>2034</v>
      </c>
      <c r="E140" s="117" t="s">
        <v>2036</v>
      </c>
      <c r="F140" s="76"/>
      <c r="G140" s="76"/>
      <c r="H140" s="76"/>
      <c r="I140" s="176"/>
      <c r="J140" s="176"/>
      <c r="K140" s="176"/>
      <c r="L140" s="176"/>
      <c r="M140" s="176"/>
      <c r="N140" s="176"/>
      <c r="O140" s="176"/>
      <c r="P140" s="176"/>
      <c r="Q140" s="176"/>
      <c r="R140" s="176"/>
      <c r="S140" s="176"/>
      <c r="T140" s="176"/>
      <c r="U140" s="176"/>
      <c r="V140" s="176"/>
      <c r="W140" s="176"/>
      <c r="X140" s="176"/>
      <c r="Y140" s="176"/>
      <c r="Z140" s="176"/>
      <c r="AA140" s="176"/>
      <c r="AB140" s="176"/>
      <c r="AC140" s="176"/>
      <c r="AD140" s="118"/>
      <c r="AE140" s="118"/>
      <c r="AF140" s="118"/>
      <c r="AG140" s="118"/>
      <c r="AH140" s="118"/>
      <c r="AI140" s="118"/>
      <c r="AJ140" s="118"/>
      <c r="AK140" s="118"/>
      <c r="AL140" s="118"/>
      <c r="AM140" s="118"/>
      <c r="AN140" s="118"/>
      <c r="AO140" s="97"/>
      <c r="AP140" s="97"/>
      <c r="AQ140" s="97"/>
      <c r="AR140" s="97"/>
      <c r="AS140" s="97"/>
      <c r="AT140" s="97"/>
      <c r="AU140" s="97"/>
      <c r="AV140" s="97"/>
      <c r="AW140" s="97"/>
      <c r="AX140" s="97"/>
    </row>
    <row r="141" ht="15.75" customHeight="1">
      <c r="A141" s="114" t="s">
        <v>1096</v>
      </c>
      <c r="B141" s="165" t="s">
        <v>1097</v>
      </c>
      <c r="C141" s="76" t="s">
        <v>2043</v>
      </c>
      <c r="D141" s="76" t="s">
        <v>2044</v>
      </c>
      <c r="E141" s="117" t="s">
        <v>2046</v>
      </c>
      <c r="F141" s="76"/>
      <c r="G141" s="76"/>
      <c r="H141" s="76"/>
      <c r="I141" s="118"/>
      <c r="J141" s="120" t="s">
        <v>6</v>
      </c>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97"/>
      <c r="AP141" s="97"/>
      <c r="AQ141" s="97"/>
      <c r="AR141" s="97"/>
      <c r="AS141" s="97"/>
      <c r="AT141" s="97"/>
      <c r="AU141" s="97"/>
      <c r="AV141" s="97"/>
      <c r="AW141" s="97"/>
      <c r="AX141" s="97"/>
    </row>
    <row r="142" ht="15.75" customHeight="1">
      <c r="A142" s="114" t="s">
        <v>1096</v>
      </c>
      <c r="B142" s="165" t="s">
        <v>1100</v>
      </c>
      <c r="C142" s="76" t="s">
        <v>2057</v>
      </c>
      <c r="D142" s="76" t="s">
        <v>2058</v>
      </c>
      <c r="E142" s="117" t="s">
        <v>2059</v>
      </c>
      <c r="F142" s="76"/>
      <c r="G142" s="76"/>
      <c r="H142" s="76"/>
      <c r="I142" s="118"/>
      <c r="J142" s="120" t="s">
        <v>1837</v>
      </c>
      <c r="K142" s="118"/>
      <c r="L142" s="118"/>
      <c r="M142" s="118"/>
      <c r="N142" s="118"/>
      <c r="O142" s="118"/>
      <c r="P142" s="118"/>
      <c r="Q142" s="118" t="s">
        <v>184</v>
      </c>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97"/>
      <c r="AP142" s="97"/>
      <c r="AQ142" s="97"/>
      <c r="AR142" s="97"/>
      <c r="AS142" s="97"/>
      <c r="AT142" s="97"/>
      <c r="AU142" s="97"/>
      <c r="AV142" s="97"/>
      <c r="AW142" s="97"/>
      <c r="AX142" s="97"/>
    </row>
    <row r="143" ht="15.75" customHeight="1">
      <c r="A143" s="114" t="s">
        <v>1096</v>
      </c>
      <c r="B143" s="165" t="s">
        <v>1101</v>
      </c>
      <c r="C143" s="76" t="s">
        <v>2072</v>
      </c>
      <c r="D143" s="76" t="s">
        <v>2073</v>
      </c>
      <c r="E143" s="117" t="s">
        <v>2074</v>
      </c>
      <c r="F143" s="76"/>
      <c r="G143" s="76"/>
      <c r="H143" s="76"/>
      <c r="I143" s="118"/>
      <c r="J143" s="120" t="s">
        <v>1837</v>
      </c>
      <c r="K143" s="118"/>
      <c r="L143" s="118"/>
      <c r="M143" s="118"/>
      <c r="N143" s="118"/>
      <c r="O143" s="118"/>
      <c r="P143" s="118"/>
      <c r="Q143" s="118" t="s">
        <v>184</v>
      </c>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97"/>
      <c r="AP143" s="97"/>
      <c r="AQ143" s="97"/>
      <c r="AR143" s="97"/>
      <c r="AS143" s="97"/>
      <c r="AT143" s="97"/>
      <c r="AU143" s="97"/>
      <c r="AV143" s="97"/>
      <c r="AW143" s="97"/>
      <c r="AX143" s="97"/>
    </row>
    <row r="144" ht="15.75" customHeight="1">
      <c r="A144" s="114" t="s">
        <v>1096</v>
      </c>
      <c r="B144" s="165" t="s">
        <v>1104</v>
      </c>
      <c r="C144" s="76" t="s">
        <v>2095</v>
      </c>
      <c r="D144" s="76" t="s">
        <v>2097</v>
      </c>
      <c r="E144" s="117" t="s">
        <v>2098</v>
      </c>
      <c r="F144" s="76"/>
      <c r="G144" s="76"/>
      <c r="H144" s="76"/>
      <c r="I144" s="118"/>
      <c r="J144" s="120" t="s">
        <v>1837</v>
      </c>
      <c r="K144" s="118"/>
      <c r="L144" s="118"/>
      <c r="M144" s="118"/>
      <c r="N144" s="118"/>
      <c r="O144" s="118"/>
      <c r="P144" s="118"/>
      <c r="Q144" s="118" t="s">
        <v>184</v>
      </c>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97"/>
      <c r="AP144" s="97"/>
      <c r="AQ144" s="97"/>
      <c r="AR144" s="97"/>
      <c r="AS144" s="97"/>
      <c r="AT144" s="97"/>
      <c r="AU144" s="97"/>
      <c r="AV144" s="97"/>
      <c r="AW144" s="97"/>
      <c r="AX144" s="97"/>
    </row>
    <row r="145" ht="15.75" customHeight="1">
      <c r="A145" s="114" t="s">
        <v>1096</v>
      </c>
      <c r="B145" s="165" t="s">
        <v>1109</v>
      </c>
      <c r="C145" s="76" t="s">
        <v>2110</v>
      </c>
      <c r="D145" s="76" t="s">
        <v>2111</v>
      </c>
      <c r="E145" s="117" t="s">
        <v>2112</v>
      </c>
      <c r="F145" s="76"/>
      <c r="G145" s="76"/>
      <c r="H145" s="76"/>
      <c r="I145" s="118"/>
      <c r="J145" s="120" t="s">
        <v>1837</v>
      </c>
      <c r="K145" s="118"/>
      <c r="L145" s="118"/>
      <c r="M145" s="118"/>
      <c r="N145" s="118"/>
      <c r="O145" s="118"/>
      <c r="P145" s="118"/>
      <c r="Q145" s="118" t="s">
        <v>184</v>
      </c>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97"/>
      <c r="AP145" s="97"/>
      <c r="AQ145" s="97"/>
      <c r="AR145" s="97"/>
      <c r="AS145" s="97"/>
      <c r="AT145" s="97"/>
      <c r="AU145" s="97"/>
      <c r="AV145" s="97"/>
      <c r="AW145" s="97"/>
      <c r="AX145" s="97"/>
    </row>
    <row r="146" ht="15.75" customHeight="1">
      <c r="A146" s="114" t="s">
        <v>1096</v>
      </c>
      <c r="B146" s="165" t="s">
        <v>1112</v>
      </c>
      <c r="C146" s="76" t="s">
        <v>2117</v>
      </c>
      <c r="D146" s="76" t="s">
        <v>2119</v>
      </c>
      <c r="E146" s="117" t="s">
        <v>2120</v>
      </c>
      <c r="F146" s="76"/>
      <c r="G146" s="76"/>
      <c r="H146" s="76"/>
      <c r="I146" s="118"/>
      <c r="J146" s="120" t="s">
        <v>1837</v>
      </c>
      <c r="K146" s="118"/>
      <c r="L146" s="118"/>
      <c r="M146" s="118"/>
      <c r="N146" s="118"/>
      <c r="O146" s="118"/>
      <c r="P146" s="118"/>
      <c r="Q146" s="118" t="s">
        <v>184</v>
      </c>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97"/>
      <c r="AP146" s="97"/>
      <c r="AQ146" s="97"/>
      <c r="AR146" s="97"/>
      <c r="AS146" s="97"/>
      <c r="AT146" s="97"/>
      <c r="AU146" s="97"/>
      <c r="AV146" s="97"/>
      <c r="AW146" s="97"/>
      <c r="AX146" s="97"/>
    </row>
    <row r="147" ht="15.75" customHeight="1">
      <c r="A147" s="114" t="s">
        <v>1096</v>
      </c>
      <c r="B147" s="165" t="s">
        <v>1115</v>
      </c>
      <c r="C147" s="76" t="s">
        <v>2126</v>
      </c>
      <c r="D147" s="76" t="s">
        <v>2127</v>
      </c>
      <c r="E147" s="117" t="s">
        <v>2128</v>
      </c>
      <c r="F147" s="76"/>
      <c r="G147" s="76"/>
      <c r="H147" s="76"/>
      <c r="I147" s="118"/>
      <c r="J147" s="120" t="s">
        <v>1837</v>
      </c>
      <c r="K147" s="118"/>
      <c r="L147" s="118"/>
      <c r="M147" s="118"/>
      <c r="N147" s="118"/>
      <c r="O147" s="118"/>
      <c r="P147" s="118"/>
      <c r="Q147" s="118" t="s">
        <v>184</v>
      </c>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97"/>
      <c r="AP147" s="97"/>
      <c r="AQ147" s="97"/>
      <c r="AR147" s="97"/>
      <c r="AS147" s="97"/>
      <c r="AT147" s="97"/>
      <c r="AU147" s="97"/>
      <c r="AV147" s="97"/>
      <c r="AW147" s="97"/>
      <c r="AX147" s="97"/>
    </row>
    <row r="148" ht="15.75" customHeight="1">
      <c r="A148" s="114" t="s">
        <v>1096</v>
      </c>
      <c r="B148" s="165" t="s">
        <v>1119</v>
      </c>
      <c r="C148" s="76" t="s">
        <v>2143</v>
      </c>
      <c r="D148" s="76" t="s">
        <v>2145</v>
      </c>
      <c r="E148" s="117" t="s">
        <v>2147</v>
      </c>
      <c r="F148" s="76"/>
      <c r="G148" s="76"/>
      <c r="H148" s="76"/>
      <c r="I148" s="118"/>
      <c r="J148" s="120" t="s">
        <v>1837</v>
      </c>
      <c r="K148" s="118"/>
      <c r="L148" s="118"/>
      <c r="M148" s="118"/>
      <c r="N148" s="118"/>
      <c r="O148" s="118"/>
      <c r="P148" s="118"/>
      <c r="Q148" s="118" t="s">
        <v>184</v>
      </c>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97"/>
      <c r="AP148" s="97"/>
      <c r="AQ148" s="97"/>
      <c r="AR148" s="97"/>
      <c r="AS148" s="97"/>
      <c r="AT148" s="97"/>
      <c r="AU148" s="97"/>
      <c r="AV148" s="97"/>
      <c r="AW148" s="97"/>
      <c r="AX148" s="97"/>
    </row>
    <row r="149" ht="15.75" customHeight="1">
      <c r="A149" s="114" t="s">
        <v>1096</v>
      </c>
      <c r="B149" s="165" t="s">
        <v>1129</v>
      </c>
      <c r="C149" s="76" t="s">
        <v>2157</v>
      </c>
      <c r="D149" s="76" t="s">
        <v>2158</v>
      </c>
      <c r="E149" s="117" t="s">
        <v>2159</v>
      </c>
      <c r="F149" s="76"/>
      <c r="G149" s="76"/>
      <c r="H149" s="76"/>
      <c r="I149" s="118"/>
      <c r="J149" s="120" t="s">
        <v>1837</v>
      </c>
      <c r="K149" s="118"/>
      <c r="L149" s="118"/>
      <c r="M149" s="118"/>
      <c r="N149" s="118"/>
      <c r="O149" s="118"/>
      <c r="P149" s="118"/>
      <c r="Q149" s="118" t="s">
        <v>184</v>
      </c>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97"/>
      <c r="AP149" s="97"/>
      <c r="AQ149" s="97"/>
      <c r="AR149" s="97"/>
      <c r="AS149" s="97"/>
      <c r="AT149" s="97"/>
      <c r="AU149" s="97"/>
      <c r="AV149" s="97"/>
      <c r="AW149" s="97"/>
      <c r="AX149" s="97"/>
    </row>
    <row r="150" ht="15.75" customHeight="1">
      <c r="A150" s="114" t="s">
        <v>1096</v>
      </c>
      <c r="B150" s="165" t="s">
        <v>1131</v>
      </c>
      <c r="C150" s="76" t="s">
        <v>2167</v>
      </c>
      <c r="D150" s="76" t="s">
        <v>2168</v>
      </c>
      <c r="E150" s="117" t="s">
        <v>2169</v>
      </c>
      <c r="F150" s="76"/>
      <c r="G150" s="76"/>
      <c r="H150" s="76"/>
      <c r="I150" s="118"/>
      <c r="J150" s="120" t="s">
        <v>1837</v>
      </c>
      <c r="K150" s="118"/>
      <c r="L150" s="118"/>
      <c r="M150" s="118"/>
      <c r="N150" s="118"/>
      <c r="O150" s="118"/>
      <c r="P150" s="118"/>
      <c r="Q150" s="118" t="s">
        <v>184</v>
      </c>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97"/>
      <c r="AP150" s="97"/>
      <c r="AQ150" s="97"/>
      <c r="AR150" s="97"/>
      <c r="AS150" s="97"/>
      <c r="AT150" s="97"/>
      <c r="AU150" s="97"/>
      <c r="AV150" s="97"/>
      <c r="AW150" s="97"/>
      <c r="AX150" s="97"/>
    </row>
    <row r="151" ht="15.75" customHeight="1">
      <c r="A151" s="114" t="s">
        <v>1096</v>
      </c>
      <c r="B151" s="165" t="s">
        <v>1135</v>
      </c>
      <c r="C151" s="76" t="s">
        <v>2177</v>
      </c>
      <c r="D151" s="76" t="s">
        <v>2179</v>
      </c>
      <c r="E151" s="117" t="s">
        <v>2181</v>
      </c>
      <c r="F151" s="76"/>
      <c r="G151" s="76"/>
      <c r="H151" s="76"/>
      <c r="I151" s="118"/>
      <c r="J151" s="120" t="s">
        <v>1837</v>
      </c>
      <c r="K151" s="118"/>
      <c r="L151" s="118"/>
      <c r="M151" s="118"/>
      <c r="N151" s="118"/>
      <c r="O151" s="118"/>
      <c r="P151" s="118"/>
      <c r="Q151" s="118" t="s">
        <v>184</v>
      </c>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97"/>
      <c r="AP151" s="97"/>
      <c r="AQ151" s="97"/>
      <c r="AR151" s="97"/>
      <c r="AS151" s="97"/>
      <c r="AT151" s="97"/>
      <c r="AU151" s="97"/>
      <c r="AV151" s="97"/>
      <c r="AW151" s="97"/>
      <c r="AX151" s="97"/>
    </row>
    <row r="152" ht="15.75" customHeight="1">
      <c r="A152" s="150" t="s">
        <v>343</v>
      </c>
      <c r="B152" s="83" t="s">
        <v>1080</v>
      </c>
      <c r="C152" s="83" t="s">
        <v>1082</v>
      </c>
      <c r="D152" s="83"/>
      <c r="E152" s="83"/>
      <c r="F152" s="84"/>
      <c r="G152" s="84"/>
      <c r="H152" s="84"/>
      <c r="I152" s="84"/>
      <c r="J152" s="84" t="s">
        <v>1811</v>
      </c>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97"/>
      <c r="AP152" s="97"/>
      <c r="AQ152" s="97"/>
      <c r="AR152" s="97"/>
      <c r="AS152" s="97"/>
      <c r="AT152" s="97"/>
      <c r="AU152" s="97"/>
      <c r="AV152" s="97"/>
      <c r="AW152" s="97"/>
      <c r="AX152" s="97"/>
    </row>
    <row r="153" ht="15.75" customHeight="1">
      <c r="A153" s="150"/>
      <c r="B153" s="82"/>
      <c r="C153" s="82"/>
      <c r="D153" s="83"/>
      <c r="E153" s="83"/>
      <c r="F153" s="84"/>
      <c r="G153" s="84"/>
      <c r="H153" s="84"/>
      <c r="I153" s="86"/>
      <c r="J153" s="86"/>
      <c r="K153" s="84"/>
      <c r="L153" s="86"/>
      <c r="M153" s="86"/>
      <c r="N153" s="86"/>
      <c r="O153" s="86"/>
      <c r="P153" s="84"/>
      <c r="Q153" s="84"/>
      <c r="R153" s="84"/>
      <c r="S153" s="84"/>
      <c r="T153" s="84"/>
      <c r="U153" s="84"/>
      <c r="V153" s="84"/>
      <c r="W153" s="84"/>
      <c r="X153" s="84"/>
      <c r="Y153" s="84"/>
      <c r="Z153" s="84"/>
      <c r="AA153" s="84"/>
      <c r="AB153" s="84"/>
      <c r="AC153" s="84"/>
      <c r="AD153" s="97"/>
      <c r="AE153" s="97"/>
      <c r="AF153" s="97"/>
      <c r="AG153" s="97"/>
      <c r="AH153" s="97"/>
      <c r="AI153" s="97"/>
      <c r="AJ153" s="97"/>
      <c r="AK153" s="97"/>
      <c r="AL153" s="97"/>
      <c r="AM153" s="97"/>
      <c r="AN153" s="97"/>
      <c r="AO153" s="97"/>
      <c r="AP153" s="97"/>
      <c r="AQ153" s="97"/>
      <c r="AR153" s="97"/>
      <c r="AS153" s="97"/>
      <c r="AT153" s="97"/>
      <c r="AU153" s="97"/>
      <c r="AV153" s="97"/>
      <c r="AW153" s="97"/>
      <c r="AX153" s="97"/>
    </row>
    <row r="154" ht="15.75" customHeight="1">
      <c r="A154" s="152" t="s">
        <v>44</v>
      </c>
      <c r="B154" s="77" t="s">
        <v>1154</v>
      </c>
      <c r="C154" s="76" t="s">
        <v>2193</v>
      </c>
      <c r="D154" s="76" t="s">
        <v>2194</v>
      </c>
      <c r="E154" s="117" t="s">
        <v>2195</v>
      </c>
      <c r="F154" s="76"/>
      <c r="G154" s="76"/>
      <c r="H154" s="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97"/>
      <c r="AP154" s="97"/>
      <c r="AQ154" s="97"/>
      <c r="AR154" s="97"/>
      <c r="AS154" s="97"/>
      <c r="AT154" s="97"/>
      <c r="AU154" s="97"/>
      <c r="AV154" s="97"/>
      <c r="AW154" s="97"/>
      <c r="AX154" s="97"/>
    </row>
    <row r="155" ht="15.75" customHeight="1">
      <c r="A155" s="114" t="s">
        <v>979</v>
      </c>
      <c r="B155" s="165" t="s">
        <v>1161</v>
      </c>
      <c r="C155" s="76" t="s">
        <v>2197</v>
      </c>
      <c r="D155" s="76" t="s">
        <v>2198</v>
      </c>
      <c r="E155" s="117" t="s">
        <v>2200</v>
      </c>
      <c r="F155" s="76"/>
      <c r="G155" s="76"/>
      <c r="H155" s="76"/>
      <c r="I155" s="118"/>
      <c r="J155" s="120"/>
      <c r="K155" s="118"/>
      <c r="L155" s="118"/>
      <c r="M155" s="118"/>
      <c r="N155" s="118"/>
      <c r="O155" s="118"/>
      <c r="P155" s="118"/>
      <c r="Q155" s="118" t="s">
        <v>184</v>
      </c>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97"/>
      <c r="AP155" s="97"/>
      <c r="AQ155" s="97"/>
      <c r="AR155" s="97"/>
      <c r="AS155" s="97"/>
      <c r="AT155" s="97"/>
      <c r="AU155" s="97"/>
      <c r="AV155" s="97"/>
      <c r="AW155" s="97"/>
      <c r="AX155" s="97"/>
    </row>
    <row r="156" ht="15.75" customHeight="1">
      <c r="A156" s="114" t="s">
        <v>979</v>
      </c>
      <c r="B156" s="165" t="s">
        <v>1173</v>
      </c>
      <c r="C156" s="76" t="s">
        <v>2210</v>
      </c>
      <c r="D156" s="76" t="s">
        <v>2212</v>
      </c>
      <c r="E156" s="117" t="s">
        <v>2213</v>
      </c>
      <c r="F156" s="76"/>
      <c r="G156" s="76"/>
      <c r="H156" s="76"/>
      <c r="I156" s="118"/>
      <c r="J156" s="120"/>
      <c r="K156" s="118"/>
      <c r="L156" s="118"/>
      <c r="M156" s="118"/>
      <c r="N156" s="118"/>
      <c r="O156" s="118"/>
      <c r="P156" s="118"/>
      <c r="Q156" s="118" t="s">
        <v>184</v>
      </c>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97"/>
      <c r="AP156" s="97"/>
      <c r="AQ156" s="97"/>
      <c r="AR156" s="97"/>
      <c r="AS156" s="97"/>
      <c r="AT156" s="97"/>
      <c r="AU156" s="97"/>
      <c r="AV156" s="97"/>
      <c r="AW156" s="97"/>
      <c r="AX156" s="97"/>
    </row>
    <row r="157" ht="15.75" customHeight="1">
      <c r="A157" s="187"/>
      <c r="B157" s="188"/>
      <c r="C157" s="188"/>
      <c r="D157" s="188"/>
      <c r="E157" s="188"/>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c r="AP157" s="226"/>
      <c r="AQ157" s="226"/>
      <c r="AR157" s="226"/>
      <c r="AS157" s="226"/>
      <c r="AT157" s="226"/>
      <c r="AU157" s="226"/>
      <c r="AV157" s="226"/>
      <c r="AW157" s="226"/>
      <c r="AX157" s="226"/>
    </row>
    <row r="158" ht="15.75" customHeight="1">
      <c r="A158" s="150" t="s">
        <v>161</v>
      </c>
      <c r="B158" s="82" t="s">
        <v>1187</v>
      </c>
      <c r="C158" s="82"/>
      <c r="D158" s="82"/>
      <c r="E158" s="82"/>
      <c r="F158" s="84"/>
      <c r="G158" s="84"/>
      <c r="H158" s="84"/>
      <c r="I158" s="84"/>
      <c r="J158" s="86" t="s">
        <v>1811</v>
      </c>
      <c r="K158" s="84"/>
      <c r="L158" s="84"/>
      <c r="M158" s="84"/>
      <c r="N158" s="84"/>
      <c r="O158" s="86"/>
      <c r="P158" s="84"/>
      <c r="Q158" s="84"/>
      <c r="R158" s="84"/>
      <c r="S158" s="84"/>
      <c r="T158" s="84"/>
      <c r="U158" s="84"/>
      <c r="V158" s="84"/>
      <c r="W158" s="84"/>
      <c r="X158" s="84"/>
      <c r="Y158" s="84"/>
      <c r="Z158" s="84"/>
      <c r="AA158" s="84"/>
      <c r="AB158" s="84"/>
      <c r="AC158" s="84"/>
      <c r="AD158" s="176"/>
      <c r="AE158" s="176"/>
      <c r="AF158" s="176"/>
      <c r="AG158" s="176"/>
      <c r="AH158" s="176"/>
      <c r="AI158" s="176"/>
      <c r="AJ158" s="176"/>
      <c r="AK158" s="176"/>
      <c r="AL158" s="176"/>
      <c r="AM158" s="176"/>
      <c r="AN158" s="176"/>
      <c r="AO158" s="97"/>
      <c r="AP158" s="97"/>
      <c r="AQ158" s="97"/>
      <c r="AR158" s="97"/>
      <c r="AS158" s="97"/>
      <c r="AT158" s="97"/>
      <c r="AU158" s="97"/>
      <c r="AV158" s="97"/>
      <c r="AW158" s="97"/>
      <c r="AX158" s="97"/>
    </row>
    <row r="159" ht="15.75" customHeight="1">
      <c r="A159" s="114" t="s">
        <v>541</v>
      </c>
      <c r="B159" s="165" t="s">
        <v>1192</v>
      </c>
      <c r="C159" s="76" t="s">
        <v>2248</v>
      </c>
      <c r="D159" s="76" t="s">
        <v>2250</v>
      </c>
      <c r="E159" s="117" t="s">
        <v>2251</v>
      </c>
      <c r="F159" s="76"/>
      <c r="G159" s="76"/>
      <c r="H159" s="76"/>
      <c r="I159" s="118"/>
      <c r="J159" s="120" t="s">
        <v>6</v>
      </c>
      <c r="K159" s="118"/>
      <c r="L159" s="118"/>
      <c r="M159" s="118"/>
      <c r="N159" s="118"/>
      <c r="O159" s="118"/>
      <c r="P159" s="118"/>
      <c r="Q159" s="118"/>
      <c r="R159" s="118"/>
      <c r="S159" s="118"/>
      <c r="T159" s="118"/>
      <c r="U159" s="118"/>
      <c r="V159" s="118"/>
      <c r="W159" s="118"/>
      <c r="X159" s="118"/>
      <c r="Y159" s="118"/>
      <c r="Z159" s="118"/>
      <c r="AA159" s="118"/>
      <c r="AB159" s="118"/>
      <c r="AC159" s="118"/>
      <c r="AD159" s="176"/>
      <c r="AE159" s="176"/>
      <c r="AF159" s="176"/>
      <c r="AG159" s="176"/>
      <c r="AH159" s="176"/>
      <c r="AI159" s="176"/>
      <c r="AJ159" s="176"/>
      <c r="AK159" s="176"/>
      <c r="AL159" s="176"/>
      <c r="AM159" s="176"/>
      <c r="AN159" s="176"/>
      <c r="AO159" s="97"/>
      <c r="AP159" s="97"/>
      <c r="AQ159" s="97"/>
      <c r="AR159" s="97"/>
      <c r="AS159" s="97"/>
      <c r="AT159" s="97"/>
      <c r="AU159" s="97"/>
      <c r="AV159" s="97"/>
      <c r="AW159" s="97"/>
      <c r="AX159" s="97"/>
    </row>
    <row r="160" ht="15.75" customHeight="1">
      <c r="A160" s="114" t="s">
        <v>541</v>
      </c>
      <c r="B160" s="165" t="s">
        <v>1203</v>
      </c>
      <c r="C160" s="76" t="s">
        <v>2269</v>
      </c>
      <c r="D160" s="76" t="s">
        <v>2271</v>
      </c>
      <c r="E160" s="117" t="s">
        <v>2274</v>
      </c>
      <c r="F160" s="76"/>
      <c r="G160" s="76"/>
      <c r="H160" s="76"/>
      <c r="I160" s="118"/>
      <c r="J160" s="120" t="s">
        <v>1837</v>
      </c>
      <c r="K160" s="118"/>
      <c r="L160" s="118"/>
      <c r="M160" s="118"/>
      <c r="N160" s="118"/>
      <c r="O160" s="118"/>
      <c r="P160" s="118"/>
      <c r="Q160" s="118" t="s">
        <v>184</v>
      </c>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97"/>
      <c r="AP160" s="97"/>
      <c r="AQ160" s="97"/>
      <c r="AR160" s="97"/>
      <c r="AS160" s="97"/>
      <c r="AT160" s="97"/>
      <c r="AU160" s="97"/>
      <c r="AV160" s="97"/>
      <c r="AW160" s="97"/>
      <c r="AX160" s="97"/>
    </row>
    <row r="161" ht="15.75" customHeight="1">
      <c r="A161" s="114" t="s">
        <v>541</v>
      </c>
      <c r="B161" s="165" t="s">
        <v>1211</v>
      </c>
      <c r="C161" s="76" t="s">
        <v>2287</v>
      </c>
      <c r="D161" s="76" t="s">
        <v>2288</v>
      </c>
      <c r="E161" s="117" t="s">
        <v>2289</v>
      </c>
      <c r="F161" s="76"/>
      <c r="G161" s="76"/>
      <c r="H161" s="76"/>
      <c r="I161" s="118"/>
      <c r="J161" s="120" t="s">
        <v>1837</v>
      </c>
      <c r="K161" s="118"/>
      <c r="L161" s="118"/>
      <c r="M161" s="118"/>
      <c r="N161" s="118"/>
      <c r="O161" s="118"/>
      <c r="P161" s="118"/>
      <c r="Q161" s="118" t="s">
        <v>184</v>
      </c>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97"/>
      <c r="AP161" s="97"/>
      <c r="AQ161" s="97"/>
      <c r="AR161" s="97"/>
      <c r="AS161" s="97"/>
      <c r="AT161" s="97"/>
      <c r="AU161" s="97"/>
      <c r="AV161" s="97"/>
      <c r="AW161" s="97"/>
      <c r="AX161" s="97"/>
    </row>
    <row r="162" ht="15.75" customHeight="1">
      <c r="A162" s="114" t="s">
        <v>541</v>
      </c>
      <c r="B162" s="165" t="s">
        <v>1215</v>
      </c>
      <c r="C162" s="76" t="s">
        <v>2303</v>
      </c>
      <c r="D162" s="76" t="s">
        <v>2304</v>
      </c>
      <c r="E162" s="117" t="s">
        <v>2305</v>
      </c>
      <c r="F162" s="76"/>
      <c r="G162" s="76"/>
      <c r="H162" s="76"/>
      <c r="I162" s="118"/>
      <c r="J162" s="120" t="s">
        <v>1837</v>
      </c>
      <c r="K162" s="118"/>
      <c r="L162" s="118"/>
      <c r="M162" s="118"/>
      <c r="N162" s="118"/>
      <c r="O162" s="118"/>
      <c r="P162" s="118"/>
      <c r="Q162" s="118" t="s">
        <v>184</v>
      </c>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97"/>
      <c r="AP162" s="97"/>
      <c r="AQ162" s="97"/>
      <c r="AR162" s="97"/>
      <c r="AS162" s="97"/>
      <c r="AT162" s="97"/>
      <c r="AU162" s="97"/>
      <c r="AV162" s="97"/>
      <c r="AW162" s="97"/>
      <c r="AX162" s="97"/>
    </row>
    <row r="163" ht="15.75" customHeight="1">
      <c r="A163" s="114" t="s">
        <v>541</v>
      </c>
      <c r="B163" s="165" t="s">
        <v>1220</v>
      </c>
      <c r="C163" s="76" t="s">
        <v>2313</v>
      </c>
      <c r="D163" s="76" t="s">
        <v>2315</v>
      </c>
      <c r="E163" s="117" t="s">
        <v>2316</v>
      </c>
      <c r="F163" s="76"/>
      <c r="G163" s="76"/>
      <c r="H163" s="76"/>
      <c r="I163" s="118"/>
      <c r="J163" s="120" t="s">
        <v>1837</v>
      </c>
      <c r="K163" s="118"/>
      <c r="L163" s="118"/>
      <c r="M163" s="118"/>
      <c r="N163" s="118"/>
      <c r="O163" s="118"/>
      <c r="P163" s="118"/>
      <c r="Q163" s="118" t="s">
        <v>184</v>
      </c>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97"/>
      <c r="AP163" s="97"/>
      <c r="AQ163" s="97"/>
      <c r="AR163" s="97"/>
      <c r="AS163" s="97"/>
      <c r="AT163" s="97"/>
      <c r="AU163" s="97"/>
      <c r="AV163" s="97"/>
      <c r="AW163" s="97"/>
      <c r="AX163" s="97"/>
    </row>
    <row r="164" ht="15.75" customHeight="1">
      <c r="A164" s="150" t="s">
        <v>343</v>
      </c>
      <c r="B164" s="83" t="s">
        <v>1187</v>
      </c>
      <c r="C164" s="83"/>
      <c r="D164" s="83"/>
      <c r="E164" s="83"/>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182"/>
      <c r="AE164" s="182"/>
      <c r="AF164" s="182"/>
      <c r="AG164" s="182"/>
      <c r="AH164" s="182"/>
      <c r="AI164" s="182"/>
      <c r="AJ164" s="182"/>
      <c r="AK164" s="182"/>
      <c r="AL164" s="182"/>
      <c r="AM164" s="182"/>
      <c r="AN164" s="182"/>
      <c r="AO164" s="97"/>
      <c r="AP164" s="97"/>
      <c r="AQ164" s="97"/>
      <c r="AR164" s="97"/>
      <c r="AS164" s="97"/>
      <c r="AT164" s="97"/>
      <c r="AU164" s="97"/>
      <c r="AV164" s="97"/>
      <c r="AW164" s="97"/>
      <c r="AX164" s="97"/>
    </row>
    <row r="165" ht="15.75" customHeight="1">
      <c r="A165" s="150" t="s">
        <v>161</v>
      </c>
      <c r="B165" s="82" t="s">
        <v>1230</v>
      </c>
      <c r="C165" s="82"/>
      <c r="D165" s="82"/>
      <c r="E165" s="82"/>
      <c r="F165" s="84"/>
      <c r="G165" s="84"/>
      <c r="H165" s="84"/>
      <c r="I165" s="84"/>
      <c r="J165" s="86" t="s">
        <v>1811</v>
      </c>
      <c r="K165" s="84"/>
      <c r="L165" s="84"/>
      <c r="M165" s="84"/>
      <c r="N165" s="84"/>
      <c r="O165" s="91" t="s">
        <v>2343</v>
      </c>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97"/>
      <c r="AP165" s="97"/>
      <c r="AQ165" s="97"/>
      <c r="AR165" s="97"/>
      <c r="AS165" s="97"/>
      <c r="AT165" s="97"/>
      <c r="AU165" s="97"/>
      <c r="AV165" s="97"/>
      <c r="AW165" s="97"/>
      <c r="AX165" s="97"/>
    </row>
    <row r="166" ht="15.75" customHeight="1">
      <c r="A166" s="152" t="s">
        <v>44</v>
      </c>
      <c r="B166" s="77" t="s">
        <v>1236</v>
      </c>
      <c r="C166" s="76" t="s">
        <v>2353</v>
      </c>
      <c r="D166" s="76" t="s">
        <v>2354</v>
      </c>
      <c r="E166" s="117" t="s">
        <v>2355</v>
      </c>
      <c r="F166" s="76"/>
      <c r="G166" s="76"/>
      <c r="H166" s="76"/>
      <c r="I166" s="176"/>
      <c r="J166" s="176" t="s">
        <v>6</v>
      </c>
      <c r="K166" s="176"/>
      <c r="L166" s="176"/>
      <c r="M166" s="176"/>
      <c r="N166" s="176"/>
      <c r="O166" s="176"/>
      <c r="P166" s="176"/>
      <c r="Q166" s="176"/>
      <c r="R166" s="176"/>
      <c r="S166" s="176"/>
      <c r="T166" s="176"/>
      <c r="U166" s="176"/>
      <c r="V166" s="176"/>
      <c r="W166" s="176"/>
      <c r="X166" s="176"/>
      <c r="Y166" s="176"/>
      <c r="Z166" s="176"/>
      <c r="AA166" s="176"/>
      <c r="AB166" s="176"/>
      <c r="AC166" s="176"/>
      <c r="AD166" s="182"/>
      <c r="AE166" s="182"/>
      <c r="AF166" s="182"/>
      <c r="AG166" s="182"/>
      <c r="AH166" s="182"/>
      <c r="AI166" s="182"/>
      <c r="AJ166" s="182"/>
      <c r="AK166" s="182"/>
      <c r="AL166" s="182"/>
      <c r="AM166" s="182"/>
      <c r="AN166" s="182"/>
      <c r="AO166" s="97"/>
      <c r="AP166" s="97"/>
      <c r="AQ166" s="97"/>
      <c r="AR166" s="97"/>
      <c r="AS166" s="97"/>
      <c r="AT166" s="97"/>
      <c r="AU166" s="97"/>
      <c r="AV166" s="97"/>
      <c r="AW166" s="97"/>
      <c r="AX166" s="97"/>
    </row>
    <row r="167" ht="15.75" customHeight="1">
      <c r="A167" s="162" t="s">
        <v>217</v>
      </c>
      <c r="B167" s="166" t="s">
        <v>1244</v>
      </c>
      <c r="C167" s="76" t="s">
        <v>2369</v>
      </c>
      <c r="D167" s="76" t="s">
        <v>2370</v>
      </c>
      <c r="E167" s="117" t="s">
        <v>2371</v>
      </c>
      <c r="F167" s="76" t="s">
        <v>2372</v>
      </c>
      <c r="G167" s="76" t="s">
        <v>2373</v>
      </c>
      <c r="H167" s="76" t="s">
        <v>2375</v>
      </c>
      <c r="I167" s="182"/>
      <c r="J167" s="183" t="s">
        <v>1837</v>
      </c>
      <c r="K167" s="182"/>
      <c r="L167" s="182"/>
      <c r="M167" s="182"/>
      <c r="N167" s="182"/>
      <c r="O167" s="184" t="s">
        <v>2378</v>
      </c>
      <c r="P167" s="182"/>
      <c r="Q167" s="182" t="s">
        <v>184</v>
      </c>
      <c r="R167" s="182"/>
      <c r="S167" s="182"/>
      <c r="T167" s="182"/>
      <c r="U167" s="182"/>
      <c r="V167" s="182"/>
      <c r="W167" s="182"/>
      <c r="X167" s="182"/>
      <c r="Y167" s="182"/>
      <c r="Z167" s="182"/>
      <c r="AA167" s="182"/>
      <c r="AB167" s="182"/>
      <c r="AC167" s="182"/>
      <c r="AD167" s="182"/>
      <c r="AE167" s="182"/>
      <c r="AF167" s="182"/>
      <c r="AG167" s="182"/>
      <c r="AH167" s="182"/>
      <c r="AI167" s="182"/>
      <c r="AJ167" s="182"/>
      <c r="AK167" s="182"/>
      <c r="AL167" s="182"/>
      <c r="AM167" s="182"/>
      <c r="AN167" s="182"/>
      <c r="AO167" s="97"/>
      <c r="AP167" s="97"/>
      <c r="AQ167" s="97"/>
      <c r="AR167" s="97"/>
      <c r="AS167" s="97"/>
      <c r="AT167" s="97"/>
      <c r="AU167" s="97"/>
      <c r="AV167" s="97"/>
      <c r="AW167" s="97"/>
      <c r="AX167" s="97"/>
    </row>
    <row r="168" ht="15.75" customHeight="1">
      <c r="A168" s="162" t="s">
        <v>217</v>
      </c>
      <c r="B168" s="166" t="s">
        <v>1253</v>
      </c>
      <c r="C168" s="76" t="s">
        <v>2389</v>
      </c>
      <c r="D168" s="76" t="s">
        <v>2391</v>
      </c>
      <c r="E168" s="117" t="s">
        <v>2393</v>
      </c>
      <c r="F168" s="76" t="s">
        <v>2372</v>
      </c>
      <c r="G168" s="76" t="s">
        <v>2373</v>
      </c>
      <c r="H168" s="76" t="s">
        <v>2375</v>
      </c>
      <c r="I168" s="182"/>
      <c r="J168" s="183" t="s">
        <v>1837</v>
      </c>
      <c r="K168" s="182"/>
      <c r="L168" s="182"/>
      <c r="M168" s="182"/>
      <c r="N168" s="182"/>
      <c r="O168" s="184" t="s">
        <v>2394</v>
      </c>
      <c r="P168" s="182"/>
      <c r="Q168" s="182" t="s">
        <v>184</v>
      </c>
      <c r="R168" s="182"/>
      <c r="S168" s="182"/>
      <c r="T168" s="182"/>
      <c r="U168" s="182"/>
      <c r="V168" s="182"/>
      <c r="W168" s="182"/>
      <c r="X168" s="182"/>
      <c r="Y168" s="182"/>
      <c r="Z168" s="182"/>
      <c r="AA168" s="182"/>
      <c r="AB168" s="182"/>
      <c r="AC168" s="182"/>
      <c r="AD168" s="182"/>
      <c r="AE168" s="182"/>
      <c r="AF168" s="182"/>
      <c r="AG168" s="182"/>
      <c r="AH168" s="182"/>
      <c r="AI168" s="182"/>
      <c r="AJ168" s="182"/>
      <c r="AK168" s="182"/>
      <c r="AL168" s="182"/>
      <c r="AM168" s="182"/>
      <c r="AN168" s="182"/>
      <c r="AO168" s="97"/>
      <c r="AP168" s="97"/>
      <c r="AQ168" s="97"/>
      <c r="AR168" s="97"/>
      <c r="AS168" s="97"/>
      <c r="AT168" s="97"/>
      <c r="AU168" s="97"/>
      <c r="AV168" s="97"/>
      <c r="AW168" s="97"/>
      <c r="AX168" s="97"/>
    </row>
    <row r="169" ht="15.75" customHeight="1">
      <c r="A169" s="162" t="s">
        <v>217</v>
      </c>
      <c r="B169" s="166" t="s">
        <v>1261</v>
      </c>
      <c r="C169" s="76" t="s">
        <v>2404</v>
      </c>
      <c r="D169" s="76" t="s">
        <v>2405</v>
      </c>
      <c r="E169" s="117" t="s">
        <v>2406</v>
      </c>
      <c r="F169" s="76" t="s">
        <v>2372</v>
      </c>
      <c r="G169" s="76" t="s">
        <v>2373</v>
      </c>
      <c r="H169" s="76" t="s">
        <v>2375</v>
      </c>
      <c r="I169" s="182"/>
      <c r="J169" s="183" t="s">
        <v>1837</v>
      </c>
      <c r="K169" s="182"/>
      <c r="L169" s="182"/>
      <c r="M169" s="182"/>
      <c r="N169" s="182"/>
      <c r="O169" s="184" t="s">
        <v>2411</v>
      </c>
      <c r="P169" s="182"/>
      <c r="Q169" s="182" t="s">
        <v>184</v>
      </c>
      <c r="R169" s="182"/>
      <c r="S169" s="182"/>
      <c r="T169" s="182"/>
      <c r="U169" s="182"/>
      <c r="V169" s="182"/>
      <c r="W169" s="182"/>
      <c r="X169" s="182"/>
      <c r="Y169" s="182"/>
      <c r="Z169" s="182"/>
      <c r="AA169" s="182"/>
      <c r="AB169" s="182"/>
      <c r="AC169" s="182"/>
      <c r="AD169" s="182"/>
      <c r="AE169" s="182"/>
      <c r="AF169" s="182"/>
      <c r="AG169" s="182"/>
      <c r="AH169" s="182"/>
      <c r="AI169" s="182"/>
      <c r="AJ169" s="182"/>
      <c r="AK169" s="182"/>
      <c r="AL169" s="182"/>
      <c r="AM169" s="182"/>
      <c r="AN169" s="182"/>
      <c r="AO169" s="97"/>
      <c r="AP169" s="97"/>
      <c r="AQ169" s="97"/>
      <c r="AR169" s="97"/>
      <c r="AS169" s="97"/>
      <c r="AT169" s="97"/>
      <c r="AU169" s="97"/>
      <c r="AV169" s="97"/>
      <c r="AW169" s="97"/>
      <c r="AX169" s="97"/>
    </row>
    <row r="170" ht="15.75" customHeight="1">
      <c r="A170" s="162" t="s">
        <v>217</v>
      </c>
      <c r="B170" s="166" t="s">
        <v>1267</v>
      </c>
      <c r="C170" s="76" t="s">
        <v>2420</v>
      </c>
      <c r="D170" s="76" t="s">
        <v>2421</v>
      </c>
      <c r="E170" s="117" t="s">
        <v>2422</v>
      </c>
      <c r="F170" s="76" t="s">
        <v>2372</v>
      </c>
      <c r="G170" s="76" t="s">
        <v>2373</v>
      </c>
      <c r="H170" s="76" t="s">
        <v>2375</v>
      </c>
      <c r="I170" s="182"/>
      <c r="J170" s="183" t="s">
        <v>1837</v>
      </c>
      <c r="K170" s="182"/>
      <c r="L170" s="182"/>
      <c r="M170" s="182"/>
      <c r="N170" s="182"/>
      <c r="O170" s="184" t="s">
        <v>2429</v>
      </c>
      <c r="P170" s="182"/>
      <c r="Q170" s="182" t="s">
        <v>184</v>
      </c>
      <c r="R170" s="182"/>
      <c r="S170" s="182"/>
      <c r="T170" s="182"/>
      <c r="U170" s="182"/>
      <c r="V170" s="182"/>
      <c r="W170" s="182"/>
      <c r="X170" s="182"/>
      <c r="Y170" s="182"/>
      <c r="Z170" s="182"/>
      <c r="AA170" s="182"/>
      <c r="AB170" s="182"/>
      <c r="AC170" s="182"/>
      <c r="AD170" s="182"/>
      <c r="AE170" s="182"/>
      <c r="AF170" s="182"/>
      <c r="AG170" s="182"/>
      <c r="AH170" s="182"/>
      <c r="AI170" s="182"/>
      <c r="AJ170" s="182"/>
      <c r="AK170" s="182"/>
      <c r="AL170" s="182"/>
      <c r="AM170" s="182"/>
      <c r="AN170" s="182"/>
      <c r="AO170" s="97"/>
      <c r="AP170" s="97"/>
      <c r="AQ170" s="97"/>
      <c r="AR170" s="97"/>
      <c r="AS170" s="97"/>
      <c r="AT170" s="97"/>
      <c r="AU170" s="97"/>
      <c r="AV170" s="97"/>
      <c r="AW170" s="97"/>
      <c r="AX170" s="97"/>
    </row>
    <row r="171" ht="15.75" customHeight="1">
      <c r="A171" s="150" t="s">
        <v>343</v>
      </c>
      <c r="B171" s="83" t="s">
        <v>1230</v>
      </c>
      <c r="C171" s="83"/>
      <c r="D171" s="83"/>
      <c r="E171" s="83"/>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97"/>
      <c r="AP171" s="97"/>
      <c r="AQ171" s="97"/>
      <c r="AR171" s="97"/>
      <c r="AS171" s="97"/>
      <c r="AT171" s="97"/>
      <c r="AU171" s="97"/>
      <c r="AV171" s="97"/>
      <c r="AW171" s="97"/>
      <c r="AX171" s="97"/>
    </row>
    <row r="172" ht="15.75" customHeight="1">
      <c r="A172" s="150"/>
      <c r="B172" s="82"/>
      <c r="C172" s="82"/>
      <c r="D172" s="83"/>
      <c r="E172" s="83"/>
      <c r="F172" s="84"/>
      <c r="G172" s="84"/>
      <c r="H172" s="84"/>
      <c r="I172" s="86"/>
      <c r="J172" s="86"/>
      <c r="K172" s="84"/>
      <c r="L172" s="86"/>
      <c r="M172" s="86"/>
      <c r="N172" s="86"/>
      <c r="O172" s="86"/>
      <c r="P172" s="84"/>
      <c r="Q172" s="84"/>
      <c r="R172" s="84"/>
      <c r="S172" s="84"/>
      <c r="T172" s="84"/>
      <c r="U172" s="84"/>
      <c r="V172" s="84"/>
      <c r="W172" s="84"/>
      <c r="X172" s="84"/>
      <c r="Y172" s="84"/>
      <c r="Z172" s="84"/>
      <c r="AA172" s="84"/>
      <c r="AB172" s="84"/>
      <c r="AC172" s="84"/>
      <c r="AD172" s="97"/>
      <c r="AE172" s="97"/>
      <c r="AF172" s="97"/>
      <c r="AG172" s="97"/>
      <c r="AH172" s="97"/>
      <c r="AI172" s="97"/>
      <c r="AJ172" s="97"/>
      <c r="AK172" s="97"/>
      <c r="AL172" s="97"/>
      <c r="AM172" s="97"/>
      <c r="AN172" s="97"/>
      <c r="AO172" s="97"/>
      <c r="AP172" s="97"/>
      <c r="AQ172" s="97"/>
      <c r="AR172" s="97"/>
      <c r="AS172" s="97"/>
      <c r="AT172" s="97"/>
      <c r="AU172" s="97"/>
      <c r="AV172" s="97"/>
      <c r="AW172" s="97"/>
      <c r="AX172" s="97"/>
    </row>
    <row r="173" ht="15.75" customHeight="1">
      <c r="A173" s="152" t="s">
        <v>44</v>
      </c>
      <c r="B173" s="77" t="s">
        <v>1289</v>
      </c>
      <c r="C173" s="76" t="s">
        <v>2448</v>
      </c>
      <c r="D173" s="76" t="s">
        <v>2449</v>
      </c>
      <c r="E173" s="117" t="s">
        <v>2450</v>
      </c>
      <c r="F173" s="76"/>
      <c r="G173" s="76"/>
      <c r="H173" s="76"/>
      <c r="I173" s="176"/>
      <c r="J173" s="176"/>
      <c r="K173" s="176"/>
      <c r="L173" s="176"/>
      <c r="M173" s="176"/>
      <c r="N173" s="176"/>
      <c r="O173" s="176"/>
      <c r="P173" s="176"/>
      <c r="Q173" s="176"/>
      <c r="R173" s="176"/>
      <c r="S173" s="176"/>
      <c r="T173" s="176"/>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97"/>
      <c r="AP173" s="97"/>
      <c r="AQ173" s="97"/>
      <c r="AR173" s="97"/>
      <c r="AS173" s="97"/>
      <c r="AT173" s="97"/>
      <c r="AU173" s="97"/>
      <c r="AV173" s="97"/>
      <c r="AW173" s="97"/>
      <c r="AX173" s="97"/>
    </row>
    <row r="174" ht="15.75" customHeight="1">
      <c r="A174" s="114" t="s">
        <v>680</v>
      </c>
      <c r="B174" s="165" t="s">
        <v>1297</v>
      </c>
      <c r="C174" s="76" t="s">
        <v>2459</v>
      </c>
      <c r="D174" s="76" t="s">
        <v>2461</v>
      </c>
      <c r="E174" s="117" t="s">
        <v>2462</v>
      </c>
      <c r="F174" s="76"/>
      <c r="G174" s="76"/>
      <c r="H174" s="76"/>
      <c r="I174" s="118"/>
      <c r="J174" s="120"/>
      <c r="K174" s="118"/>
      <c r="L174" s="118"/>
      <c r="M174" s="118"/>
      <c r="N174" s="118"/>
      <c r="O174" s="118"/>
      <c r="P174" s="118"/>
      <c r="Q174" s="118" t="s">
        <v>184</v>
      </c>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97"/>
      <c r="AP174" s="97"/>
      <c r="AQ174" s="97"/>
      <c r="AR174" s="97"/>
      <c r="AS174" s="97"/>
      <c r="AT174" s="97"/>
      <c r="AU174" s="97"/>
      <c r="AV174" s="97"/>
      <c r="AW174" s="97"/>
      <c r="AX174" s="97"/>
    </row>
    <row r="175" ht="15.75" customHeight="1">
      <c r="A175" s="170" t="s">
        <v>238</v>
      </c>
      <c r="B175" s="171" t="s">
        <v>1312</v>
      </c>
      <c r="C175" s="76" t="s">
        <v>791</v>
      </c>
      <c r="D175" s="76" t="s">
        <v>793</v>
      </c>
      <c r="E175" s="117" t="s">
        <v>2475</v>
      </c>
      <c r="F175" s="76"/>
      <c r="G175" s="76"/>
      <c r="H175" s="76"/>
      <c r="I175" s="209"/>
      <c r="J175" s="209"/>
      <c r="K175" s="210" t="s">
        <v>2476</v>
      </c>
      <c r="L175" s="210"/>
      <c r="M175" s="210"/>
      <c r="N175" s="210"/>
      <c r="O175" s="239" t="s">
        <v>2478</v>
      </c>
      <c r="P175" s="209"/>
      <c r="Q175" s="209" t="s">
        <v>184</v>
      </c>
      <c r="R175" s="209"/>
      <c r="S175" s="209"/>
      <c r="T175" s="209"/>
      <c r="U175" s="209"/>
      <c r="V175" s="209"/>
      <c r="W175" s="209"/>
      <c r="X175" s="209"/>
      <c r="Y175" s="209"/>
      <c r="Z175" s="209"/>
      <c r="AA175" s="209"/>
      <c r="AB175" s="209"/>
      <c r="AC175" s="209"/>
      <c r="AD175" s="209"/>
      <c r="AE175" s="209"/>
      <c r="AF175" s="209"/>
      <c r="AG175" s="209"/>
      <c r="AH175" s="209"/>
      <c r="AI175" s="209"/>
      <c r="AJ175" s="209"/>
      <c r="AK175" s="209"/>
      <c r="AL175" s="209"/>
      <c r="AM175" s="209"/>
      <c r="AN175" s="209"/>
      <c r="AO175" s="97"/>
      <c r="AP175" s="97"/>
      <c r="AQ175" s="97"/>
      <c r="AR175" s="97"/>
      <c r="AS175" s="97"/>
      <c r="AT175" s="97"/>
      <c r="AU175" s="97"/>
      <c r="AV175" s="97"/>
      <c r="AW175" s="97"/>
      <c r="AX175" s="97"/>
    </row>
    <row r="176" ht="15.75" customHeight="1">
      <c r="A176" s="114" t="s">
        <v>680</v>
      </c>
      <c r="B176" s="165" t="s">
        <v>1313</v>
      </c>
      <c r="C176" s="76" t="s">
        <v>2487</v>
      </c>
      <c r="D176" s="76" t="s">
        <v>2488</v>
      </c>
      <c r="E176" s="117" t="s">
        <v>2490</v>
      </c>
      <c r="F176" s="76"/>
      <c r="G176" s="76"/>
      <c r="H176" s="76"/>
      <c r="I176" s="118"/>
      <c r="J176" s="120"/>
      <c r="K176" s="118"/>
      <c r="L176" s="118"/>
      <c r="M176" s="118"/>
      <c r="N176" s="118"/>
      <c r="O176" s="118"/>
      <c r="P176" s="118"/>
      <c r="Q176" s="118" t="s">
        <v>184</v>
      </c>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97"/>
      <c r="AP176" s="97"/>
      <c r="AQ176" s="97"/>
      <c r="AR176" s="97"/>
      <c r="AS176" s="97"/>
      <c r="AT176" s="97"/>
      <c r="AU176" s="97"/>
      <c r="AV176" s="97"/>
      <c r="AW176" s="97"/>
      <c r="AX176" s="97"/>
    </row>
    <row r="177" ht="15.75" customHeight="1">
      <c r="A177" s="170" t="s">
        <v>238</v>
      </c>
      <c r="B177" s="171" t="s">
        <v>1321</v>
      </c>
      <c r="C177" s="76" t="s">
        <v>2502</v>
      </c>
      <c r="D177" s="76" t="s">
        <v>2503</v>
      </c>
      <c r="E177" s="117" t="s">
        <v>2504</v>
      </c>
      <c r="F177" s="76"/>
      <c r="G177" s="76"/>
      <c r="H177" s="76"/>
      <c r="I177" s="209"/>
      <c r="J177" s="209"/>
      <c r="K177" s="210" t="s">
        <v>2476</v>
      </c>
      <c r="L177" s="210"/>
      <c r="M177" s="210"/>
      <c r="N177" s="210"/>
      <c r="O177" s="239" t="s">
        <v>2505</v>
      </c>
      <c r="P177" s="209"/>
      <c r="Q177" s="209" t="s">
        <v>184</v>
      </c>
      <c r="R177" s="209"/>
      <c r="S177" s="209"/>
      <c r="T177" s="209"/>
      <c r="U177" s="209"/>
      <c r="V177" s="209"/>
      <c r="W177" s="209"/>
      <c r="X177" s="209"/>
      <c r="Y177" s="209"/>
      <c r="Z177" s="209"/>
      <c r="AA177" s="209"/>
      <c r="AB177" s="209"/>
      <c r="AC177" s="209"/>
      <c r="AD177" s="209"/>
      <c r="AE177" s="209"/>
      <c r="AF177" s="209"/>
      <c r="AG177" s="209"/>
      <c r="AH177" s="209"/>
      <c r="AI177" s="209"/>
      <c r="AJ177" s="209"/>
      <c r="AK177" s="209"/>
      <c r="AL177" s="209"/>
      <c r="AM177" s="209"/>
      <c r="AN177" s="209"/>
      <c r="AO177" s="97"/>
      <c r="AP177" s="97"/>
      <c r="AQ177" s="97"/>
      <c r="AR177" s="97"/>
      <c r="AS177" s="97"/>
      <c r="AT177" s="97"/>
      <c r="AU177" s="97"/>
      <c r="AV177" s="97"/>
      <c r="AW177" s="97"/>
      <c r="AX177" s="97"/>
    </row>
    <row r="178" ht="15.75" customHeight="1">
      <c r="A178" s="170" t="s">
        <v>238</v>
      </c>
      <c r="B178" s="171" t="s">
        <v>1328</v>
      </c>
      <c r="C178" s="76" t="s">
        <v>2509</v>
      </c>
      <c r="D178" s="76" t="s">
        <v>2511</v>
      </c>
      <c r="E178" s="117" t="s">
        <v>2512</v>
      </c>
      <c r="F178" s="76"/>
      <c r="G178" s="76"/>
      <c r="H178" s="76"/>
      <c r="I178" s="209"/>
      <c r="J178" s="209"/>
      <c r="K178" s="210" t="s">
        <v>2476</v>
      </c>
      <c r="L178" s="210"/>
      <c r="M178" s="210"/>
      <c r="N178" s="210"/>
      <c r="O178" s="209"/>
      <c r="P178" s="209"/>
      <c r="Q178" s="209" t="s">
        <v>184</v>
      </c>
      <c r="R178" s="209"/>
      <c r="S178" s="209"/>
      <c r="T178" s="209"/>
      <c r="U178" s="209"/>
      <c r="V178" s="209"/>
      <c r="W178" s="209"/>
      <c r="X178" s="209"/>
      <c r="Y178" s="209"/>
      <c r="Z178" s="209"/>
      <c r="AA178" s="209"/>
      <c r="AB178" s="209"/>
      <c r="AC178" s="209"/>
      <c r="AD178" s="209"/>
      <c r="AE178" s="209"/>
      <c r="AF178" s="209"/>
      <c r="AG178" s="209"/>
      <c r="AH178" s="209"/>
      <c r="AI178" s="209"/>
      <c r="AJ178" s="209"/>
      <c r="AK178" s="209"/>
      <c r="AL178" s="209"/>
      <c r="AM178" s="209"/>
      <c r="AN178" s="209"/>
      <c r="AO178" s="97"/>
      <c r="AP178" s="97"/>
      <c r="AQ178" s="97"/>
      <c r="AR178" s="97"/>
      <c r="AS178" s="97"/>
      <c r="AT178" s="97"/>
      <c r="AU178" s="97"/>
      <c r="AV178" s="97"/>
      <c r="AW178" s="97"/>
      <c r="AX178" s="97"/>
    </row>
    <row r="179" ht="15.75" customHeight="1">
      <c r="A179" s="114" t="s">
        <v>680</v>
      </c>
      <c r="B179" s="165" t="s">
        <v>1351</v>
      </c>
      <c r="C179" s="76" t="s">
        <v>2520</v>
      </c>
      <c r="D179" s="76" t="s">
        <v>2521</v>
      </c>
      <c r="E179" s="117" t="s">
        <v>2522</v>
      </c>
      <c r="F179" s="76"/>
      <c r="G179" s="76"/>
      <c r="H179" s="76"/>
      <c r="I179" s="118"/>
      <c r="J179" s="120"/>
      <c r="K179" s="118"/>
      <c r="L179" s="118"/>
      <c r="M179" s="118"/>
      <c r="N179" s="118"/>
      <c r="O179" s="118"/>
      <c r="P179" s="118"/>
      <c r="Q179" s="118" t="s">
        <v>184</v>
      </c>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97"/>
      <c r="AP179" s="97"/>
      <c r="AQ179" s="97"/>
      <c r="AR179" s="97"/>
      <c r="AS179" s="97"/>
      <c r="AT179" s="97"/>
      <c r="AU179" s="97"/>
      <c r="AV179" s="97"/>
      <c r="AW179" s="97"/>
      <c r="AX179" s="97"/>
    </row>
    <row r="180" ht="15.75" customHeight="1">
      <c r="A180" s="170" t="s">
        <v>238</v>
      </c>
      <c r="B180" s="171" t="s">
        <v>1369</v>
      </c>
      <c r="C180" s="76" t="s">
        <v>822</v>
      </c>
      <c r="D180" s="76" t="s">
        <v>823</v>
      </c>
      <c r="E180" s="117" t="s">
        <v>2530</v>
      </c>
      <c r="F180" s="76"/>
      <c r="G180" s="76"/>
      <c r="H180" s="76"/>
      <c r="I180" s="209"/>
      <c r="J180" s="209"/>
      <c r="K180" s="210" t="s">
        <v>2476</v>
      </c>
      <c r="L180" s="210"/>
      <c r="M180" s="210"/>
      <c r="N180" s="210"/>
      <c r="O180" s="239" t="s">
        <v>2532</v>
      </c>
      <c r="P180" s="209"/>
      <c r="Q180" s="209" t="s">
        <v>184</v>
      </c>
      <c r="R180" s="209"/>
      <c r="S180" s="209"/>
      <c r="T180" s="209"/>
      <c r="U180" s="209"/>
      <c r="V180" s="209"/>
      <c r="W180" s="209"/>
      <c r="X180" s="209"/>
      <c r="Y180" s="209"/>
      <c r="Z180" s="209"/>
      <c r="AA180" s="209"/>
      <c r="AB180" s="209"/>
      <c r="AC180" s="209"/>
      <c r="AD180" s="209"/>
      <c r="AE180" s="209"/>
      <c r="AF180" s="209"/>
      <c r="AG180" s="209"/>
      <c r="AH180" s="209"/>
      <c r="AI180" s="209"/>
      <c r="AJ180" s="209"/>
      <c r="AK180" s="209"/>
      <c r="AL180" s="209"/>
      <c r="AM180" s="209"/>
      <c r="AN180" s="209"/>
      <c r="AO180" s="97"/>
      <c r="AP180" s="97"/>
      <c r="AQ180" s="97"/>
      <c r="AR180" s="97"/>
      <c r="AS180" s="97"/>
      <c r="AT180" s="97"/>
      <c r="AU180" s="97"/>
      <c r="AV180" s="97"/>
      <c r="AW180" s="97"/>
      <c r="AX180" s="97"/>
    </row>
    <row r="181" ht="15.75" customHeight="1">
      <c r="A181" s="114" t="s">
        <v>680</v>
      </c>
      <c r="B181" s="165" t="s">
        <v>1385</v>
      </c>
      <c r="C181" s="76" t="s">
        <v>2542</v>
      </c>
      <c r="D181" s="76" t="s">
        <v>2543</v>
      </c>
      <c r="E181" s="117" t="s">
        <v>2544</v>
      </c>
      <c r="F181" s="76"/>
      <c r="G181" s="76"/>
      <c r="H181" s="76"/>
      <c r="I181" s="118"/>
      <c r="J181" s="120"/>
      <c r="K181" s="118"/>
      <c r="L181" s="118"/>
      <c r="M181" s="118"/>
      <c r="N181" s="118"/>
      <c r="O181" s="118"/>
      <c r="P181" s="118"/>
      <c r="Q181" s="118" t="s">
        <v>184</v>
      </c>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97"/>
      <c r="AP181" s="97"/>
      <c r="AQ181" s="97"/>
      <c r="AR181" s="97"/>
      <c r="AS181" s="97"/>
      <c r="AT181" s="97"/>
      <c r="AU181" s="97"/>
      <c r="AV181" s="97"/>
      <c r="AW181" s="97"/>
      <c r="AX181" s="97"/>
    </row>
    <row r="182" ht="15.75" customHeight="1">
      <c r="A182" s="170" t="s">
        <v>238</v>
      </c>
      <c r="B182" s="171" t="s">
        <v>1424</v>
      </c>
      <c r="C182" s="76" t="s">
        <v>2550</v>
      </c>
      <c r="D182" s="76" t="s">
        <v>2551</v>
      </c>
      <c r="E182" s="117" t="s">
        <v>2552</v>
      </c>
      <c r="F182" s="76"/>
      <c r="G182" s="76"/>
      <c r="H182" s="76"/>
      <c r="I182" s="209"/>
      <c r="J182" s="209"/>
      <c r="K182" s="210" t="s">
        <v>2476</v>
      </c>
      <c r="L182" s="210"/>
      <c r="M182" s="210"/>
      <c r="N182" s="210"/>
      <c r="O182" s="239" t="s">
        <v>2554</v>
      </c>
      <c r="P182" s="209"/>
      <c r="Q182" s="209" t="s">
        <v>184</v>
      </c>
      <c r="R182" s="209"/>
      <c r="S182" s="209"/>
      <c r="T182" s="209"/>
      <c r="U182" s="209"/>
      <c r="V182" s="209"/>
      <c r="W182" s="209"/>
      <c r="X182" s="209"/>
      <c r="Y182" s="209"/>
      <c r="Z182" s="209"/>
      <c r="AA182" s="209"/>
      <c r="AB182" s="209"/>
      <c r="AC182" s="209"/>
      <c r="AD182" s="209"/>
      <c r="AE182" s="209"/>
      <c r="AF182" s="209"/>
      <c r="AG182" s="209"/>
      <c r="AH182" s="209"/>
      <c r="AI182" s="209"/>
      <c r="AJ182" s="209"/>
      <c r="AK182" s="209"/>
      <c r="AL182" s="209"/>
      <c r="AM182" s="209"/>
      <c r="AN182" s="209"/>
      <c r="AO182" s="97"/>
      <c r="AP182" s="97"/>
      <c r="AQ182" s="97"/>
      <c r="AR182" s="97"/>
      <c r="AS182" s="97"/>
      <c r="AT182" s="97"/>
      <c r="AU182" s="97"/>
      <c r="AV182" s="97"/>
      <c r="AW182" s="97"/>
      <c r="AX182" s="97"/>
    </row>
    <row r="183" ht="15.75" customHeight="1">
      <c r="A183" s="170" t="s">
        <v>238</v>
      </c>
      <c r="B183" s="171" t="s">
        <v>1434</v>
      </c>
      <c r="C183" s="76" t="s">
        <v>2559</v>
      </c>
      <c r="D183" s="76" t="s">
        <v>2560</v>
      </c>
      <c r="E183" s="117" t="s">
        <v>2561</v>
      </c>
      <c r="F183" s="76"/>
      <c r="G183" s="76"/>
      <c r="H183" s="76"/>
      <c r="I183" s="209"/>
      <c r="J183" s="209"/>
      <c r="K183" s="210" t="s">
        <v>2476</v>
      </c>
      <c r="L183" s="210"/>
      <c r="M183" s="210"/>
      <c r="N183" s="210"/>
      <c r="O183" s="209"/>
      <c r="P183" s="209"/>
      <c r="Q183" s="209" t="s">
        <v>184</v>
      </c>
      <c r="R183" s="209"/>
      <c r="S183" s="209"/>
      <c r="T183" s="209"/>
      <c r="U183" s="209"/>
      <c r="V183" s="209"/>
      <c r="W183" s="209"/>
      <c r="X183" s="209"/>
      <c r="Y183" s="209"/>
      <c r="Z183" s="209"/>
      <c r="AA183" s="209"/>
      <c r="AB183" s="209"/>
      <c r="AC183" s="209"/>
      <c r="AD183" s="209"/>
      <c r="AE183" s="209"/>
      <c r="AF183" s="209"/>
      <c r="AG183" s="209"/>
      <c r="AH183" s="209"/>
      <c r="AI183" s="209"/>
      <c r="AJ183" s="209"/>
      <c r="AK183" s="209"/>
      <c r="AL183" s="209"/>
      <c r="AM183" s="209"/>
      <c r="AN183" s="209"/>
      <c r="AO183" s="97"/>
      <c r="AP183" s="97"/>
      <c r="AQ183" s="97"/>
      <c r="AR183" s="97"/>
      <c r="AS183" s="97"/>
      <c r="AT183" s="97"/>
      <c r="AU183" s="97"/>
      <c r="AV183" s="97"/>
      <c r="AW183" s="97"/>
      <c r="AX183" s="97"/>
    </row>
    <row r="184" ht="15.75" customHeight="1">
      <c r="A184" s="203"/>
      <c r="B184" s="204"/>
      <c r="C184" s="204" t="s">
        <v>50</v>
      </c>
      <c r="D184" s="204" t="s">
        <v>50</v>
      </c>
      <c r="E184" s="204" t="s">
        <v>50</v>
      </c>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7"/>
      <c r="AL184" s="97"/>
      <c r="AM184" s="97"/>
      <c r="AN184" s="97"/>
      <c r="AO184" s="97"/>
      <c r="AP184" s="97"/>
      <c r="AQ184" s="97"/>
      <c r="AR184" s="97"/>
      <c r="AS184" s="97"/>
      <c r="AT184" s="97"/>
      <c r="AU184" s="97"/>
      <c r="AV184" s="97"/>
      <c r="AW184" s="97"/>
      <c r="AX184" s="97"/>
    </row>
    <row r="185" ht="15.75" customHeight="1">
      <c r="A185" s="150" t="s">
        <v>161</v>
      </c>
      <c r="B185" s="208" t="s">
        <v>1455</v>
      </c>
      <c r="C185" s="82"/>
      <c r="D185" s="82"/>
      <c r="E185" s="82"/>
      <c r="F185" s="84"/>
      <c r="G185" s="84"/>
      <c r="H185" s="84"/>
      <c r="I185" s="84"/>
      <c r="J185" s="86"/>
      <c r="K185" s="84"/>
      <c r="L185" s="84"/>
      <c r="M185" s="84"/>
      <c r="N185" s="84"/>
      <c r="O185" s="86"/>
      <c r="P185" s="84"/>
      <c r="Q185" s="84"/>
      <c r="R185" s="84"/>
      <c r="S185" s="84"/>
      <c r="T185" s="84"/>
      <c r="U185" s="84"/>
      <c r="V185" s="84"/>
      <c r="W185" s="84"/>
      <c r="X185" s="84"/>
      <c r="Y185" s="84"/>
      <c r="Z185" s="84"/>
      <c r="AA185" s="84"/>
      <c r="AB185" s="84"/>
      <c r="AC185" s="84"/>
      <c r="AD185" s="97"/>
      <c r="AE185" s="97"/>
      <c r="AF185" s="97"/>
      <c r="AG185" s="97"/>
      <c r="AH185" s="97"/>
      <c r="AI185" s="97"/>
      <c r="AJ185" s="97"/>
      <c r="AK185" s="97"/>
      <c r="AL185" s="97"/>
      <c r="AM185" s="97"/>
      <c r="AN185" s="97"/>
      <c r="AO185" s="97"/>
      <c r="AP185" s="97"/>
      <c r="AQ185" s="97"/>
      <c r="AR185" s="97"/>
      <c r="AS185" s="97"/>
      <c r="AT185" s="97"/>
      <c r="AU185" s="97"/>
      <c r="AV185" s="97"/>
      <c r="AW185" s="97"/>
      <c r="AX185" s="97"/>
    </row>
    <row r="186" ht="15.75" customHeight="1">
      <c r="A186" s="114" t="s">
        <v>1477</v>
      </c>
      <c r="B186" s="165" t="s">
        <v>1478</v>
      </c>
      <c r="C186" s="76" t="s">
        <v>2581</v>
      </c>
      <c r="D186" s="76" t="s">
        <v>2582</v>
      </c>
      <c r="E186" s="117" t="s">
        <v>2584</v>
      </c>
      <c r="F186" s="76"/>
      <c r="G186" s="76"/>
      <c r="H186" s="76"/>
      <c r="I186" s="118"/>
      <c r="J186" s="120"/>
      <c r="K186" s="118" t="s">
        <v>2585</v>
      </c>
      <c r="L186" s="118"/>
      <c r="M186" s="118"/>
      <c r="N186" s="118"/>
      <c r="O186" s="118"/>
      <c r="P186" s="118"/>
      <c r="Q186" s="118" t="s">
        <v>184</v>
      </c>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97"/>
      <c r="AP186" s="97"/>
      <c r="AQ186" s="97"/>
      <c r="AR186" s="97"/>
      <c r="AS186" s="97"/>
      <c r="AT186" s="97"/>
      <c r="AU186" s="97"/>
      <c r="AV186" s="97"/>
      <c r="AW186" s="97"/>
      <c r="AX186" s="97"/>
    </row>
    <row r="187" ht="15.75" customHeight="1">
      <c r="A187" s="167" t="s">
        <v>807</v>
      </c>
      <c r="B187" s="168" t="s">
        <v>1495</v>
      </c>
      <c r="C187" s="168" t="s">
        <v>1497</v>
      </c>
      <c r="D187" s="168" t="s">
        <v>1499</v>
      </c>
      <c r="E187" s="168" t="s">
        <v>1500</v>
      </c>
      <c r="F187" s="205"/>
      <c r="G187" s="205"/>
      <c r="H187" s="205"/>
      <c r="I187" s="205"/>
      <c r="J187" s="205"/>
      <c r="K187" s="205"/>
      <c r="L187" s="205"/>
      <c r="M187" s="205"/>
      <c r="N187" s="205"/>
      <c r="O187" s="248" t="s">
        <v>2593</v>
      </c>
      <c r="P187" s="205"/>
      <c r="Q187" s="205"/>
      <c r="R187" s="205"/>
      <c r="S187" s="205"/>
      <c r="T187" s="205"/>
      <c r="U187" s="248" t="s">
        <v>2594</v>
      </c>
      <c r="V187" s="205"/>
      <c r="W187" s="205"/>
      <c r="X187" s="205"/>
      <c r="Y187" s="205"/>
      <c r="Z187" s="205"/>
      <c r="AA187" s="205"/>
      <c r="AB187" s="205"/>
      <c r="AC187" s="205"/>
      <c r="AD187" s="205"/>
      <c r="AE187" s="205"/>
      <c r="AF187" s="205"/>
      <c r="AG187" s="205"/>
      <c r="AH187" s="205"/>
      <c r="AI187" s="205"/>
      <c r="AJ187" s="205"/>
      <c r="AK187" s="205"/>
      <c r="AL187" s="205"/>
      <c r="AM187" s="205"/>
      <c r="AN187" s="205"/>
      <c r="AO187" s="97"/>
      <c r="AP187" s="97"/>
      <c r="AQ187" s="97"/>
      <c r="AR187" s="97"/>
      <c r="AS187" s="97"/>
      <c r="AT187" s="97"/>
      <c r="AU187" s="97"/>
      <c r="AV187" s="97"/>
      <c r="AW187" s="97"/>
      <c r="AX187" s="97"/>
    </row>
    <row r="188" ht="15.75" customHeight="1">
      <c r="A188" s="131" t="s">
        <v>115</v>
      </c>
      <c r="B188" s="132" t="s">
        <v>1507</v>
      </c>
      <c r="C188" s="133" t="s">
        <v>1508</v>
      </c>
      <c r="D188" s="133" t="s">
        <v>1510</v>
      </c>
      <c r="E188" s="133" t="s">
        <v>1511</v>
      </c>
      <c r="F188" s="134"/>
      <c r="G188" s="134"/>
      <c r="H188" s="134"/>
      <c r="I188" s="134"/>
      <c r="J188" s="134"/>
      <c r="K188" s="134"/>
      <c r="L188" s="134"/>
      <c r="M188" s="134"/>
      <c r="N188" s="134"/>
      <c r="O188" s="134"/>
      <c r="P188" s="134"/>
      <c r="Q188" s="134"/>
      <c r="R188" s="134"/>
      <c r="S188" s="134"/>
      <c r="T188" s="151" t="s">
        <v>2597</v>
      </c>
      <c r="U188" s="134"/>
      <c r="V188" s="134"/>
      <c r="W188" s="134"/>
      <c r="X188" s="134"/>
      <c r="Y188" s="134"/>
      <c r="Z188" s="134"/>
      <c r="AA188" s="134"/>
      <c r="AB188" s="134"/>
      <c r="AC188" s="134"/>
      <c r="AD188" s="134"/>
      <c r="AE188" s="134"/>
      <c r="AF188" s="134"/>
      <c r="AG188" s="134"/>
      <c r="AH188" s="134"/>
      <c r="AI188" s="134"/>
      <c r="AJ188" s="134"/>
      <c r="AK188" s="134"/>
      <c r="AL188" s="134"/>
      <c r="AM188" s="134"/>
      <c r="AN188" s="134"/>
      <c r="AO188" s="97"/>
      <c r="AP188" s="97"/>
      <c r="AQ188" s="97"/>
      <c r="AR188" s="97"/>
      <c r="AS188" s="97"/>
      <c r="AT188" s="97"/>
      <c r="AU188" s="97"/>
      <c r="AV188" s="97"/>
      <c r="AW188" s="97"/>
      <c r="AX188" s="97"/>
    </row>
    <row r="189" ht="15.75" customHeight="1">
      <c r="A189" s="170" t="s">
        <v>238</v>
      </c>
      <c r="B189" s="171" t="s">
        <v>1518</v>
      </c>
      <c r="C189" s="76" t="s">
        <v>2602</v>
      </c>
      <c r="D189" s="76" t="s">
        <v>2603</v>
      </c>
      <c r="E189" s="117" t="s">
        <v>2605</v>
      </c>
      <c r="F189" s="76"/>
      <c r="G189" s="76"/>
      <c r="H189" s="76"/>
      <c r="I189" s="209"/>
      <c r="J189" s="209"/>
      <c r="K189" s="210" t="s">
        <v>2607</v>
      </c>
      <c r="L189" s="210"/>
      <c r="M189" s="210"/>
      <c r="N189" s="210"/>
      <c r="O189" s="209"/>
      <c r="P189" s="209"/>
      <c r="Q189" s="209" t="s">
        <v>184</v>
      </c>
      <c r="R189" s="209"/>
      <c r="S189" s="209"/>
      <c r="T189" s="209"/>
      <c r="U189" s="209"/>
      <c r="V189" s="209"/>
      <c r="W189" s="209"/>
      <c r="X189" s="209"/>
      <c r="Y189" s="209"/>
      <c r="Z189" s="209"/>
      <c r="AA189" s="209"/>
      <c r="AB189" s="209"/>
      <c r="AC189" s="209"/>
      <c r="AD189" s="209"/>
      <c r="AE189" s="209"/>
      <c r="AF189" s="209"/>
      <c r="AG189" s="209"/>
      <c r="AH189" s="209"/>
      <c r="AI189" s="209"/>
      <c r="AJ189" s="209"/>
      <c r="AK189" s="209"/>
      <c r="AL189" s="209"/>
      <c r="AM189" s="209"/>
      <c r="AN189" s="209"/>
      <c r="AO189" s="97"/>
      <c r="AP189" s="97"/>
      <c r="AQ189" s="97"/>
      <c r="AR189" s="97"/>
      <c r="AS189" s="97"/>
      <c r="AT189" s="97"/>
      <c r="AU189" s="97"/>
      <c r="AV189" s="97"/>
      <c r="AW189" s="97"/>
      <c r="AX189" s="97"/>
    </row>
    <row r="190" ht="15.75" customHeight="1">
      <c r="A190" s="167" t="s">
        <v>842</v>
      </c>
      <c r="B190" s="169" t="s">
        <v>1495</v>
      </c>
      <c r="C190" s="169" t="s">
        <v>1497</v>
      </c>
      <c r="D190" s="169" t="s">
        <v>1499</v>
      </c>
      <c r="E190" s="169" t="s">
        <v>1500</v>
      </c>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97"/>
      <c r="AP190" s="97"/>
      <c r="AQ190" s="97"/>
      <c r="AR190" s="97"/>
      <c r="AS190" s="97"/>
      <c r="AT190" s="97"/>
      <c r="AU190" s="97"/>
      <c r="AV190" s="97"/>
      <c r="AW190" s="97"/>
      <c r="AX190" s="97"/>
    </row>
    <row r="191" ht="15.75" customHeight="1">
      <c r="A191" s="114" t="s">
        <v>1552</v>
      </c>
      <c r="B191" s="165" t="s">
        <v>1553</v>
      </c>
      <c r="C191" s="76" t="s">
        <v>2618</v>
      </c>
      <c r="D191" s="76" t="s">
        <v>2619</v>
      </c>
      <c r="E191" s="117" t="s">
        <v>2620</v>
      </c>
      <c r="F191" s="76"/>
      <c r="G191" s="76"/>
      <c r="H191" s="76"/>
      <c r="I191" s="118"/>
      <c r="J191" s="120"/>
      <c r="K191" s="118" t="s">
        <v>2585</v>
      </c>
      <c r="L191" s="118"/>
      <c r="M191" s="118"/>
      <c r="N191" s="118"/>
      <c r="O191" s="118"/>
      <c r="P191" s="118"/>
      <c r="Q191" s="118" t="s">
        <v>184</v>
      </c>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97"/>
      <c r="AP191" s="97"/>
      <c r="AQ191" s="97"/>
      <c r="AR191" s="97"/>
      <c r="AS191" s="97"/>
      <c r="AT191" s="97"/>
      <c r="AU191" s="97"/>
      <c r="AV191" s="97"/>
      <c r="AW191" s="97"/>
      <c r="AX191" s="97"/>
    </row>
    <row r="192" ht="15.75" customHeight="1">
      <c r="A192" s="167" t="s">
        <v>807</v>
      </c>
      <c r="B192" s="168" t="s">
        <v>1566</v>
      </c>
      <c r="C192" s="168" t="s">
        <v>1568</v>
      </c>
      <c r="D192" s="168" t="s">
        <v>1569</v>
      </c>
      <c r="E192" s="168" t="s">
        <v>1571</v>
      </c>
      <c r="F192" s="205"/>
      <c r="G192" s="205"/>
      <c r="H192" s="205"/>
      <c r="I192" s="205"/>
      <c r="J192" s="205"/>
      <c r="K192" s="205"/>
      <c r="L192" s="205"/>
      <c r="M192" s="205"/>
      <c r="N192" s="205"/>
      <c r="O192" s="248" t="s">
        <v>2627</v>
      </c>
      <c r="P192" s="205"/>
      <c r="Q192" s="205"/>
      <c r="R192" s="205"/>
      <c r="S192" s="205"/>
      <c r="T192" s="205"/>
      <c r="U192" s="248" t="s">
        <v>2630</v>
      </c>
      <c r="V192" s="205"/>
      <c r="W192" s="205"/>
      <c r="X192" s="205"/>
      <c r="Y192" s="205"/>
      <c r="Z192" s="205"/>
      <c r="AA192" s="205"/>
      <c r="AB192" s="205"/>
      <c r="AC192" s="205"/>
      <c r="AD192" s="205"/>
      <c r="AE192" s="205"/>
      <c r="AF192" s="205"/>
      <c r="AG192" s="205"/>
      <c r="AH192" s="205"/>
      <c r="AI192" s="205"/>
      <c r="AJ192" s="205"/>
      <c r="AK192" s="205"/>
      <c r="AL192" s="205"/>
      <c r="AM192" s="205"/>
      <c r="AN192" s="205"/>
      <c r="AO192" s="97"/>
      <c r="AP192" s="97"/>
      <c r="AQ192" s="97"/>
      <c r="AR192" s="97"/>
      <c r="AS192" s="97"/>
      <c r="AT192" s="97"/>
      <c r="AU192" s="97"/>
      <c r="AV192" s="97"/>
      <c r="AW192" s="97"/>
      <c r="AX192" s="97"/>
    </row>
    <row r="193" ht="15.75" customHeight="1">
      <c r="A193" s="131" t="s">
        <v>115</v>
      </c>
      <c r="B193" s="132" t="s">
        <v>1578</v>
      </c>
      <c r="C193" s="133" t="s">
        <v>1579</v>
      </c>
      <c r="D193" s="133" t="s">
        <v>1580</v>
      </c>
      <c r="E193" s="133" t="s">
        <v>1581</v>
      </c>
      <c r="F193" s="134"/>
      <c r="G193" s="134"/>
      <c r="H193" s="134"/>
      <c r="I193" s="134"/>
      <c r="J193" s="134"/>
      <c r="K193" s="134"/>
      <c r="L193" s="134"/>
      <c r="M193" s="134"/>
      <c r="N193" s="134"/>
      <c r="O193" s="134"/>
      <c r="P193" s="134"/>
      <c r="Q193" s="134"/>
      <c r="R193" s="134"/>
      <c r="S193" s="134"/>
      <c r="T193" s="151" t="s">
        <v>2635</v>
      </c>
      <c r="U193" s="134"/>
      <c r="V193" s="134"/>
      <c r="W193" s="134"/>
      <c r="X193" s="134"/>
      <c r="Y193" s="134"/>
      <c r="Z193" s="134"/>
      <c r="AA193" s="134"/>
      <c r="AB193" s="134"/>
      <c r="AC193" s="134"/>
      <c r="AD193" s="134"/>
      <c r="AE193" s="134"/>
      <c r="AF193" s="134"/>
      <c r="AG193" s="134"/>
      <c r="AH193" s="134"/>
      <c r="AI193" s="134"/>
      <c r="AJ193" s="134"/>
      <c r="AK193" s="134"/>
      <c r="AL193" s="134"/>
      <c r="AM193" s="134"/>
      <c r="AN193" s="134"/>
      <c r="AO193" s="97"/>
      <c r="AP193" s="97"/>
      <c r="AQ193" s="97"/>
      <c r="AR193" s="97"/>
      <c r="AS193" s="97"/>
      <c r="AT193" s="97"/>
      <c r="AU193" s="97"/>
      <c r="AV193" s="97"/>
      <c r="AW193" s="97"/>
      <c r="AX193" s="97"/>
    </row>
    <row r="194" ht="15.75" customHeight="1">
      <c r="A194" s="170" t="s">
        <v>238</v>
      </c>
      <c r="B194" s="171" t="s">
        <v>1590</v>
      </c>
      <c r="C194" s="76" t="s">
        <v>2644</v>
      </c>
      <c r="D194" s="76" t="s">
        <v>2646</v>
      </c>
      <c r="E194" s="117" t="s">
        <v>2648</v>
      </c>
      <c r="F194" s="76"/>
      <c r="G194" s="76"/>
      <c r="H194" s="76"/>
      <c r="I194" s="209"/>
      <c r="J194" s="209"/>
      <c r="K194" s="210" t="s">
        <v>2607</v>
      </c>
      <c r="L194" s="210"/>
      <c r="M194" s="210"/>
      <c r="N194" s="210"/>
      <c r="O194" s="209"/>
      <c r="P194" s="209"/>
      <c r="Q194" s="209" t="s">
        <v>184</v>
      </c>
      <c r="R194" s="209"/>
      <c r="S194" s="209"/>
      <c r="T194" s="209"/>
      <c r="U194" s="209"/>
      <c r="V194" s="209"/>
      <c r="W194" s="209"/>
      <c r="X194" s="209"/>
      <c r="Y194" s="209"/>
      <c r="Z194" s="209"/>
      <c r="AA194" s="209"/>
      <c r="AB194" s="209"/>
      <c r="AC194" s="209"/>
      <c r="AD194" s="209"/>
      <c r="AE194" s="209"/>
      <c r="AF194" s="209"/>
      <c r="AG194" s="209"/>
      <c r="AH194" s="209"/>
      <c r="AI194" s="209"/>
      <c r="AJ194" s="209"/>
      <c r="AK194" s="209"/>
      <c r="AL194" s="209"/>
      <c r="AM194" s="209"/>
      <c r="AN194" s="209"/>
      <c r="AO194" s="97"/>
      <c r="AP194" s="97"/>
      <c r="AQ194" s="97"/>
      <c r="AR194" s="97"/>
      <c r="AS194" s="97"/>
      <c r="AT194" s="97"/>
      <c r="AU194" s="97"/>
      <c r="AV194" s="97"/>
      <c r="AW194" s="97"/>
      <c r="AX194" s="97"/>
    </row>
    <row r="195" ht="15.75" customHeight="1">
      <c r="A195" s="167" t="s">
        <v>842</v>
      </c>
      <c r="B195" s="169" t="s">
        <v>1566</v>
      </c>
      <c r="C195" s="169" t="s">
        <v>1568</v>
      </c>
      <c r="D195" s="169" t="s">
        <v>1569</v>
      </c>
      <c r="E195" s="169" t="s">
        <v>1571</v>
      </c>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c r="AE195" s="205"/>
      <c r="AF195" s="205"/>
      <c r="AG195" s="205"/>
      <c r="AH195" s="205"/>
      <c r="AI195" s="205"/>
      <c r="AJ195" s="205"/>
      <c r="AK195" s="205"/>
      <c r="AL195" s="205"/>
      <c r="AM195" s="205"/>
      <c r="AN195" s="205"/>
      <c r="AO195" s="97"/>
      <c r="AP195" s="97"/>
      <c r="AQ195" s="97"/>
      <c r="AR195" s="97"/>
      <c r="AS195" s="97"/>
      <c r="AT195" s="97"/>
      <c r="AU195" s="97"/>
      <c r="AV195" s="97"/>
      <c r="AW195" s="97"/>
      <c r="AX195" s="97"/>
    </row>
    <row r="196" ht="15.75" customHeight="1">
      <c r="A196" s="150" t="s">
        <v>161</v>
      </c>
      <c r="B196" s="81" t="s">
        <v>1598</v>
      </c>
      <c r="C196" s="82"/>
      <c r="D196" s="83"/>
      <c r="E196" s="83"/>
      <c r="F196" s="84"/>
      <c r="G196" s="84"/>
      <c r="H196" s="84"/>
      <c r="I196" s="84"/>
      <c r="J196" s="86" t="s">
        <v>1811</v>
      </c>
      <c r="K196" s="84"/>
      <c r="L196" s="84"/>
      <c r="M196" s="86"/>
      <c r="N196" s="86"/>
      <c r="O196" s="86"/>
      <c r="P196" s="84"/>
      <c r="Q196" s="84"/>
      <c r="R196" s="84"/>
      <c r="S196" s="84"/>
      <c r="T196" s="84"/>
      <c r="U196" s="84"/>
      <c r="V196" s="84"/>
      <c r="W196" s="84"/>
      <c r="X196" s="84"/>
      <c r="Y196" s="84"/>
      <c r="Z196" s="84"/>
      <c r="AA196" s="84"/>
      <c r="AB196" s="84"/>
      <c r="AC196" s="84"/>
      <c r="AD196" s="97"/>
      <c r="AE196" s="97"/>
      <c r="AF196" s="97"/>
      <c r="AG196" s="97"/>
      <c r="AH196" s="97"/>
      <c r="AI196" s="97"/>
      <c r="AJ196" s="97"/>
      <c r="AK196" s="97"/>
      <c r="AL196" s="97"/>
      <c r="AM196" s="97"/>
      <c r="AN196" s="97"/>
      <c r="AO196" s="97"/>
      <c r="AP196" s="97"/>
      <c r="AQ196" s="97"/>
      <c r="AR196" s="97"/>
      <c r="AS196" s="97"/>
      <c r="AT196" s="97"/>
      <c r="AU196" s="97"/>
      <c r="AV196" s="97"/>
      <c r="AW196" s="97"/>
      <c r="AX196" s="97"/>
    </row>
    <row r="197" ht="15.75" customHeight="1">
      <c r="A197" s="114" t="s">
        <v>680</v>
      </c>
      <c r="B197" s="157" t="s">
        <v>1602</v>
      </c>
      <c r="C197" s="76" t="s">
        <v>2663</v>
      </c>
      <c r="D197" s="76" t="s">
        <v>2664</v>
      </c>
      <c r="E197" s="117" t="s">
        <v>2666</v>
      </c>
      <c r="F197" s="76"/>
      <c r="G197" s="76"/>
      <c r="H197" s="76"/>
      <c r="I197" s="118"/>
      <c r="J197" s="120" t="s">
        <v>6</v>
      </c>
      <c r="K197" s="118"/>
      <c r="L197" s="118"/>
      <c r="M197" s="118"/>
      <c r="N197" s="118"/>
      <c r="O197" s="118"/>
      <c r="P197" s="118"/>
      <c r="Q197" s="118"/>
      <c r="R197" s="118"/>
      <c r="S197" s="118"/>
      <c r="T197" s="118"/>
      <c r="U197" s="118"/>
      <c r="V197" s="118"/>
      <c r="W197" s="118"/>
      <c r="X197" s="118"/>
      <c r="Y197" s="118"/>
      <c r="Z197" s="118"/>
      <c r="AA197" s="118"/>
      <c r="AB197" s="118"/>
      <c r="AC197" s="118"/>
      <c r="AD197" s="97"/>
      <c r="AE197" s="97"/>
      <c r="AF197" s="97"/>
      <c r="AG197" s="97"/>
      <c r="AH197" s="97"/>
      <c r="AI197" s="97"/>
      <c r="AJ197" s="97"/>
      <c r="AK197" s="97"/>
      <c r="AL197" s="97"/>
      <c r="AM197" s="97"/>
      <c r="AN197" s="97"/>
      <c r="AO197" s="97"/>
      <c r="AP197" s="97"/>
      <c r="AQ197" s="97"/>
      <c r="AR197" s="97"/>
      <c r="AS197" s="97"/>
      <c r="AT197" s="97"/>
      <c r="AU197" s="97"/>
      <c r="AV197" s="97"/>
      <c r="AW197" s="97"/>
      <c r="AX197" s="97"/>
    </row>
    <row r="198" ht="15.75" customHeight="1">
      <c r="A198" s="114" t="s">
        <v>680</v>
      </c>
      <c r="B198" s="157" t="s">
        <v>1612</v>
      </c>
      <c r="C198" s="76" t="s">
        <v>2676</v>
      </c>
      <c r="D198" s="76" t="s">
        <v>2678</v>
      </c>
      <c r="E198" s="117" t="s">
        <v>2680</v>
      </c>
      <c r="F198" s="76"/>
      <c r="G198" s="76"/>
      <c r="H198" s="76"/>
      <c r="I198" s="118"/>
      <c r="J198" s="120" t="s">
        <v>1837</v>
      </c>
      <c r="K198" s="118"/>
      <c r="L198" s="118"/>
      <c r="M198" s="118"/>
      <c r="N198" s="118"/>
      <c r="O198" s="118"/>
      <c r="P198" s="118"/>
      <c r="Q198" s="118" t="s">
        <v>184</v>
      </c>
      <c r="R198" s="118"/>
      <c r="S198" s="118"/>
      <c r="T198" s="118"/>
      <c r="U198" s="118"/>
      <c r="V198" s="118"/>
      <c r="W198" s="118"/>
      <c r="X198" s="118"/>
      <c r="Y198" s="118"/>
      <c r="Z198" s="118"/>
      <c r="AA198" s="118"/>
      <c r="AB198" s="118"/>
      <c r="AC198" s="118"/>
      <c r="AD198" s="97"/>
      <c r="AE198" s="97"/>
      <c r="AF198" s="97"/>
      <c r="AG198" s="97"/>
      <c r="AH198" s="97"/>
      <c r="AI198" s="97"/>
      <c r="AJ198" s="97"/>
      <c r="AK198" s="97"/>
      <c r="AL198" s="97"/>
      <c r="AM198" s="97"/>
      <c r="AN198" s="97"/>
      <c r="AO198" s="97"/>
      <c r="AP198" s="97"/>
      <c r="AQ198" s="97"/>
      <c r="AR198" s="97"/>
      <c r="AS198" s="97"/>
      <c r="AT198" s="97"/>
      <c r="AU198" s="97"/>
      <c r="AV198" s="97"/>
      <c r="AW198" s="97"/>
      <c r="AX198" s="97"/>
    </row>
    <row r="199" ht="15.75" customHeight="1">
      <c r="A199" s="114" t="s">
        <v>680</v>
      </c>
      <c r="B199" s="157" t="s">
        <v>1620</v>
      </c>
      <c r="C199" s="76" t="s">
        <v>2691</v>
      </c>
      <c r="D199" s="76" t="s">
        <v>2693</v>
      </c>
      <c r="E199" s="117" t="s">
        <v>2694</v>
      </c>
      <c r="F199" s="76"/>
      <c r="G199" s="76"/>
      <c r="H199" s="76"/>
      <c r="I199" s="118"/>
      <c r="J199" s="120" t="s">
        <v>1837</v>
      </c>
      <c r="K199" s="118"/>
      <c r="L199" s="118"/>
      <c r="M199" s="118"/>
      <c r="N199" s="118"/>
      <c r="O199" s="118"/>
      <c r="P199" s="118"/>
      <c r="Q199" s="118" t="s">
        <v>184</v>
      </c>
      <c r="R199" s="118"/>
      <c r="S199" s="118"/>
      <c r="T199" s="118"/>
      <c r="U199" s="118"/>
      <c r="V199" s="118"/>
      <c r="W199" s="118"/>
      <c r="X199" s="118"/>
      <c r="Y199" s="118"/>
      <c r="Z199" s="118"/>
      <c r="AA199" s="118"/>
      <c r="AB199" s="118"/>
      <c r="AC199" s="118"/>
      <c r="AD199" s="97"/>
      <c r="AE199" s="97"/>
      <c r="AF199" s="97"/>
      <c r="AG199" s="97"/>
      <c r="AH199" s="97"/>
      <c r="AI199" s="97"/>
      <c r="AJ199" s="97"/>
      <c r="AK199" s="97"/>
      <c r="AL199" s="97"/>
      <c r="AM199" s="97"/>
      <c r="AN199" s="97"/>
      <c r="AO199" s="97"/>
      <c r="AP199" s="97"/>
      <c r="AQ199" s="97"/>
      <c r="AR199" s="97"/>
      <c r="AS199" s="97"/>
      <c r="AT199" s="97"/>
      <c r="AU199" s="97"/>
      <c r="AV199" s="97"/>
      <c r="AW199" s="97"/>
      <c r="AX199" s="97"/>
    </row>
    <row r="200" ht="15.75" customHeight="1">
      <c r="A200" s="114" t="s">
        <v>680</v>
      </c>
      <c r="B200" s="157" t="s">
        <v>1621</v>
      </c>
      <c r="C200" s="76" t="s">
        <v>2696</v>
      </c>
      <c r="D200" s="76" t="s">
        <v>2697</v>
      </c>
      <c r="E200" s="117" t="s">
        <v>2698</v>
      </c>
      <c r="F200" s="76"/>
      <c r="G200" s="76"/>
      <c r="H200" s="76"/>
      <c r="I200" s="118"/>
      <c r="J200" s="120" t="s">
        <v>1837</v>
      </c>
      <c r="K200" s="118"/>
      <c r="L200" s="118"/>
      <c r="M200" s="118"/>
      <c r="N200" s="118"/>
      <c r="O200" s="118"/>
      <c r="P200" s="118"/>
      <c r="Q200" s="118" t="s">
        <v>184</v>
      </c>
      <c r="R200" s="118"/>
      <c r="S200" s="118"/>
      <c r="T200" s="118"/>
      <c r="U200" s="118"/>
      <c r="V200" s="118"/>
      <c r="W200" s="118"/>
      <c r="X200" s="118"/>
      <c r="Y200" s="118"/>
      <c r="Z200" s="118"/>
      <c r="AA200" s="118"/>
      <c r="AB200" s="118"/>
      <c r="AC200" s="118"/>
      <c r="AD200" s="97"/>
      <c r="AE200" s="97"/>
      <c r="AF200" s="97"/>
      <c r="AG200" s="97"/>
      <c r="AH200" s="97"/>
      <c r="AI200" s="97"/>
      <c r="AJ200" s="97"/>
      <c r="AK200" s="97"/>
      <c r="AL200" s="97"/>
      <c r="AM200" s="97"/>
      <c r="AN200" s="97"/>
      <c r="AO200" s="97"/>
      <c r="AP200" s="97"/>
      <c r="AQ200" s="97"/>
      <c r="AR200" s="97"/>
      <c r="AS200" s="97"/>
      <c r="AT200" s="97"/>
      <c r="AU200" s="97"/>
      <c r="AV200" s="97"/>
      <c r="AW200" s="97"/>
      <c r="AX200" s="97"/>
    </row>
    <row r="201" ht="15.75" customHeight="1">
      <c r="A201" s="114" t="s">
        <v>680</v>
      </c>
      <c r="B201" s="157" t="s">
        <v>1632</v>
      </c>
      <c r="C201" s="76" t="s">
        <v>2702</v>
      </c>
      <c r="D201" s="76" t="s">
        <v>2703</v>
      </c>
      <c r="E201" s="117" t="s">
        <v>2704</v>
      </c>
      <c r="F201" s="76"/>
      <c r="G201" s="76"/>
      <c r="H201" s="76"/>
      <c r="I201" s="118"/>
      <c r="J201" s="120" t="s">
        <v>1837</v>
      </c>
      <c r="K201" s="118"/>
      <c r="L201" s="118"/>
      <c r="M201" s="118"/>
      <c r="N201" s="118"/>
      <c r="O201" s="118"/>
      <c r="P201" s="118"/>
      <c r="Q201" s="118" t="s">
        <v>184</v>
      </c>
      <c r="R201" s="118"/>
      <c r="S201" s="118"/>
      <c r="T201" s="118"/>
      <c r="U201" s="118"/>
      <c r="V201" s="118"/>
      <c r="W201" s="118"/>
      <c r="X201" s="118"/>
      <c r="Y201" s="118"/>
      <c r="Z201" s="118"/>
      <c r="AA201" s="118"/>
      <c r="AB201" s="118"/>
      <c r="AC201" s="118"/>
      <c r="AD201" s="97"/>
      <c r="AE201" s="97"/>
      <c r="AF201" s="97"/>
      <c r="AG201" s="97"/>
      <c r="AH201" s="97"/>
      <c r="AI201" s="97"/>
      <c r="AJ201" s="97"/>
      <c r="AK201" s="97"/>
      <c r="AL201" s="97"/>
      <c r="AM201" s="97"/>
      <c r="AN201" s="97"/>
      <c r="AO201" s="97"/>
      <c r="AP201" s="97"/>
      <c r="AQ201" s="97"/>
      <c r="AR201" s="97"/>
      <c r="AS201" s="97"/>
      <c r="AT201" s="97"/>
      <c r="AU201" s="97"/>
      <c r="AV201" s="97"/>
      <c r="AW201" s="97"/>
      <c r="AX201" s="97"/>
    </row>
    <row r="202" ht="15.75" customHeight="1">
      <c r="A202" s="150" t="s">
        <v>343</v>
      </c>
      <c r="B202" s="81" t="s">
        <v>1598</v>
      </c>
      <c r="C202" s="83"/>
      <c r="D202" s="83"/>
      <c r="E202" s="83"/>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97"/>
      <c r="AE202" s="97"/>
      <c r="AF202" s="97"/>
      <c r="AG202" s="97"/>
      <c r="AH202" s="97"/>
      <c r="AI202" s="97"/>
      <c r="AJ202" s="97"/>
      <c r="AK202" s="97"/>
      <c r="AL202" s="97"/>
      <c r="AM202" s="97"/>
      <c r="AN202" s="97"/>
      <c r="AO202" s="97"/>
      <c r="AP202" s="97"/>
      <c r="AQ202" s="97"/>
      <c r="AR202" s="97"/>
      <c r="AS202" s="97"/>
      <c r="AT202" s="97"/>
      <c r="AU202" s="97"/>
      <c r="AV202" s="97"/>
      <c r="AW202" s="97"/>
      <c r="AX202" s="97"/>
    </row>
    <row r="203" ht="15.75" customHeight="1">
      <c r="A203" s="150" t="s">
        <v>343</v>
      </c>
      <c r="B203" s="208" t="s">
        <v>1455</v>
      </c>
      <c r="C203" s="83"/>
      <c r="D203" s="83"/>
      <c r="E203" s="83"/>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97"/>
      <c r="AE203" s="97"/>
      <c r="AF203" s="97"/>
      <c r="AG203" s="97"/>
      <c r="AH203" s="97"/>
      <c r="AI203" s="97"/>
      <c r="AJ203" s="97"/>
      <c r="AK203" s="97"/>
      <c r="AL203" s="97"/>
      <c r="AM203" s="97"/>
      <c r="AN203" s="97"/>
      <c r="AO203" s="97"/>
      <c r="AP203" s="97"/>
      <c r="AQ203" s="97"/>
      <c r="AR203" s="97"/>
      <c r="AS203" s="97"/>
      <c r="AT203" s="97"/>
      <c r="AU203" s="97"/>
      <c r="AV203" s="97"/>
      <c r="AW203" s="97"/>
      <c r="AX203" s="97"/>
    </row>
    <row r="204" ht="15.75" customHeight="1">
      <c r="A204" s="187"/>
      <c r="B204" s="188"/>
      <c r="C204" s="188"/>
      <c r="D204" s="188"/>
      <c r="E204" s="188"/>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c r="AP204" s="226"/>
      <c r="AQ204" s="226"/>
      <c r="AR204" s="226"/>
      <c r="AS204" s="226"/>
      <c r="AT204" s="226"/>
      <c r="AU204" s="226"/>
      <c r="AV204" s="226"/>
      <c r="AW204" s="226"/>
      <c r="AX204" s="226"/>
    </row>
    <row r="205" ht="15.75" customHeight="1">
      <c r="A205" s="114" t="s">
        <v>1777</v>
      </c>
      <c r="B205" s="165" t="s">
        <v>1779</v>
      </c>
      <c r="C205" s="76" t="s">
        <v>2722</v>
      </c>
      <c r="D205" s="76" t="s">
        <v>2723</v>
      </c>
      <c r="E205" s="117" t="s">
        <v>2726</v>
      </c>
      <c r="F205" s="76" t="s">
        <v>2728</v>
      </c>
      <c r="G205" s="76" t="s">
        <v>2729</v>
      </c>
      <c r="H205" s="76" t="s">
        <v>2730</v>
      </c>
      <c r="I205" s="118"/>
      <c r="J205" s="120"/>
      <c r="K205" s="118" t="s">
        <v>2731</v>
      </c>
      <c r="L205" s="118"/>
      <c r="M205" s="118"/>
      <c r="N205" s="118"/>
      <c r="O205" s="118"/>
      <c r="P205" s="118"/>
      <c r="Q205" s="118" t="s">
        <v>184</v>
      </c>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97"/>
      <c r="AP205" s="97"/>
      <c r="AQ205" s="97"/>
      <c r="AR205" s="97"/>
      <c r="AS205" s="97"/>
      <c r="AT205" s="97"/>
      <c r="AU205" s="97"/>
      <c r="AV205" s="97"/>
      <c r="AW205" s="97"/>
      <c r="AX205" s="97"/>
    </row>
    <row r="206" ht="15.75" customHeight="1">
      <c r="A206" s="162" t="s">
        <v>217</v>
      </c>
      <c r="B206" s="166" t="s">
        <v>1825</v>
      </c>
      <c r="C206" s="76" t="s">
        <v>2738</v>
      </c>
      <c r="D206" s="76" t="s">
        <v>2739</v>
      </c>
      <c r="E206" s="117" t="s">
        <v>2741</v>
      </c>
      <c r="F206" s="76"/>
      <c r="G206" s="76"/>
      <c r="H206" s="76"/>
      <c r="I206" s="182"/>
      <c r="J206" s="183"/>
      <c r="K206" s="182"/>
      <c r="L206" s="182"/>
      <c r="M206" s="182"/>
      <c r="N206" s="182"/>
      <c r="O206" s="184" t="s">
        <v>2744</v>
      </c>
      <c r="P206" s="182"/>
      <c r="Q206" s="182" t="s">
        <v>184</v>
      </c>
      <c r="R206" s="182"/>
      <c r="S206" s="182"/>
      <c r="T206" s="182"/>
      <c r="U206" s="182"/>
      <c r="V206" s="182"/>
      <c r="W206" s="182"/>
      <c r="X206" s="182"/>
      <c r="Y206" s="182"/>
      <c r="Z206" s="182"/>
      <c r="AA206" s="182"/>
      <c r="AB206" s="182"/>
      <c r="AC206" s="182"/>
      <c r="AD206" s="182"/>
      <c r="AE206" s="182"/>
      <c r="AF206" s="182"/>
      <c r="AG206" s="182"/>
      <c r="AH206" s="182"/>
      <c r="AI206" s="182"/>
      <c r="AJ206" s="182"/>
      <c r="AK206" s="182"/>
      <c r="AL206" s="182"/>
      <c r="AM206" s="182"/>
      <c r="AN206" s="182"/>
      <c r="AO206" s="97"/>
      <c r="AP206" s="97"/>
      <c r="AQ206" s="97"/>
      <c r="AR206" s="97"/>
      <c r="AS206" s="97"/>
      <c r="AT206" s="97"/>
      <c r="AU206" s="97"/>
      <c r="AV206" s="97"/>
      <c r="AW206" s="97"/>
      <c r="AX206" s="97"/>
    </row>
    <row r="207" ht="15.75" customHeight="1">
      <c r="A207" s="167" t="s">
        <v>807</v>
      </c>
      <c r="B207" s="168" t="s">
        <v>1838</v>
      </c>
      <c r="C207" s="168" t="s">
        <v>1839</v>
      </c>
      <c r="D207" s="168"/>
      <c r="E207" s="168"/>
      <c r="F207" s="205"/>
      <c r="G207" s="205"/>
      <c r="H207" s="205"/>
      <c r="I207" s="205"/>
      <c r="J207" s="205"/>
      <c r="K207" s="205"/>
      <c r="L207" s="205"/>
      <c r="M207" s="205"/>
      <c r="N207" s="205"/>
      <c r="O207" s="248" t="s">
        <v>2757</v>
      </c>
      <c r="P207" s="205"/>
      <c r="Q207" s="205"/>
      <c r="R207" s="205"/>
      <c r="S207" s="205"/>
      <c r="T207" s="205"/>
      <c r="U207" s="207" t="s">
        <v>2761</v>
      </c>
      <c r="V207" s="205"/>
      <c r="W207" s="205"/>
      <c r="X207" s="205"/>
      <c r="Y207" s="205"/>
      <c r="Z207" s="205"/>
      <c r="AA207" s="205"/>
      <c r="AB207" s="205"/>
      <c r="AC207" s="205"/>
      <c r="AD207" s="205"/>
      <c r="AE207" s="205"/>
      <c r="AF207" s="205"/>
      <c r="AG207" s="205"/>
      <c r="AH207" s="205"/>
      <c r="AI207" s="205"/>
      <c r="AJ207" s="205"/>
      <c r="AK207" s="205"/>
      <c r="AL207" s="205"/>
      <c r="AM207" s="205"/>
      <c r="AN207" s="205"/>
      <c r="AO207" s="97"/>
      <c r="AP207" s="97"/>
      <c r="AQ207" s="97"/>
      <c r="AR207" s="97"/>
      <c r="AS207" s="97"/>
      <c r="AT207" s="97"/>
      <c r="AU207" s="97"/>
      <c r="AV207" s="97"/>
      <c r="AW207" s="97"/>
      <c r="AX207" s="97"/>
    </row>
    <row r="208" ht="15.75" customHeight="1">
      <c r="A208" s="131" t="s">
        <v>115</v>
      </c>
      <c r="B208" s="132" t="s">
        <v>1863</v>
      </c>
      <c r="C208" s="133" t="s">
        <v>1864</v>
      </c>
      <c r="D208" s="133"/>
      <c r="E208" s="133"/>
      <c r="F208" s="134"/>
      <c r="G208" s="134"/>
      <c r="H208" s="134"/>
      <c r="I208" s="134"/>
      <c r="J208" s="134"/>
      <c r="K208" s="134"/>
      <c r="L208" s="134"/>
      <c r="M208" s="134"/>
      <c r="N208" s="134"/>
      <c r="O208" s="134"/>
      <c r="P208" s="134"/>
      <c r="Q208" s="134"/>
      <c r="R208" s="134"/>
      <c r="S208" s="134"/>
      <c r="T208" s="151" t="s">
        <v>2766</v>
      </c>
      <c r="U208" s="134"/>
      <c r="V208" s="134"/>
      <c r="W208" s="134"/>
      <c r="X208" s="134"/>
      <c r="Y208" s="134"/>
      <c r="Z208" s="134"/>
      <c r="AA208" s="134"/>
      <c r="AB208" s="134"/>
      <c r="AC208" s="134"/>
      <c r="AD208" s="134"/>
      <c r="AE208" s="134"/>
      <c r="AF208" s="134"/>
      <c r="AG208" s="134"/>
      <c r="AH208" s="134"/>
      <c r="AI208" s="134"/>
      <c r="AJ208" s="134"/>
      <c r="AK208" s="134"/>
      <c r="AL208" s="134"/>
      <c r="AM208" s="134"/>
      <c r="AN208" s="134"/>
      <c r="AO208" s="97"/>
      <c r="AP208" s="97"/>
      <c r="AQ208" s="97"/>
      <c r="AR208" s="97"/>
      <c r="AS208" s="97"/>
      <c r="AT208" s="97"/>
      <c r="AU208" s="97"/>
      <c r="AV208" s="97"/>
      <c r="AW208" s="97"/>
      <c r="AX208" s="97"/>
    </row>
    <row r="209" ht="15.75" customHeight="1">
      <c r="A209" s="150" t="s">
        <v>161</v>
      </c>
      <c r="B209" s="82" t="s">
        <v>1871</v>
      </c>
      <c r="C209" s="82"/>
      <c r="D209" s="82"/>
      <c r="E209" s="82"/>
      <c r="F209" s="84"/>
      <c r="G209" s="84"/>
      <c r="H209" s="84"/>
      <c r="I209" s="84"/>
      <c r="J209" s="86" t="s">
        <v>1811</v>
      </c>
      <c r="K209" s="84"/>
      <c r="L209" s="84"/>
      <c r="M209" s="84"/>
      <c r="N209" s="84"/>
      <c r="O209" s="86"/>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97"/>
      <c r="AP209" s="97"/>
      <c r="AQ209" s="97"/>
      <c r="AR209" s="97"/>
      <c r="AS209" s="97"/>
      <c r="AT209" s="97"/>
      <c r="AU209" s="97"/>
      <c r="AV209" s="97"/>
      <c r="AW209" s="97"/>
      <c r="AX209" s="97"/>
    </row>
    <row r="210" ht="15.75" customHeight="1">
      <c r="A210" s="114" t="s">
        <v>680</v>
      </c>
      <c r="B210" s="165" t="s">
        <v>1877</v>
      </c>
      <c r="C210" s="76" t="s">
        <v>2772</v>
      </c>
      <c r="D210" s="76" t="s">
        <v>2773</v>
      </c>
      <c r="E210" s="117" t="s">
        <v>2774</v>
      </c>
      <c r="F210" s="76"/>
      <c r="G210" s="76"/>
      <c r="H210" s="76"/>
      <c r="I210" s="118"/>
      <c r="J210" s="120" t="s">
        <v>6</v>
      </c>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97"/>
      <c r="AP210" s="97"/>
      <c r="AQ210" s="97"/>
      <c r="AR210" s="97"/>
      <c r="AS210" s="97"/>
      <c r="AT210" s="97"/>
      <c r="AU210" s="97"/>
      <c r="AV210" s="97"/>
      <c r="AW210" s="97"/>
      <c r="AX210" s="97"/>
    </row>
    <row r="211" ht="15.75" customHeight="1">
      <c r="A211" s="114" t="s">
        <v>680</v>
      </c>
      <c r="B211" s="165" t="s">
        <v>1915</v>
      </c>
      <c r="C211" s="76" t="s">
        <v>2781</v>
      </c>
      <c r="D211" s="76" t="s">
        <v>2782</v>
      </c>
      <c r="E211" s="117" t="s">
        <v>2784</v>
      </c>
      <c r="F211" s="76"/>
      <c r="G211" s="76"/>
      <c r="H211" s="76"/>
      <c r="I211" s="118"/>
      <c r="J211" s="120" t="s">
        <v>1837</v>
      </c>
      <c r="K211" s="118"/>
      <c r="L211" s="118"/>
      <c r="M211" s="118"/>
      <c r="N211" s="118"/>
      <c r="O211" s="118"/>
      <c r="P211" s="118"/>
      <c r="Q211" s="118" t="s">
        <v>184</v>
      </c>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97"/>
      <c r="AP211" s="97"/>
      <c r="AQ211" s="97"/>
      <c r="AR211" s="97"/>
      <c r="AS211" s="97"/>
      <c r="AT211" s="97"/>
      <c r="AU211" s="97"/>
      <c r="AV211" s="97"/>
      <c r="AW211" s="97"/>
      <c r="AX211" s="97"/>
    </row>
    <row r="212" ht="15.75" customHeight="1">
      <c r="A212" s="114" t="s">
        <v>680</v>
      </c>
      <c r="B212" s="165" t="s">
        <v>1969</v>
      </c>
      <c r="C212" s="76" t="s">
        <v>2795</v>
      </c>
      <c r="D212" s="76" t="s">
        <v>2797</v>
      </c>
      <c r="E212" s="117" t="s">
        <v>2798</v>
      </c>
      <c r="F212" s="76"/>
      <c r="G212" s="76"/>
      <c r="H212" s="76"/>
      <c r="I212" s="118"/>
      <c r="J212" s="120" t="s">
        <v>1837</v>
      </c>
      <c r="K212" s="118"/>
      <c r="L212" s="118"/>
      <c r="M212" s="118"/>
      <c r="N212" s="118"/>
      <c r="O212" s="118"/>
      <c r="P212" s="118"/>
      <c r="Q212" s="118" t="s">
        <v>184</v>
      </c>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97"/>
      <c r="AP212" s="97"/>
      <c r="AQ212" s="97"/>
      <c r="AR212" s="97"/>
      <c r="AS212" s="97"/>
      <c r="AT212" s="97"/>
      <c r="AU212" s="97"/>
      <c r="AV212" s="97"/>
      <c r="AW212" s="97"/>
      <c r="AX212" s="97"/>
    </row>
    <row r="213" ht="15.75" customHeight="1">
      <c r="A213" s="114" t="s">
        <v>680</v>
      </c>
      <c r="B213" s="165" t="s">
        <v>1979</v>
      </c>
      <c r="C213" s="76" t="s">
        <v>2807</v>
      </c>
      <c r="D213" s="76" t="s">
        <v>2808</v>
      </c>
      <c r="E213" s="117" t="s">
        <v>2809</v>
      </c>
      <c r="F213" s="76"/>
      <c r="G213" s="76"/>
      <c r="H213" s="76"/>
      <c r="I213" s="118"/>
      <c r="J213" s="120" t="s">
        <v>1837</v>
      </c>
      <c r="K213" s="118"/>
      <c r="L213" s="118"/>
      <c r="M213" s="118"/>
      <c r="N213" s="118"/>
      <c r="O213" s="118"/>
      <c r="P213" s="118"/>
      <c r="Q213" s="118" t="s">
        <v>184</v>
      </c>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97"/>
      <c r="AP213" s="97"/>
      <c r="AQ213" s="97"/>
      <c r="AR213" s="97"/>
      <c r="AS213" s="97"/>
      <c r="AT213" s="97"/>
      <c r="AU213" s="97"/>
      <c r="AV213" s="97"/>
      <c r="AW213" s="97"/>
      <c r="AX213" s="97"/>
    </row>
    <row r="214" ht="15.75" customHeight="1">
      <c r="A214" s="114" t="s">
        <v>680</v>
      </c>
      <c r="B214" s="165" t="s">
        <v>1983</v>
      </c>
      <c r="C214" s="76" t="s">
        <v>2814</v>
      </c>
      <c r="D214" s="76" t="s">
        <v>2815</v>
      </c>
      <c r="E214" s="117" t="s">
        <v>2816</v>
      </c>
      <c r="F214" s="76"/>
      <c r="G214" s="76"/>
      <c r="H214" s="76"/>
      <c r="I214" s="118"/>
      <c r="J214" s="120" t="s">
        <v>1837</v>
      </c>
      <c r="K214" s="118"/>
      <c r="L214" s="118"/>
      <c r="M214" s="118"/>
      <c r="N214" s="118"/>
      <c r="O214" s="118"/>
      <c r="P214" s="118"/>
      <c r="Q214" s="118" t="s">
        <v>184</v>
      </c>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97"/>
      <c r="AP214" s="97"/>
      <c r="AQ214" s="97"/>
      <c r="AR214" s="97"/>
      <c r="AS214" s="97"/>
      <c r="AT214" s="97"/>
      <c r="AU214" s="97"/>
      <c r="AV214" s="97"/>
      <c r="AW214" s="97"/>
      <c r="AX214" s="97"/>
    </row>
    <row r="215" ht="15.75" customHeight="1">
      <c r="A215" s="150" t="s">
        <v>343</v>
      </c>
      <c r="B215" s="83" t="s">
        <v>1871</v>
      </c>
      <c r="C215" s="83"/>
      <c r="D215" s="83"/>
      <c r="E215" s="83"/>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97"/>
      <c r="AP215" s="97"/>
      <c r="AQ215" s="97"/>
      <c r="AR215" s="97"/>
      <c r="AS215" s="97"/>
      <c r="AT215" s="97"/>
      <c r="AU215" s="97"/>
      <c r="AV215" s="97"/>
      <c r="AW215" s="97"/>
      <c r="AX215" s="97"/>
    </row>
    <row r="216" ht="15.75" customHeight="1">
      <c r="A216" s="150" t="s">
        <v>161</v>
      </c>
      <c r="B216" s="82" t="s">
        <v>1990</v>
      </c>
      <c r="C216" s="82"/>
      <c r="D216" s="82"/>
      <c r="E216" s="82"/>
      <c r="F216" s="84"/>
      <c r="G216" s="84"/>
      <c r="H216" s="84"/>
      <c r="I216" s="84"/>
      <c r="J216" s="86" t="s">
        <v>1811</v>
      </c>
      <c r="K216" s="84"/>
      <c r="L216" s="84"/>
      <c r="M216" s="84"/>
      <c r="N216" s="84"/>
      <c r="O216" s="91" t="s">
        <v>2836</v>
      </c>
      <c r="P216" s="84"/>
      <c r="Q216" s="84"/>
      <c r="R216" s="84"/>
      <c r="S216" s="84"/>
      <c r="T216" s="84"/>
      <c r="U216" s="84"/>
      <c r="V216" s="84"/>
      <c r="W216" s="84"/>
      <c r="X216" s="84"/>
      <c r="Y216" s="84"/>
      <c r="Z216" s="84"/>
      <c r="AA216" s="84"/>
      <c r="AB216" s="84"/>
      <c r="AC216" s="84"/>
      <c r="AD216" s="84"/>
      <c r="AE216" s="84"/>
      <c r="AF216" s="84"/>
      <c r="AG216" s="84"/>
      <c r="AH216" s="84"/>
      <c r="AI216" s="84"/>
      <c r="AJ216" s="84"/>
      <c r="AK216" s="84"/>
      <c r="AL216" s="84"/>
      <c r="AM216" s="84"/>
      <c r="AN216" s="84"/>
      <c r="AO216" s="97"/>
      <c r="AP216" s="97"/>
      <c r="AQ216" s="97"/>
      <c r="AR216" s="97"/>
      <c r="AS216" s="97"/>
      <c r="AT216" s="97"/>
      <c r="AU216" s="97"/>
      <c r="AV216" s="97"/>
      <c r="AW216" s="97"/>
      <c r="AX216" s="97"/>
    </row>
    <row r="217" ht="15.75" customHeight="1">
      <c r="A217" s="152" t="s">
        <v>44</v>
      </c>
      <c r="B217" s="77" t="s">
        <v>1994</v>
      </c>
      <c r="C217" s="76" t="s">
        <v>2856</v>
      </c>
      <c r="D217" s="76" t="s">
        <v>2857</v>
      </c>
      <c r="E217" s="117" t="s">
        <v>2858</v>
      </c>
      <c r="F217" s="76"/>
      <c r="G217" s="76"/>
      <c r="H217" s="76"/>
      <c r="I217" s="176"/>
      <c r="J217" s="176" t="s">
        <v>6</v>
      </c>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97"/>
      <c r="AP217" s="97"/>
      <c r="AQ217" s="97"/>
      <c r="AR217" s="97"/>
      <c r="AS217" s="97"/>
      <c r="AT217" s="97"/>
      <c r="AU217" s="97"/>
      <c r="AV217" s="97"/>
      <c r="AW217" s="97"/>
      <c r="AX217" s="97"/>
    </row>
    <row r="218" ht="15.75" customHeight="1">
      <c r="A218" s="170" t="s">
        <v>238</v>
      </c>
      <c r="B218" s="171" t="s">
        <v>2008</v>
      </c>
      <c r="C218" s="76" t="s">
        <v>2872</v>
      </c>
      <c r="D218" s="76" t="s">
        <v>2873</v>
      </c>
      <c r="E218" s="117" t="s">
        <v>2874</v>
      </c>
      <c r="F218" s="76" t="s">
        <v>2875</v>
      </c>
      <c r="G218" s="76" t="s">
        <v>2876</v>
      </c>
      <c r="H218" s="76" t="s">
        <v>2877</v>
      </c>
      <c r="I218" s="209"/>
      <c r="J218" s="209" t="s">
        <v>1837</v>
      </c>
      <c r="K218" s="210" t="s">
        <v>2607</v>
      </c>
      <c r="L218" s="210"/>
      <c r="M218" s="210"/>
      <c r="N218" s="210"/>
      <c r="O218" s="239" t="s">
        <v>2881</v>
      </c>
      <c r="P218" s="209"/>
      <c r="Q218" s="209" t="s">
        <v>184</v>
      </c>
      <c r="R218" s="209"/>
      <c r="S218" s="209"/>
      <c r="T218" s="209"/>
      <c r="U218" s="209"/>
      <c r="V218" s="209"/>
      <c r="W218" s="209"/>
      <c r="X218" s="209"/>
      <c r="Y218" s="209"/>
      <c r="Z218" s="209"/>
      <c r="AA218" s="209"/>
      <c r="AB218" s="209"/>
      <c r="AC218" s="209"/>
      <c r="AD218" s="209"/>
      <c r="AE218" s="209"/>
      <c r="AF218" s="209"/>
      <c r="AG218" s="209"/>
      <c r="AH218" s="209"/>
      <c r="AI218" s="209"/>
      <c r="AJ218" s="209"/>
      <c r="AK218" s="209"/>
      <c r="AL218" s="209"/>
      <c r="AM218" s="209"/>
      <c r="AN218" s="209"/>
      <c r="AO218" s="97"/>
      <c r="AP218" s="97"/>
      <c r="AQ218" s="97"/>
      <c r="AR218" s="97"/>
      <c r="AS218" s="97"/>
      <c r="AT218" s="97"/>
      <c r="AU218" s="97"/>
      <c r="AV218" s="97"/>
      <c r="AW218" s="97"/>
      <c r="AX218" s="97"/>
    </row>
    <row r="219" ht="15.75" customHeight="1">
      <c r="A219" s="170" t="s">
        <v>238</v>
      </c>
      <c r="B219" s="171" t="s">
        <v>2012</v>
      </c>
      <c r="C219" s="76" t="s">
        <v>2895</v>
      </c>
      <c r="D219" s="76" t="s">
        <v>2896</v>
      </c>
      <c r="E219" s="117" t="s">
        <v>2897</v>
      </c>
      <c r="F219" s="76"/>
      <c r="G219" s="76"/>
      <c r="H219" s="76"/>
      <c r="I219" s="209"/>
      <c r="J219" s="209" t="s">
        <v>1837</v>
      </c>
      <c r="K219" s="210" t="s">
        <v>2607</v>
      </c>
      <c r="L219" s="210"/>
      <c r="M219" s="210"/>
      <c r="N219" s="210"/>
      <c r="O219" s="239" t="s">
        <v>2901</v>
      </c>
      <c r="P219" s="209"/>
      <c r="Q219" s="209" t="s">
        <v>184</v>
      </c>
      <c r="R219" s="209"/>
      <c r="S219" s="209"/>
      <c r="T219" s="209"/>
      <c r="U219" s="209"/>
      <c r="V219" s="209"/>
      <c r="W219" s="209"/>
      <c r="X219" s="209"/>
      <c r="Y219" s="209"/>
      <c r="Z219" s="209"/>
      <c r="AA219" s="209"/>
      <c r="AB219" s="209"/>
      <c r="AC219" s="209"/>
      <c r="AD219" s="209"/>
      <c r="AE219" s="209"/>
      <c r="AF219" s="209"/>
      <c r="AG219" s="209"/>
      <c r="AH219" s="209"/>
      <c r="AI219" s="209"/>
      <c r="AJ219" s="209"/>
      <c r="AK219" s="209"/>
      <c r="AL219" s="209"/>
      <c r="AM219" s="209"/>
      <c r="AN219" s="209"/>
      <c r="AO219" s="97"/>
      <c r="AP219" s="97"/>
      <c r="AQ219" s="97"/>
      <c r="AR219" s="97"/>
      <c r="AS219" s="97"/>
      <c r="AT219" s="97"/>
      <c r="AU219" s="97"/>
      <c r="AV219" s="97"/>
      <c r="AW219" s="97"/>
      <c r="AX219" s="97"/>
    </row>
    <row r="220" ht="15.75" customHeight="1">
      <c r="A220" s="170" t="s">
        <v>238</v>
      </c>
      <c r="B220" s="171" t="s">
        <v>2016</v>
      </c>
      <c r="C220" s="76" t="s">
        <v>2907</v>
      </c>
      <c r="D220" s="76" t="s">
        <v>2908</v>
      </c>
      <c r="E220" s="117" t="s">
        <v>2909</v>
      </c>
      <c r="F220" s="76"/>
      <c r="G220" s="76"/>
      <c r="H220" s="76"/>
      <c r="I220" s="209"/>
      <c r="J220" s="209" t="s">
        <v>1837</v>
      </c>
      <c r="K220" s="210" t="s">
        <v>2607</v>
      </c>
      <c r="L220" s="210"/>
      <c r="M220" s="210"/>
      <c r="N220" s="210"/>
      <c r="O220" s="239" t="s">
        <v>2911</v>
      </c>
      <c r="P220" s="209"/>
      <c r="Q220" s="209" t="s">
        <v>184</v>
      </c>
      <c r="R220" s="209"/>
      <c r="S220" s="209"/>
      <c r="T220" s="209"/>
      <c r="U220" s="209"/>
      <c r="V220" s="209"/>
      <c r="W220" s="209"/>
      <c r="X220" s="209"/>
      <c r="Y220" s="209"/>
      <c r="Z220" s="209"/>
      <c r="AA220" s="209"/>
      <c r="AB220" s="209"/>
      <c r="AC220" s="209"/>
      <c r="AD220" s="209"/>
      <c r="AE220" s="209"/>
      <c r="AF220" s="209"/>
      <c r="AG220" s="209"/>
      <c r="AH220" s="209"/>
      <c r="AI220" s="209"/>
      <c r="AJ220" s="209"/>
      <c r="AK220" s="209"/>
      <c r="AL220" s="209"/>
      <c r="AM220" s="209"/>
      <c r="AN220" s="209"/>
      <c r="AO220" s="97"/>
      <c r="AP220" s="97"/>
      <c r="AQ220" s="97"/>
      <c r="AR220" s="97"/>
      <c r="AS220" s="97"/>
      <c r="AT220" s="97"/>
      <c r="AU220" s="97"/>
      <c r="AV220" s="97"/>
      <c r="AW220" s="97"/>
      <c r="AX220" s="97"/>
    </row>
    <row r="221" ht="15.75" customHeight="1">
      <c r="A221" s="150" t="s">
        <v>343</v>
      </c>
      <c r="B221" s="83" t="s">
        <v>1990</v>
      </c>
      <c r="C221" s="83"/>
      <c r="D221" s="83"/>
      <c r="E221" s="83"/>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84"/>
      <c r="AJ221" s="84"/>
      <c r="AK221" s="84"/>
      <c r="AL221" s="84"/>
      <c r="AM221" s="84"/>
      <c r="AN221" s="84"/>
      <c r="AO221" s="97"/>
      <c r="AP221" s="97"/>
      <c r="AQ221" s="97"/>
      <c r="AR221" s="97"/>
      <c r="AS221" s="97"/>
      <c r="AT221" s="97"/>
      <c r="AU221" s="97"/>
      <c r="AV221" s="97"/>
      <c r="AW221" s="97"/>
      <c r="AX221" s="97"/>
    </row>
    <row r="222" ht="15.75" customHeight="1">
      <c r="A222" s="167" t="s">
        <v>842</v>
      </c>
      <c r="B222" s="169" t="s">
        <v>1838</v>
      </c>
      <c r="C222" s="169" t="s">
        <v>1839</v>
      </c>
      <c r="D222" s="169"/>
      <c r="E222" s="169"/>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c r="AE222" s="205"/>
      <c r="AF222" s="205"/>
      <c r="AG222" s="205"/>
      <c r="AH222" s="205"/>
      <c r="AI222" s="205"/>
      <c r="AJ222" s="205"/>
      <c r="AK222" s="205"/>
      <c r="AL222" s="205"/>
      <c r="AM222" s="205"/>
      <c r="AN222" s="205"/>
      <c r="AO222" s="97"/>
      <c r="AP222" s="97"/>
      <c r="AQ222" s="97"/>
      <c r="AR222" s="97"/>
      <c r="AS222" s="97"/>
      <c r="AT222" s="97"/>
      <c r="AU222" s="97"/>
      <c r="AV222" s="97"/>
      <c r="AW222" s="97"/>
      <c r="AX222" s="97"/>
    </row>
    <row r="223" ht="15.75" customHeight="1">
      <c r="A223" s="150"/>
      <c r="B223" s="82"/>
      <c r="C223" s="82"/>
      <c r="D223" s="83"/>
      <c r="E223" s="83"/>
      <c r="F223" s="84"/>
      <c r="G223" s="84"/>
      <c r="H223" s="84"/>
      <c r="I223" s="86"/>
      <c r="J223" s="86"/>
      <c r="K223" s="84"/>
      <c r="L223" s="86"/>
      <c r="M223" s="86"/>
      <c r="N223" s="86"/>
      <c r="O223" s="86"/>
      <c r="P223" s="84"/>
      <c r="Q223" s="84"/>
      <c r="R223" s="84"/>
      <c r="S223" s="84"/>
      <c r="T223" s="84"/>
      <c r="U223" s="84"/>
      <c r="V223" s="84"/>
      <c r="W223" s="84"/>
      <c r="X223" s="84"/>
      <c r="Y223" s="84"/>
      <c r="Z223" s="84"/>
      <c r="AA223" s="84"/>
      <c r="AB223" s="84"/>
      <c r="AC223" s="84"/>
      <c r="AD223" s="97"/>
      <c r="AE223" s="97"/>
      <c r="AF223" s="97"/>
      <c r="AG223" s="97"/>
      <c r="AH223" s="97"/>
      <c r="AI223" s="97"/>
      <c r="AJ223" s="97"/>
      <c r="AK223" s="97"/>
      <c r="AL223" s="97"/>
      <c r="AM223" s="97"/>
      <c r="AN223" s="97"/>
      <c r="AO223" s="97"/>
      <c r="AP223" s="97"/>
      <c r="AQ223" s="97"/>
      <c r="AR223" s="97"/>
      <c r="AS223" s="97"/>
      <c r="AT223" s="97"/>
      <c r="AU223" s="97"/>
      <c r="AV223" s="97"/>
      <c r="AW223" s="97"/>
      <c r="AX223" s="97"/>
    </row>
    <row r="224" ht="15.75" customHeight="1">
      <c r="A224" s="152" t="s">
        <v>44</v>
      </c>
      <c r="B224" s="77" t="s">
        <v>2033</v>
      </c>
      <c r="C224" s="76" t="s">
        <v>2954</v>
      </c>
      <c r="D224" s="76" t="s">
        <v>2955</v>
      </c>
      <c r="E224" s="117" t="s">
        <v>2956</v>
      </c>
      <c r="F224" s="76"/>
      <c r="G224" s="76"/>
      <c r="H224" s="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97"/>
      <c r="AE224" s="97"/>
      <c r="AF224" s="97"/>
      <c r="AG224" s="97"/>
      <c r="AH224" s="97"/>
      <c r="AI224" s="97"/>
      <c r="AJ224" s="97"/>
      <c r="AK224" s="97"/>
      <c r="AL224" s="97"/>
      <c r="AM224" s="97"/>
      <c r="AN224" s="97"/>
      <c r="AO224" s="97"/>
      <c r="AP224" s="97"/>
      <c r="AQ224" s="97"/>
      <c r="AR224" s="97"/>
      <c r="AS224" s="97"/>
      <c r="AT224" s="97"/>
      <c r="AU224" s="97"/>
      <c r="AV224" s="97"/>
      <c r="AW224" s="97"/>
      <c r="AX224" s="97"/>
    </row>
    <row r="225" ht="15.75" customHeight="1">
      <c r="A225" s="150" t="s">
        <v>161</v>
      </c>
      <c r="B225" s="82" t="s">
        <v>2042</v>
      </c>
      <c r="C225" s="82"/>
      <c r="D225" s="83"/>
      <c r="E225" s="83"/>
      <c r="F225" s="84"/>
      <c r="G225" s="84"/>
      <c r="H225" s="84"/>
      <c r="I225" s="84"/>
      <c r="J225" s="86" t="s">
        <v>1811</v>
      </c>
      <c r="K225" s="84"/>
      <c r="L225" s="84"/>
      <c r="M225" s="86"/>
      <c r="N225" s="86"/>
      <c r="O225" s="86"/>
      <c r="P225" s="84"/>
      <c r="Q225" s="84"/>
      <c r="R225" s="84"/>
      <c r="S225" s="84"/>
      <c r="T225" s="84"/>
      <c r="U225" s="84"/>
      <c r="V225" s="84"/>
      <c r="W225" s="84"/>
      <c r="X225" s="84"/>
      <c r="Y225" s="84"/>
      <c r="Z225" s="84"/>
      <c r="AA225" s="84"/>
      <c r="AB225" s="84"/>
      <c r="AC225" s="84"/>
      <c r="AD225" s="97"/>
      <c r="AE225" s="97"/>
      <c r="AF225" s="97"/>
      <c r="AG225" s="97"/>
      <c r="AH225" s="97"/>
      <c r="AI225" s="97"/>
      <c r="AJ225" s="97"/>
      <c r="AK225" s="97"/>
      <c r="AL225" s="97"/>
      <c r="AM225" s="97"/>
      <c r="AN225" s="97"/>
      <c r="AO225" s="97"/>
      <c r="AP225" s="97"/>
      <c r="AQ225" s="97"/>
      <c r="AR225" s="97"/>
      <c r="AS225" s="97"/>
      <c r="AT225" s="97"/>
      <c r="AU225" s="97"/>
      <c r="AV225" s="97"/>
      <c r="AW225" s="97"/>
      <c r="AX225" s="97"/>
    </row>
    <row r="226" ht="15.75" customHeight="1">
      <c r="A226" s="114" t="s">
        <v>2049</v>
      </c>
      <c r="B226" s="165" t="s">
        <v>2050</v>
      </c>
      <c r="C226" s="76" t="s">
        <v>2976</v>
      </c>
      <c r="D226" s="76" t="s">
        <v>2977</v>
      </c>
      <c r="E226" s="117" t="s">
        <v>2978</v>
      </c>
      <c r="F226" s="76"/>
      <c r="G226" s="76"/>
      <c r="H226" s="76"/>
      <c r="I226" s="118"/>
      <c r="J226" s="120" t="s">
        <v>6</v>
      </c>
      <c r="K226" s="118"/>
      <c r="L226" s="118"/>
      <c r="M226" s="118"/>
      <c r="N226" s="118"/>
      <c r="O226" s="118"/>
      <c r="P226" s="118"/>
      <c r="Q226" s="118"/>
      <c r="R226" s="118"/>
      <c r="S226" s="118"/>
      <c r="T226" s="118"/>
      <c r="U226" s="118"/>
      <c r="V226" s="118"/>
      <c r="W226" s="118"/>
      <c r="X226" s="118"/>
      <c r="Y226" s="118"/>
      <c r="Z226" s="118"/>
      <c r="AA226" s="118"/>
      <c r="AB226" s="118"/>
      <c r="AC226" s="118"/>
      <c r="AD226" s="97"/>
      <c r="AE226" s="97"/>
      <c r="AF226" s="97"/>
      <c r="AG226" s="97"/>
      <c r="AH226" s="97"/>
      <c r="AI226" s="97"/>
      <c r="AJ226" s="97"/>
      <c r="AK226" s="97"/>
      <c r="AL226" s="97"/>
      <c r="AM226" s="97"/>
      <c r="AN226" s="97"/>
      <c r="AO226" s="97"/>
      <c r="AP226" s="97"/>
      <c r="AQ226" s="97"/>
      <c r="AR226" s="97"/>
      <c r="AS226" s="97"/>
      <c r="AT226" s="97"/>
      <c r="AU226" s="97"/>
      <c r="AV226" s="97"/>
      <c r="AW226" s="97"/>
      <c r="AX226" s="97"/>
    </row>
    <row r="227" ht="15.75" customHeight="1">
      <c r="A227" s="114" t="s">
        <v>2049</v>
      </c>
      <c r="B227" s="165" t="s">
        <v>2066</v>
      </c>
      <c r="C227" s="76" t="s">
        <v>2987</v>
      </c>
      <c r="D227" s="76" t="s">
        <v>2988</v>
      </c>
      <c r="E227" s="117" t="s">
        <v>2989</v>
      </c>
      <c r="F227" s="76"/>
      <c r="G227" s="76"/>
      <c r="H227" s="76"/>
      <c r="I227" s="118"/>
      <c r="J227" s="120" t="s">
        <v>1837</v>
      </c>
      <c r="K227" s="118"/>
      <c r="L227" s="118"/>
      <c r="M227" s="118"/>
      <c r="N227" s="118"/>
      <c r="O227" s="118"/>
      <c r="P227" s="118"/>
      <c r="Q227" s="118" t="s">
        <v>184</v>
      </c>
      <c r="R227" s="118"/>
      <c r="S227" s="118"/>
      <c r="T227" s="118"/>
      <c r="U227" s="118"/>
      <c r="V227" s="118"/>
      <c r="W227" s="118"/>
      <c r="X227" s="118"/>
      <c r="Y227" s="118"/>
      <c r="Z227" s="118"/>
      <c r="AA227" s="118"/>
      <c r="AB227" s="118"/>
      <c r="AC227" s="118"/>
      <c r="AD227" s="97"/>
      <c r="AE227" s="97"/>
      <c r="AF227" s="97"/>
      <c r="AG227" s="97"/>
      <c r="AH227" s="97"/>
      <c r="AI227" s="97"/>
      <c r="AJ227" s="97"/>
      <c r="AK227" s="97"/>
      <c r="AL227" s="97"/>
      <c r="AM227" s="97"/>
      <c r="AN227" s="97"/>
      <c r="AO227" s="97"/>
      <c r="AP227" s="97"/>
      <c r="AQ227" s="97"/>
      <c r="AR227" s="97"/>
      <c r="AS227" s="97"/>
      <c r="AT227" s="97"/>
      <c r="AU227" s="97"/>
      <c r="AV227" s="97"/>
      <c r="AW227" s="97"/>
      <c r="AX227" s="97"/>
    </row>
    <row r="228" ht="15.75" customHeight="1">
      <c r="A228" s="114" t="s">
        <v>2049</v>
      </c>
      <c r="B228" s="165" t="s">
        <v>2077</v>
      </c>
      <c r="C228" s="76" t="s">
        <v>2998</v>
      </c>
      <c r="D228" s="76" t="s">
        <v>2999</v>
      </c>
      <c r="E228" s="117" t="s">
        <v>3000</v>
      </c>
      <c r="F228" s="76"/>
      <c r="G228" s="76"/>
      <c r="H228" s="76"/>
      <c r="I228" s="118"/>
      <c r="J228" s="120" t="s">
        <v>1837</v>
      </c>
      <c r="K228" s="118"/>
      <c r="L228" s="118"/>
      <c r="M228" s="118"/>
      <c r="N228" s="118"/>
      <c r="O228" s="118"/>
      <c r="P228" s="118"/>
      <c r="Q228" s="118" t="s">
        <v>184</v>
      </c>
      <c r="R228" s="118"/>
      <c r="S228" s="118"/>
      <c r="T228" s="118"/>
      <c r="U228" s="118"/>
      <c r="V228" s="118"/>
      <c r="W228" s="118"/>
      <c r="X228" s="118"/>
      <c r="Y228" s="118"/>
      <c r="Z228" s="118"/>
      <c r="AA228" s="118"/>
      <c r="AB228" s="118"/>
      <c r="AC228" s="118"/>
      <c r="AD228" s="97"/>
      <c r="AE228" s="97"/>
      <c r="AF228" s="97"/>
      <c r="AG228" s="97"/>
      <c r="AH228" s="97"/>
      <c r="AI228" s="97"/>
      <c r="AJ228" s="97"/>
      <c r="AK228" s="97"/>
      <c r="AL228" s="97"/>
      <c r="AM228" s="97"/>
      <c r="AN228" s="97"/>
      <c r="AO228" s="97"/>
      <c r="AP228" s="97"/>
      <c r="AQ228" s="97"/>
      <c r="AR228" s="97"/>
      <c r="AS228" s="97"/>
      <c r="AT228" s="97"/>
      <c r="AU228" s="97"/>
      <c r="AV228" s="97"/>
      <c r="AW228" s="97"/>
      <c r="AX228" s="97"/>
    </row>
    <row r="229" ht="15.75" customHeight="1">
      <c r="A229" s="114" t="s">
        <v>2049</v>
      </c>
      <c r="B229" s="165" t="s">
        <v>2084</v>
      </c>
      <c r="C229" s="76" t="s">
        <v>3002</v>
      </c>
      <c r="D229" s="76" t="s">
        <v>3003</v>
      </c>
      <c r="E229" s="117" t="s">
        <v>3004</v>
      </c>
      <c r="F229" s="76"/>
      <c r="G229" s="76"/>
      <c r="H229" s="76"/>
      <c r="I229" s="118"/>
      <c r="J229" s="120" t="s">
        <v>1837</v>
      </c>
      <c r="K229" s="118"/>
      <c r="L229" s="118"/>
      <c r="M229" s="118"/>
      <c r="N229" s="118"/>
      <c r="O229" s="118"/>
      <c r="P229" s="118"/>
      <c r="Q229" s="118" t="s">
        <v>184</v>
      </c>
      <c r="R229" s="118"/>
      <c r="S229" s="118"/>
      <c r="T229" s="118"/>
      <c r="U229" s="118"/>
      <c r="V229" s="118"/>
      <c r="W229" s="118"/>
      <c r="X229" s="118"/>
      <c r="Y229" s="118"/>
      <c r="Z229" s="118"/>
      <c r="AA229" s="118"/>
      <c r="AB229" s="118"/>
      <c r="AC229" s="118"/>
      <c r="AD229" s="97"/>
      <c r="AE229" s="97"/>
      <c r="AF229" s="97"/>
      <c r="AG229" s="97"/>
      <c r="AH229" s="97"/>
      <c r="AI229" s="97"/>
      <c r="AJ229" s="97"/>
      <c r="AK229" s="97"/>
      <c r="AL229" s="97"/>
      <c r="AM229" s="97"/>
      <c r="AN229" s="97"/>
      <c r="AO229" s="97"/>
      <c r="AP229" s="97"/>
      <c r="AQ229" s="97"/>
      <c r="AR229" s="97"/>
      <c r="AS229" s="97"/>
      <c r="AT229" s="97"/>
      <c r="AU229" s="97"/>
      <c r="AV229" s="97"/>
      <c r="AW229" s="97"/>
      <c r="AX229" s="97"/>
    </row>
    <row r="230" ht="15.75" customHeight="1">
      <c r="A230" s="114" t="s">
        <v>2049</v>
      </c>
      <c r="B230" s="165" t="s">
        <v>2089</v>
      </c>
      <c r="C230" s="76" t="s">
        <v>3013</v>
      </c>
      <c r="D230" s="76" t="s">
        <v>3014</v>
      </c>
      <c r="E230" s="117" t="s">
        <v>3015</v>
      </c>
      <c r="F230" s="76"/>
      <c r="G230" s="76"/>
      <c r="H230" s="76"/>
      <c r="I230" s="118"/>
      <c r="J230" s="120" t="s">
        <v>1837</v>
      </c>
      <c r="K230" s="118"/>
      <c r="L230" s="118"/>
      <c r="M230" s="118"/>
      <c r="N230" s="118"/>
      <c r="O230" s="118"/>
      <c r="P230" s="118"/>
      <c r="Q230" s="118" t="s">
        <v>184</v>
      </c>
      <c r="R230" s="118"/>
      <c r="S230" s="118"/>
      <c r="T230" s="118"/>
      <c r="U230" s="118"/>
      <c r="V230" s="118"/>
      <c r="W230" s="118"/>
      <c r="X230" s="118"/>
      <c r="Y230" s="118"/>
      <c r="Z230" s="118"/>
      <c r="AA230" s="118"/>
      <c r="AB230" s="118"/>
      <c r="AC230" s="118"/>
      <c r="AD230" s="97"/>
      <c r="AE230" s="97"/>
      <c r="AF230" s="97"/>
      <c r="AG230" s="97"/>
      <c r="AH230" s="97"/>
      <c r="AI230" s="97"/>
      <c r="AJ230" s="97"/>
      <c r="AK230" s="97"/>
      <c r="AL230" s="97"/>
      <c r="AM230" s="97"/>
      <c r="AN230" s="97"/>
      <c r="AO230" s="97"/>
      <c r="AP230" s="97"/>
      <c r="AQ230" s="97"/>
      <c r="AR230" s="97"/>
      <c r="AS230" s="97"/>
      <c r="AT230" s="97"/>
      <c r="AU230" s="97"/>
      <c r="AV230" s="97"/>
      <c r="AW230" s="97"/>
      <c r="AX230" s="97"/>
    </row>
    <row r="231" ht="15.75" customHeight="1">
      <c r="A231" s="114" t="s">
        <v>2049</v>
      </c>
      <c r="B231" s="165" t="s">
        <v>2099</v>
      </c>
      <c r="C231" s="76" t="s">
        <v>3022</v>
      </c>
      <c r="D231" s="76" t="s">
        <v>3024</v>
      </c>
      <c r="E231" s="117" t="s">
        <v>3025</v>
      </c>
      <c r="F231" s="76"/>
      <c r="G231" s="76"/>
      <c r="H231" s="76"/>
      <c r="I231" s="118"/>
      <c r="J231" s="120" t="s">
        <v>1837</v>
      </c>
      <c r="K231" s="118"/>
      <c r="L231" s="118"/>
      <c r="M231" s="118"/>
      <c r="N231" s="118"/>
      <c r="O231" s="118"/>
      <c r="P231" s="118"/>
      <c r="Q231" s="118" t="s">
        <v>184</v>
      </c>
      <c r="R231" s="118"/>
      <c r="S231" s="118"/>
      <c r="T231" s="118"/>
      <c r="U231" s="118"/>
      <c r="V231" s="118"/>
      <c r="W231" s="118"/>
      <c r="X231" s="118"/>
      <c r="Y231" s="118"/>
      <c r="Z231" s="118"/>
      <c r="AA231" s="118"/>
      <c r="AB231" s="118"/>
      <c r="AC231" s="118"/>
      <c r="AD231" s="97"/>
      <c r="AE231" s="97"/>
      <c r="AF231" s="97"/>
      <c r="AG231" s="97"/>
      <c r="AH231" s="97"/>
      <c r="AI231" s="97"/>
      <c r="AJ231" s="97"/>
      <c r="AK231" s="97"/>
      <c r="AL231" s="97"/>
      <c r="AM231" s="97"/>
      <c r="AN231" s="97"/>
      <c r="AO231" s="97"/>
      <c r="AP231" s="97"/>
      <c r="AQ231" s="97"/>
      <c r="AR231" s="97"/>
      <c r="AS231" s="97"/>
      <c r="AT231" s="97"/>
      <c r="AU231" s="97"/>
      <c r="AV231" s="97"/>
      <c r="AW231" s="97"/>
      <c r="AX231" s="97"/>
    </row>
    <row r="232" ht="15.75" customHeight="1">
      <c r="A232" s="114" t="s">
        <v>2049</v>
      </c>
      <c r="B232" s="165" t="s">
        <v>2106</v>
      </c>
      <c r="C232" s="76" t="s">
        <v>3033</v>
      </c>
      <c r="D232" s="76" t="s">
        <v>3034</v>
      </c>
      <c r="E232" s="117" t="s">
        <v>3036</v>
      </c>
      <c r="F232" s="76"/>
      <c r="G232" s="76"/>
      <c r="H232" s="76"/>
      <c r="I232" s="118"/>
      <c r="J232" s="120" t="s">
        <v>1837</v>
      </c>
      <c r="K232" s="118"/>
      <c r="L232" s="118"/>
      <c r="M232" s="118"/>
      <c r="N232" s="118"/>
      <c r="O232" s="118"/>
      <c r="P232" s="118"/>
      <c r="Q232" s="118" t="s">
        <v>184</v>
      </c>
      <c r="R232" s="118"/>
      <c r="S232" s="118"/>
      <c r="T232" s="118"/>
      <c r="U232" s="118"/>
      <c r="V232" s="118"/>
      <c r="W232" s="118"/>
      <c r="X232" s="118"/>
      <c r="Y232" s="118"/>
      <c r="Z232" s="118"/>
      <c r="AA232" s="118"/>
      <c r="AB232" s="118"/>
      <c r="AC232" s="118"/>
      <c r="AD232" s="97"/>
      <c r="AE232" s="97"/>
      <c r="AF232" s="97"/>
      <c r="AG232" s="97"/>
      <c r="AH232" s="97"/>
      <c r="AI232" s="97"/>
      <c r="AJ232" s="97"/>
      <c r="AK232" s="97"/>
      <c r="AL232" s="97"/>
      <c r="AM232" s="97"/>
      <c r="AN232" s="97"/>
      <c r="AO232" s="97"/>
      <c r="AP232" s="97"/>
      <c r="AQ232" s="97"/>
      <c r="AR232" s="97"/>
      <c r="AS232" s="97"/>
      <c r="AT232" s="97"/>
      <c r="AU232" s="97"/>
      <c r="AV232" s="97"/>
      <c r="AW232" s="97"/>
      <c r="AX232" s="97"/>
    </row>
    <row r="233" ht="15.75" customHeight="1">
      <c r="A233" s="150" t="s">
        <v>343</v>
      </c>
      <c r="B233" s="83" t="s">
        <v>2042</v>
      </c>
      <c r="C233" s="83"/>
      <c r="D233" s="83"/>
      <c r="E233" s="83"/>
      <c r="F233" s="84"/>
      <c r="G233" s="84"/>
      <c r="H233" s="84"/>
      <c r="I233" s="84"/>
      <c r="J233" s="113"/>
      <c r="K233" s="84"/>
      <c r="L233" s="84"/>
      <c r="M233" s="84"/>
      <c r="N233" s="84"/>
      <c r="O233" s="84"/>
      <c r="P233" s="84"/>
      <c r="Q233" s="84"/>
      <c r="R233" s="84"/>
      <c r="S233" s="84"/>
      <c r="T233" s="84"/>
      <c r="U233" s="84"/>
      <c r="V233" s="84"/>
      <c r="W233" s="84"/>
      <c r="X233" s="84"/>
      <c r="Y233" s="84"/>
      <c r="Z233" s="84"/>
      <c r="AA233" s="84"/>
      <c r="AB233" s="84"/>
      <c r="AC233" s="84"/>
      <c r="AD233" s="97"/>
      <c r="AE233" s="97"/>
      <c r="AF233" s="97"/>
      <c r="AG233" s="97"/>
      <c r="AH233" s="97"/>
      <c r="AI233" s="97"/>
      <c r="AJ233" s="97"/>
      <c r="AK233" s="97"/>
      <c r="AL233" s="97"/>
      <c r="AM233" s="97"/>
      <c r="AN233" s="97"/>
      <c r="AO233" s="97"/>
      <c r="AP233" s="97"/>
      <c r="AQ233" s="97"/>
      <c r="AR233" s="97"/>
      <c r="AS233" s="97"/>
      <c r="AT233" s="97"/>
      <c r="AU233" s="97"/>
      <c r="AV233" s="97"/>
      <c r="AW233" s="97"/>
      <c r="AX233" s="97"/>
    </row>
    <row r="234" ht="15.75" customHeight="1">
      <c r="A234" s="153" t="s">
        <v>161</v>
      </c>
      <c r="B234" s="154" t="s">
        <v>3052</v>
      </c>
      <c r="C234" s="76"/>
      <c r="D234" s="76"/>
      <c r="E234" s="117"/>
      <c r="F234" s="76"/>
      <c r="G234" s="76"/>
      <c r="H234" s="76"/>
      <c r="I234" s="176"/>
      <c r="J234" s="86" t="s">
        <v>1811</v>
      </c>
      <c r="K234" s="176"/>
      <c r="L234" s="176"/>
      <c r="M234" s="176"/>
      <c r="N234" s="176"/>
      <c r="O234" s="176"/>
      <c r="P234" s="176"/>
      <c r="Q234" s="176"/>
      <c r="R234" s="176"/>
      <c r="S234" s="176"/>
      <c r="T234" s="176"/>
      <c r="U234" s="176"/>
      <c r="V234" s="176"/>
      <c r="W234" s="176"/>
      <c r="X234" s="176"/>
      <c r="Y234" s="176"/>
      <c r="Z234" s="176"/>
      <c r="AA234" s="176"/>
      <c r="AB234" s="176"/>
      <c r="AC234" s="176"/>
      <c r="AD234" s="97"/>
      <c r="AE234" s="97"/>
      <c r="AF234" s="97"/>
      <c r="AG234" s="97"/>
      <c r="AH234" s="97"/>
      <c r="AI234" s="97"/>
      <c r="AJ234" s="97"/>
      <c r="AK234" s="97"/>
      <c r="AL234" s="97"/>
      <c r="AM234" s="97"/>
      <c r="AN234" s="97"/>
      <c r="AO234" s="97"/>
      <c r="AP234" s="97"/>
      <c r="AQ234" s="97"/>
      <c r="AR234" s="97"/>
      <c r="AS234" s="97"/>
      <c r="AT234" s="97"/>
      <c r="AU234" s="97"/>
      <c r="AV234" s="97"/>
      <c r="AW234" s="97"/>
      <c r="AX234" s="97"/>
    </row>
    <row r="235" ht="15.75" customHeight="1">
      <c r="A235" s="114" t="s">
        <v>979</v>
      </c>
      <c r="B235" s="77" t="s">
        <v>2118</v>
      </c>
      <c r="C235" s="76" t="s">
        <v>3064</v>
      </c>
      <c r="D235" s="76" t="s">
        <v>3065</v>
      </c>
      <c r="E235" s="117" t="s">
        <v>3066</v>
      </c>
      <c r="F235" s="76"/>
      <c r="G235" s="76"/>
      <c r="H235" s="76"/>
      <c r="I235" s="176"/>
      <c r="J235" s="120" t="s">
        <v>6</v>
      </c>
      <c r="K235" s="176"/>
      <c r="L235" s="176"/>
      <c r="M235" s="176"/>
      <c r="N235" s="176"/>
      <c r="O235" s="176"/>
      <c r="P235" s="176"/>
      <c r="Q235" s="176"/>
      <c r="R235" s="176"/>
      <c r="S235" s="176"/>
      <c r="T235" s="176"/>
      <c r="U235" s="176"/>
      <c r="V235" s="176"/>
      <c r="W235" s="176"/>
      <c r="X235" s="176"/>
      <c r="Y235" s="176"/>
      <c r="Z235" s="176"/>
      <c r="AA235" s="176"/>
      <c r="AB235" s="176"/>
      <c r="AC235" s="176"/>
      <c r="AD235" s="97"/>
      <c r="AE235" s="97"/>
      <c r="AF235" s="97"/>
      <c r="AG235" s="97"/>
      <c r="AH235" s="97"/>
      <c r="AI235" s="97"/>
      <c r="AJ235" s="97"/>
      <c r="AK235" s="97"/>
      <c r="AL235" s="97"/>
      <c r="AM235" s="97"/>
      <c r="AN235" s="97"/>
      <c r="AO235" s="97"/>
      <c r="AP235" s="97"/>
      <c r="AQ235" s="97"/>
      <c r="AR235" s="97"/>
      <c r="AS235" s="97"/>
      <c r="AT235" s="97"/>
      <c r="AU235" s="97"/>
      <c r="AV235" s="97"/>
      <c r="AW235" s="97"/>
      <c r="AX235" s="97"/>
    </row>
    <row r="236" ht="15.75" customHeight="1">
      <c r="A236" s="114" t="s">
        <v>979</v>
      </c>
      <c r="B236" s="165" t="s">
        <v>2125</v>
      </c>
      <c r="C236" s="76" t="s">
        <v>3074</v>
      </c>
      <c r="D236" s="76" t="s">
        <v>3075</v>
      </c>
      <c r="E236" s="117" t="s">
        <v>3076</v>
      </c>
      <c r="F236" s="76"/>
      <c r="G236" s="76"/>
      <c r="H236" s="76"/>
      <c r="I236" s="118"/>
      <c r="J236" s="120" t="s">
        <v>1837</v>
      </c>
      <c r="K236" s="118"/>
      <c r="L236" s="118"/>
      <c r="M236" s="118"/>
      <c r="N236" s="118"/>
      <c r="O236" s="118"/>
      <c r="P236" s="118"/>
      <c r="Q236" s="118" t="s">
        <v>184</v>
      </c>
      <c r="R236" s="118"/>
      <c r="S236" s="118"/>
      <c r="T236" s="118"/>
      <c r="U236" s="118"/>
      <c r="V236" s="118"/>
      <c r="W236" s="118"/>
      <c r="X236" s="118"/>
      <c r="Y236" s="118"/>
      <c r="Z236" s="118"/>
      <c r="AA236" s="118"/>
      <c r="AB236" s="118"/>
      <c r="AC236" s="118"/>
      <c r="AD236" s="97"/>
      <c r="AE236" s="97"/>
      <c r="AF236" s="97"/>
      <c r="AG236" s="97"/>
      <c r="AH236" s="97"/>
      <c r="AI236" s="97"/>
      <c r="AJ236" s="97"/>
      <c r="AK236" s="97"/>
      <c r="AL236" s="97"/>
      <c r="AM236" s="97"/>
      <c r="AN236" s="97"/>
      <c r="AO236" s="97"/>
      <c r="AP236" s="97"/>
      <c r="AQ236" s="97"/>
      <c r="AR236" s="97"/>
      <c r="AS236" s="97"/>
      <c r="AT236" s="97"/>
      <c r="AU236" s="97"/>
      <c r="AV236" s="97"/>
      <c r="AW236" s="97"/>
      <c r="AX236" s="97"/>
    </row>
    <row r="237" ht="15.75" customHeight="1">
      <c r="A237" s="114" t="s">
        <v>979</v>
      </c>
      <c r="B237" s="165" t="s">
        <v>2132</v>
      </c>
      <c r="C237" s="76" t="s">
        <v>3077</v>
      </c>
      <c r="D237" s="76" t="s">
        <v>3078</v>
      </c>
      <c r="E237" s="117" t="s">
        <v>3079</v>
      </c>
      <c r="F237" s="76"/>
      <c r="G237" s="76"/>
      <c r="H237" s="76"/>
      <c r="I237" s="118"/>
      <c r="J237" s="120" t="s">
        <v>1837</v>
      </c>
      <c r="K237" s="118"/>
      <c r="L237" s="118"/>
      <c r="M237" s="118"/>
      <c r="N237" s="118"/>
      <c r="O237" s="118"/>
      <c r="P237" s="118"/>
      <c r="Q237" s="118" t="s">
        <v>184</v>
      </c>
      <c r="R237" s="118"/>
      <c r="S237" s="118"/>
      <c r="T237" s="118"/>
      <c r="U237" s="118"/>
      <c r="V237" s="118"/>
      <c r="W237" s="118"/>
      <c r="X237" s="118"/>
      <c r="Y237" s="118"/>
      <c r="Z237" s="118"/>
      <c r="AA237" s="118"/>
      <c r="AB237" s="118"/>
      <c r="AC237" s="118"/>
      <c r="AD237" s="97"/>
      <c r="AE237" s="97"/>
      <c r="AF237" s="97"/>
      <c r="AG237" s="97"/>
      <c r="AH237" s="97"/>
      <c r="AI237" s="97"/>
      <c r="AJ237" s="97"/>
      <c r="AK237" s="97"/>
      <c r="AL237" s="97"/>
      <c r="AM237" s="97"/>
      <c r="AN237" s="97"/>
      <c r="AO237" s="97"/>
      <c r="AP237" s="97"/>
      <c r="AQ237" s="97"/>
      <c r="AR237" s="97"/>
      <c r="AS237" s="97"/>
      <c r="AT237" s="97"/>
      <c r="AU237" s="97"/>
      <c r="AV237" s="97"/>
      <c r="AW237" s="97"/>
      <c r="AX237" s="97"/>
    </row>
    <row r="238" ht="15.75" customHeight="1">
      <c r="A238" s="114" t="s">
        <v>979</v>
      </c>
      <c r="B238" s="165" t="s">
        <v>2139</v>
      </c>
      <c r="C238" s="76" t="s">
        <v>3092</v>
      </c>
      <c r="D238" s="76" t="s">
        <v>3093</v>
      </c>
      <c r="E238" s="117" t="s">
        <v>3094</v>
      </c>
      <c r="F238" s="76"/>
      <c r="G238" s="76"/>
      <c r="H238" s="76"/>
      <c r="I238" s="118"/>
      <c r="J238" s="120" t="s">
        <v>1837</v>
      </c>
      <c r="K238" s="118"/>
      <c r="L238" s="118"/>
      <c r="M238" s="118"/>
      <c r="N238" s="118"/>
      <c r="O238" s="118"/>
      <c r="P238" s="118"/>
      <c r="Q238" s="118" t="s">
        <v>184</v>
      </c>
      <c r="R238" s="118"/>
      <c r="S238" s="118"/>
      <c r="T238" s="118"/>
      <c r="U238" s="118"/>
      <c r="V238" s="118"/>
      <c r="W238" s="118"/>
      <c r="X238" s="118"/>
      <c r="Y238" s="118"/>
      <c r="Z238" s="118"/>
      <c r="AA238" s="118"/>
      <c r="AB238" s="118"/>
      <c r="AC238" s="118"/>
      <c r="AD238" s="97"/>
      <c r="AE238" s="97"/>
      <c r="AF238" s="97"/>
      <c r="AG238" s="97"/>
      <c r="AH238" s="97"/>
      <c r="AI238" s="97"/>
      <c r="AJ238" s="97"/>
      <c r="AK238" s="97"/>
      <c r="AL238" s="97"/>
      <c r="AM238" s="97"/>
      <c r="AN238" s="97"/>
      <c r="AO238" s="97"/>
      <c r="AP238" s="97"/>
      <c r="AQ238" s="97"/>
      <c r="AR238" s="97"/>
      <c r="AS238" s="97"/>
      <c r="AT238" s="97"/>
      <c r="AU238" s="97"/>
      <c r="AV238" s="97"/>
      <c r="AW238" s="97"/>
      <c r="AX238" s="97"/>
    </row>
    <row r="239" ht="15.75" customHeight="1">
      <c r="A239" s="114" t="s">
        <v>979</v>
      </c>
      <c r="B239" s="165" t="s">
        <v>2149</v>
      </c>
      <c r="C239" s="76" t="s">
        <v>3104</v>
      </c>
      <c r="D239" s="76" t="s">
        <v>3105</v>
      </c>
      <c r="E239" s="117" t="s">
        <v>3106</v>
      </c>
      <c r="F239" s="76"/>
      <c r="G239" s="76"/>
      <c r="H239" s="76"/>
      <c r="I239" s="118"/>
      <c r="J239" s="120" t="s">
        <v>1837</v>
      </c>
      <c r="K239" s="118"/>
      <c r="L239" s="118"/>
      <c r="M239" s="118"/>
      <c r="N239" s="118"/>
      <c r="O239" s="118"/>
      <c r="P239" s="118"/>
      <c r="Q239" s="118" t="s">
        <v>184</v>
      </c>
      <c r="R239" s="118"/>
      <c r="S239" s="118"/>
      <c r="T239" s="118"/>
      <c r="U239" s="118"/>
      <c r="V239" s="118"/>
      <c r="W239" s="118"/>
      <c r="X239" s="118"/>
      <c r="Y239" s="118"/>
      <c r="Z239" s="118"/>
      <c r="AA239" s="118"/>
      <c r="AB239" s="118"/>
      <c r="AC239" s="118"/>
      <c r="AD239" s="97"/>
      <c r="AE239" s="97"/>
      <c r="AF239" s="97"/>
      <c r="AG239" s="97"/>
      <c r="AH239" s="97"/>
      <c r="AI239" s="97"/>
      <c r="AJ239" s="97"/>
      <c r="AK239" s="97"/>
      <c r="AL239" s="97"/>
      <c r="AM239" s="97"/>
      <c r="AN239" s="97"/>
      <c r="AO239" s="97"/>
      <c r="AP239" s="97"/>
      <c r="AQ239" s="97"/>
      <c r="AR239" s="97"/>
      <c r="AS239" s="97"/>
      <c r="AT239" s="97"/>
      <c r="AU239" s="97"/>
      <c r="AV239" s="97"/>
      <c r="AW239" s="97"/>
      <c r="AX239" s="97"/>
    </row>
    <row r="240" ht="15.75" customHeight="1">
      <c r="A240" s="114" t="s">
        <v>979</v>
      </c>
      <c r="B240" s="165" t="s">
        <v>2156</v>
      </c>
      <c r="C240" s="76" t="s">
        <v>3120</v>
      </c>
      <c r="D240" s="76" t="s">
        <v>3122</v>
      </c>
      <c r="E240" s="117" t="s">
        <v>3124</v>
      </c>
      <c r="F240" s="76"/>
      <c r="G240" s="76"/>
      <c r="H240" s="76"/>
      <c r="I240" s="118"/>
      <c r="J240" s="120" t="s">
        <v>1837</v>
      </c>
      <c r="K240" s="118"/>
      <c r="L240" s="118"/>
      <c r="M240" s="118"/>
      <c r="N240" s="118"/>
      <c r="O240" s="118"/>
      <c r="P240" s="118"/>
      <c r="Q240" s="118" t="s">
        <v>184</v>
      </c>
      <c r="R240" s="118"/>
      <c r="S240" s="118"/>
      <c r="T240" s="118"/>
      <c r="U240" s="118"/>
      <c r="V240" s="118"/>
      <c r="W240" s="118"/>
      <c r="X240" s="118"/>
      <c r="Y240" s="118"/>
      <c r="Z240" s="118"/>
      <c r="AA240" s="118"/>
      <c r="AB240" s="118"/>
      <c r="AC240" s="118"/>
      <c r="AD240" s="97"/>
      <c r="AE240" s="97"/>
      <c r="AF240" s="97"/>
      <c r="AG240" s="97"/>
      <c r="AH240" s="97"/>
      <c r="AI240" s="97"/>
      <c r="AJ240" s="97"/>
      <c r="AK240" s="97"/>
      <c r="AL240" s="97"/>
      <c r="AM240" s="97"/>
      <c r="AN240" s="97"/>
      <c r="AO240" s="97"/>
      <c r="AP240" s="97"/>
      <c r="AQ240" s="97"/>
      <c r="AR240" s="97"/>
      <c r="AS240" s="97"/>
      <c r="AT240" s="97"/>
      <c r="AU240" s="97"/>
      <c r="AV240" s="97"/>
      <c r="AW240" s="97"/>
      <c r="AX240" s="97"/>
    </row>
    <row r="241" ht="15.75" customHeight="1">
      <c r="A241" s="153" t="s">
        <v>343</v>
      </c>
      <c r="B241" s="154" t="s">
        <v>3052</v>
      </c>
      <c r="C241" s="76"/>
      <c r="D241" s="76"/>
      <c r="E241" s="117"/>
      <c r="F241" s="76"/>
      <c r="G241" s="76"/>
      <c r="H241" s="76"/>
      <c r="I241" s="176"/>
      <c r="J241" s="86"/>
      <c r="K241" s="176"/>
      <c r="L241" s="176"/>
      <c r="M241" s="176"/>
      <c r="N241" s="176"/>
      <c r="O241" s="153"/>
      <c r="P241" s="176"/>
      <c r="Q241" s="176"/>
      <c r="R241" s="176"/>
      <c r="S241" s="176"/>
      <c r="T241" s="176"/>
      <c r="U241" s="176"/>
      <c r="V241" s="176"/>
      <c r="W241" s="176"/>
      <c r="X241" s="176"/>
      <c r="Y241" s="176"/>
      <c r="Z241" s="176"/>
      <c r="AA241" s="176"/>
      <c r="AB241" s="176"/>
      <c r="AC241" s="176"/>
      <c r="AD241" s="97"/>
      <c r="AE241" s="97"/>
      <c r="AF241" s="97"/>
      <c r="AG241" s="97"/>
      <c r="AH241" s="97"/>
      <c r="AI241" s="97"/>
      <c r="AJ241" s="97"/>
      <c r="AK241" s="97"/>
      <c r="AL241" s="97"/>
      <c r="AM241" s="97"/>
      <c r="AN241" s="97"/>
      <c r="AO241" s="97"/>
      <c r="AP241" s="97"/>
      <c r="AQ241" s="97"/>
      <c r="AR241" s="97"/>
      <c r="AS241" s="97"/>
      <c r="AT241" s="97"/>
      <c r="AU241" s="97"/>
      <c r="AV241" s="97"/>
      <c r="AW241" s="97"/>
      <c r="AX241" s="97"/>
    </row>
    <row r="242" ht="15.75" customHeight="1">
      <c r="A242" s="114" t="s">
        <v>541</v>
      </c>
      <c r="B242" s="165" t="s">
        <v>2173</v>
      </c>
      <c r="C242" s="76" t="s">
        <v>3155</v>
      </c>
      <c r="D242" s="76" t="s">
        <v>3156</v>
      </c>
      <c r="E242" s="117" t="s">
        <v>3158</v>
      </c>
      <c r="F242" s="76"/>
      <c r="G242" s="76"/>
      <c r="H242" s="76"/>
      <c r="I242" s="120"/>
      <c r="J242" s="120"/>
      <c r="K242" s="118"/>
      <c r="L242" s="118"/>
      <c r="M242" s="118"/>
      <c r="N242" s="118"/>
      <c r="O242" s="118"/>
      <c r="P242" s="118"/>
      <c r="Q242" s="121" t="s">
        <v>184</v>
      </c>
      <c r="R242" s="118"/>
      <c r="S242" s="118"/>
      <c r="T242" s="118"/>
      <c r="U242" s="118"/>
      <c r="V242" s="118"/>
      <c r="W242" s="118"/>
      <c r="X242" s="118"/>
      <c r="Y242" s="118"/>
      <c r="Z242" s="118"/>
      <c r="AA242" s="118"/>
      <c r="AB242" s="118"/>
      <c r="AC242" s="118"/>
      <c r="AD242" s="97"/>
      <c r="AE242" s="97"/>
      <c r="AF242" s="97"/>
      <c r="AG242" s="97"/>
      <c r="AH242" s="97"/>
      <c r="AI242" s="97"/>
      <c r="AJ242" s="97"/>
      <c r="AK242" s="97"/>
      <c r="AL242" s="97"/>
      <c r="AM242" s="97"/>
      <c r="AN242" s="97"/>
      <c r="AO242" s="97"/>
      <c r="AP242" s="97"/>
      <c r="AQ242" s="97"/>
      <c r="AR242" s="97"/>
      <c r="AS242" s="97"/>
      <c r="AT242" s="97"/>
      <c r="AU242" s="97"/>
      <c r="AV242" s="97"/>
      <c r="AW242" s="97"/>
      <c r="AX242" s="97"/>
    </row>
    <row r="243" ht="15.75" customHeight="1">
      <c r="A243" s="152" t="s">
        <v>44</v>
      </c>
      <c r="B243" s="77" t="s">
        <v>2184</v>
      </c>
      <c r="C243" s="76" t="s">
        <v>3166</v>
      </c>
      <c r="D243" s="76" t="s">
        <v>3167</v>
      </c>
      <c r="E243" s="117" t="s">
        <v>3168</v>
      </c>
      <c r="F243" s="76"/>
      <c r="G243" s="76"/>
      <c r="H243" s="76"/>
      <c r="I243" s="176"/>
      <c r="J243" s="86"/>
      <c r="K243" s="176"/>
      <c r="L243" s="176"/>
      <c r="M243" s="176"/>
      <c r="N243" s="176"/>
      <c r="O243" s="153" t="s">
        <v>3169</v>
      </c>
      <c r="P243" s="176"/>
      <c r="Q243" s="176"/>
      <c r="R243" s="176"/>
      <c r="S243" s="176"/>
      <c r="T243" s="176"/>
      <c r="U243" s="176"/>
      <c r="V243" s="176"/>
      <c r="W243" s="176"/>
      <c r="X243" s="176"/>
      <c r="Y243" s="176"/>
      <c r="Z243" s="176"/>
      <c r="AA243" s="176"/>
      <c r="AB243" s="176"/>
      <c r="AC243" s="176"/>
      <c r="AD243" s="97"/>
      <c r="AE243" s="97"/>
      <c r="AF243" s="97"/>
      <c r="AG243" s="97"/>
      <c r="AH243" s="97"/>
      <c r="AI243" s="97"/>
      <c r="AJ243" s="97"/>
      <c r="AK243" s="97"/>
      <c r="AL243" s="97"/>
      <c r="AM243" s="97"/>
      <c r="AN243" s="97"/>
      <c r="AO243" s="97"/>
      <c r="AP243" s="97"/>
      <c r="AQ243" s="97"/>
      <c r="AR243" s="97"/>
      <c r="AS243" s="97"/>
      <c r="AT243" s="97"/>
      <c r="AU243" s="97"/>
      <c r="AV243" s="97"/>
      <c r="AW243" s="97"/>
      <c r="AX243" s="97"/>
    </row>
    <row r="244" ht="15.75" customHeight="1">
      <c r="A244" s="114" t="s">
        <v>979</v>
      </c>
      <c r="B244" s="165" t="s">
        <v>2187</v>
      </c>
      <c r="C244" s="76" t="s">
        <v>3183</v>
      </c>
      <c r="D244" s="76" t="s">
        <v>3184</v>
      </c>
      <c r="E244" s="117" t="s">
        <v>3185</v>
      </c>
      <c r="F244" s="76"/>
      <c r="G244" s="76"/>
      <c r="H244" s="76"/>
      <c r="I244" s="118"/>
      <c r="J244" s="120"/>
      <c r="K244" s="118"/>
      <c r="L244" s="118"/>
      <c r="M244" s="118"/>
      <c r="N244" s="118"/>
      <c r="O244" s="153" t="s">
        <v>3169</v>
      </c>
      <c r="P244" s="118"/>
      <c r="Q244" s="118" t="s">
        <v>184</v>
      </c>
      <c r="R244" s="118"/>
      <c r="S244" s="118"/>
      <c r="T244" s="118"/>
      <c r="U244" s="118"/>
      <c r="V244" s="118"/>
      <c r="W244" s="118"/>
      <c r="X244" s="118"/>
      <c r="Y244" s="118"/>
      <c r="Z244" s="118"/>
      <c r="AA244" s="118"/>
      <c r="AB244" s="118"/>
      <c r="AC244" s="118"/>
      <c r="AD244" s="97"/>
      <c r="AE244" s="97"/>
      <c r="AF244" s="97"/>
      <c r="AG244" s="97"/>
      <c r="AH244" s="97"/>
      <c r="AI244" s="97"/>
      <c r="AJ244" s="97"/>
      <c r="AK244" s="97"/>
      <c r="AL244" s="97"/>
      <c r="AM244" s="97"/>
      <c r="AN244" s="97"/>
      <c r="AO244" s="97"/>
      <c r="AP244" s="97"/>
      <c r="AQ244" s="97"/>
      <c r="AR244" s="97"/>
      <c r="AS244" s="97"/>
      <c r="AT244" s="97"/>
      <c r="AU244" s="97"/>
      <c r="AV244" s="97"/>
      <c r="AW244" s="97"/>
      <c r="AX244" s="97"/>
    </row>
    <row r="245" ht="15.75" customHeight="1">
      <c r="A245" s="114" t="s">
        <v>979</v>
      </c>
      <c r="B245" s="165" t="s">
        <v>2188</v>
      </c>
      <c r="C245" s="76" t="s">
        <v>3191</v>
      </c>
      <c r="D245" s="76" t="s">
        <v>3192</v>
      </c>
      <c r="E245" s="117" t="s">
        <v>3194</v>
      </c>
      <c r="F245" s="76"/>
      <c r="G245" s="76"/>
      <c r="H245" s="76"/>
      <c r="I245" s="118"/>
      <c r="J245" s="120"/>
      <c r="K245" s="118"/>
      <c r="L245" s="118"/>
      <c r="M245" s="118"/>
      <c r="N245" s="118"/>
      <c r="O245" s="153" t="s">
        <v>3169</v>
      </c>
      <c r="P245" s="118"/>
      <c r="Q245" s="118" t="s">
        <v>184</v>
      </c>
      <c r="R245" s="118"/>
      <c r="S245" s="118"/>
      <c r="T245" s="118"/>
      <c r="U245" s="118"/>
      <c r="V245" s="118"/>
      <c r="W245" s="118"/>
      <c r="X245" s="118"/>
      <c r="Y245" s="118"/>
      <c r="Z245" s="118"/>
      <c r="AA245" s="118"/>
      <c r="AB245" s="118"/>
      <c r="AC245" s="118"/>
      <c r="AD245" s="97"/>
      <c r="AE245" s="97"/>
      <c r="AF245" s="97"/>
      <c r="AG245" s="97"/>
      <c r="AH245" s="97"/>
      <c r="AI245" s="97"/>
      <c r="AJ245" s="97"/>
      <c r="AK245" s="97"/>
      <c r="AL245" s="97"/>
      <c r="AM245" s="97"/>
      <c r="AN245" s="97"/>
      <c r="AO245" s="97"/>
      <c r="AP245" s="97"/>
      <c r="AQ245" s="97"/>
      <c r="AR245" s="97"/>
      <c r="AS245" s="97"/>
      <c r="AT245" s="97"/>
      <c r="AU245" s="97"/>
      <c r="AV245" s="97"/>
      <c r="AW245" s="97"/>
      <c r="AX245" s="97"/>
    </row>
    <row r="246" ht="15.75" customHeight="1">
      <c r="A246" s="114" t="s">
        <v>979</v>
      </c>
      <c r="B246" s="165" t="s">
        <v>2235</v>
      </c>
      <c r="C246" s="76" t="s">
        <v>3207</v>
      </c>
      <c r="D246" s="76" t="s">
        <v>3209</v>
      </c>
      <c r="E246" s="117" t="s">
        <v>3213</v>
      </c>
      <c r="F246" s="76"/>
      <c r="G246" s="76"/>
      <c r="H246" s="76"/>
      <c r="I246" s="118"/>
      <c r="J246" s="120"/>
      <c r="K246" s="118"/>
      <c r="L246" s="118"/>
      <c r="M246" s="118"/>
      <c r="N246" s="118"/>
      <c r="O246" s="153" t="s">
        <v>3169</v>
      </c>
      <c r="P246" s="118"/>
      <c r="Q246" s="118" t="s">
        <v>184</v>
      </c>
      <c r="R246" s="118"/>
      <c r="S246" s="118"/>
      <c r="T246" s="118"/>
      <c r="U246" s="118"/>
      <c r="V246" s="118"/>
      <c r="W246" s="118"/>
      <c r="X246" s="118"/>
      <c r="Y246" s="118"/>
      <c r="Z246" s="118"/>
      <c r="AA246" s="118"/>
      <c r="AB246" s="118"/>
      <c r="AC246" s="118"/>
      <c r="AD246" s="97"/>
      <c r="AE246" s="97"/>
      <c r="AF246" s="97"/>
      <c r="AG246" s="97"/>
      <c r="AH246" s="97"/>
      <c r="AI246" s="97"/>
      <c r="AJ246" s="97"/>
      <c r="AK246" s="97"/>
      <c r="AL246" s="97"/>
      <c r="AM246" s="97"/>
      <c r="AN246" s="97"/>
      <c r="AO246" s="97"/>
      <c r="AP246" s="97"/>
      <c r="AQ246" s="97"/>
      <c r="AR246" s="97"/>
      <c r="AS246" s="97"/>
      <c r="AT246" s="97"/>
      <c r="AU246" s="97"/>
      <c r="AV246" s="97"/>
      <c r="AW246" s="97"/>
      <c r="AX246" s="97"/>
    </row>
    <row r="247" ht="15.75" customHeight="1">
      <c r="A247" s="114" t="s">
        <v>979</v>
      </c>
      <c r="B247" s="165" t="s">
        <v>2256</v>
      </c>
      <c r="C247" s="76" t="s">
        <v>3224</v>
      </c>
      <c r="D247" s="76" t="s">
        <v>3226</v>
      </c>
      <c r="E247" s="117" t="s">
        <v>3227</v>
      </c>
      <c r="F247" s="76"/>
      <c r="G247" s="76"/>
      <c r="H247" s="76"/>
      <c r="I247" s="118"/>
      <c r="J247" s="120"/>
      <c r="K247" s="118"/>
      <c r="L247" s="118"/>
      <c r="M247" s="118"/>
      <c r="N247" s="118"/>
      <c r="O247" s="153" t="s">
        <v>3169</v>
      </c>
      <c r="P247" s="118"/>
      <c r="Q247" s="118" t="s">
        <v>184</v>
      </c>
      <c r="R247" s="118"/>
      <c r="S247" s="118"/>
      <c r="T247" s="118"/>
      <c r="U247" s="118"/>
      <c r="V247" s="118"/>
      <c r="W247" s="118"/>
      <c r="X247" s="118"/>
      <c r="Y247" s="118"/>
      <c r="Z247" s="118"/>
      <c r="AA247" s="118"/>
      <c r="AB247" s="118"/>
      <c r="AC247" s="118"/>
      <c r="AD247" s="97"/>
      <c r="AE247" s="97"/>
      <c r="AF247" s="97"/>
      <c r="AG247" s="97"/>
      <c r="AH247" s="97"/>
      <c r="AI247" s="97"/>
      <c r="AJ247" s="97"/>
      <c r="AK247" s="97"/>
      <c r="AL247" s="97"/>
      <c r="AM247" s="97"/>
      <c r="AN247" s="97"/>
      <c r="AO247" s="97"/>
      <c r="AP247" s="97"/>
      <c r="AQ247" s="97"/>
      <c r="AR247" s="97"/>
      <c r="AS247" s="97"/>
      <c r="AT247" s="97"/>
      <c r="AU247" s="97"/>
      <c r="AV247" s="97"/>
      <c r="AW247" s="97"/>
      <c r="AX247" s="97"/>
    </row>
    <row r="248" ht="15.75" customHeight="1">
      <c r="A248" s="114" t="s">
        <v>979</v>
      </c>
      <c r="B248" s="165" t="s">
        <v>2263</v>
      </c>
      <c r="C248" s="76" t="s">
        <v>3238</v>
      </c>
      <c r="D248" s="76" t="s">
        <v>3241</v>
      </c>
      <c r="E248" s="117" t="s">
        <v>3243</v>
      </c>
      <c r="F248" s="76"/>
      <c r="G248" s="76"/>
      <c r="H248" s="76"/>
      <c r="I248" s="118"/>
      <c r="J248" s="120"/>
      <c r="K248" s="118"/>
      <c r="L248" s="118"/>
      <c r="M248" s="118"/>
      <c r="N248" s="118"/>
      <c r="O248" s="153" t="s">
        <v>3169</v>
      </c>
      <c r="P248" s="118"/>
      <c r="Q248" s="118" t="s">
        <v>184</v>
      </c>
      <c r="R248" s="118"/>
      <c r="S248" s="118"/>
      <c r="T248" s="118"/>
      <c r="U248" s="118"/>
      <c r="V248" s="118"/>
      <c r="W248" s="118"/>
      <c r="X248" s="118"/>
      <c r="Y248" s="118"/>
      <c r="Z248" s="118"/>
      <c r="AA248" s="118"/>
      <c r="AB248" s="118"/>
      <c r="AC248" s="118"/>
      <c r="AD248" s="97"/>
      <c r="AE248" s="97"/>
      <c r="AF248" s="97"/>
      <c r="AG248" s="97"/>
      <c r="AH248" s="97"/>
      <c r="AI248" s="97"/>
      <c r="AJ248" s="97"/>
      <c r="AK248" s="97"/>
      <c r="AL248" s="97"/>
      <c r="AM248" s="97"/>
      <c r="AN248" s="97"/>
      <c r="AO248" s="97"/>
      <c r="AP248" s="97"/>
      <c r="AQ248" s="97"/>
      <c r="AR248" s="97"/>
      <c r="AS248" s="97"/>
      <c r="AT248" s="97"/>
      <c r="AU248" s="97"/>
      <c r="AV248" s="97"/>
      <c r="AW248" s="97"/>
      <c r="AX248" s="97"/>
    </row>
    <row r="249" ht="15.75" customHeight="1">
      <c r="A249" s="114" t="s">
        <v>979</v>
      </c>
      <c r="B249" s="165" t="s">
        <v>2267</v>
      </c>
      <c r="C249" s="76" t="s">
        <v>3263</v>
      </c>
      <c r="D249" s="76" t="s">
        <v>3264</v>
      </c>
      <c r="E249" s="117" t="s">
        <v>3265</v>
      </c>
      <c r="F249" s="76"/>
      <c r="G249" s="76"/>
      <c r="H249" s="76"/>
      <c r="I249" s="118"/>
      <c r="J249" s="120"/>
      <c r="K249" s="118"/>
      <c r="L249" s="118"/>
      <c r="M249" s="118"/>
      <c r="N249" s="118"/>
      <c r="O249" s="153" t="s">
        <v>3169</v>
      </c>
      <c r="P249" s="118"/>
      <c r="Q249" s="118" t="s">
        <v>184</v>
      </c>
      <c r="R249" s="118"/>
      <c r="S249" s="118"/>
      <c r="T249" s="118"/>
      <c r="U249" s="118"/>
      <c r="V249" s="118"/>
      <c r="W249" s="118"/>
      <c r="X249" s="118"/>
      <c r="Y249" s="118"/>
      <c r="Z249" s="118"/>
      <c r="AA249" s="118"/>
      <c r="AB249" s="118"/>
      <c r="AC249" s="118"/>
      <c r="AD249" s="97"/>
      <c r="AE249" s="97"/>
      <c r="AF249" s="97"/>
      <c r="AG249" s="97"/>
      <c r="AH249" s="97"/>
      <c r="AI249" s="97"/>
      <c r="AJ249" s="97"/>
      <c r="AK249" s="97"/>
      <c r="AL249" s="97"/>
      <c r="AM249" s="97"/>
      <c r="AN249" s="97"/>
      <c r="AO249" s="97"/>
      <c r="AP249" s="97"/>
      <c r="AQ249" s="97"/>
      <c r="AR249" s="97"/>
      <c r="AS249" s="97"/>
      <c r="AT249" s="97"/>
      <c r="AU249" s="97"/>
      <c r="AV249" s="97"/>
      <c r="AW249" s="97"/>
      <c r="AX249" s="97"/>
    </row>
    <row r="250" ht="15.75" customHeight="1">
      <c r="A250" s="114" t="s">
        <v>979</v>
      </c>
      <c r="B250" s="165" t="s">
        <v>2277</v>
      </c>
      <c r="C250" s="76" t="s">
        <v>3288</v>
      </c>
      <c r="D250" s="76" t="s">
        <v>3290</v>
      </c>
      <c r="E250" s="117" t="s">
        <v>3292</v>
      </c>
      <c r="F250" s="76"/>
      <c r="G250" s="76"/>
      <c r="H250" s="76"/>
      <c r="I250" s="118"/>
      <c r="J250" s="120"/>
      <c r="K250" s="118"/>
      <c r="L250" s="118"/>
      <c r="M250" s="118"/>
      <c r="N250" s="118"/>
      <c r="O250" s="153" t="s">
        <v>3169</v>
      </c>
      <c r="P250" s="118"/>
      <c r="Q250" s="118" t="s">
        <v>184</v>
      </c>
      <c r="R250" s="118"/>
      <c r="S250" s="118"/>
      <c r="T250" s="118"/>
      <c r="U250" s="118"/>
      <c r="V250" s="118"/>
      <c r="W250" s="118"/>
      <c r="X250" s="118"/>
      <c r="Y250" s="118"/>
      <c r="Z250" s="118"/>
      <c r="AA250" s="118"/>
      <c r="AB250" s="118"/>
      <c r="AC250" s="118"/>
      <c r="AD250" s="97"/>
      <c r="AE250" s="97"/>
      <c r="AF250" s="97"/>
      <c r="AG250" s="97"/>
      <c r="AH250" s="97"/>
      <c r="AI250" s="97"/>
      <c r="AJ250" s="97"/>
      <c r="AK250" s="97"/>
      <c r="AL250" s="97"/>
      <c r="AM250" s="97"/>
      <c r="AN250" s="97"/>
      <c r="AO250" s="97"/>
      <c r="AP250" s="97"/>
      <c r="AQ250" s="97"/>
      <c r="AR250" s="97"/>
      <c r="AS250" s="97"/>
      <c r="AT250" s="97"/>
      <c r="AU250" s="97"/>
      <c r="AV250" s="97"/>
      <c r="AW250" s="97"/>
      <c r="AX250" s="97"/>
    </row>
    <row r="251" ht="15.75" customHeight="1">
      <c r="A251" s="152" t="s">
        <v>44</v>
      </c>
      <c r="B251" s="77" t="s">
        <v>2292</v>
      </c>
      <c r="C251" s="76" t="s">
        <v>3315</v>
      </c>
      <c r="D251" s="76" t="s">
        <v>3317</v>
      </c>
      <c r="E251" s="117" t="s">
        <v>3318</v>
      </c>
      <c r="F251" s="76" t="s">
        <v>3319</v>
      </c>
      <c r="G251" s="76" t="s">
        <v>3320</v>
      </c>
      <c r="H251" s="76" t="s">
        <v>3321</v>
      </c>
      <c r="I251" s="176"/>
      <c r="J251" s="86"/>
      <c r="K251" s="176"/>
      <c r="L251" s="176"/>
      <c r="M251" s="176"/>
      <c r="N251" s="176"/>
      <c r="O251" s="153"/>
      <c r="P251" s="176"/>
      <c r="Q251" s="176"/>
      <c r="R251" s="176"/>
      <c r="S251" s="176"/>
      <c r="T251" s="176"/>
      <c r="U251" s="176"/>
      <c r="V251" s="176"/>
      <c r="W251" s="176"/>
      <c r="X251" s="176"/>
      <c r="Y251" s="176"/>
      <c r="Z251" s="176"/>
      <c r="AA251" s="176"/>
      <c r="AB251" s="176"/>
      <c r="AC251" s="176"/>
      <c r="AD251" s="97"/>
      <c r="AE251" s="97"/>
      <c r="AF251" s="97"/>
      <c r="AG251" s="97"/>
      <c r="AH251" s="97"/>
      <c r="AI251" s="97"/>
      <c r="AJ251" s="97"/>
      <c r="AK251" s="97"/>
      <c r="AL251" s="97"/>
      <c r="AM251" s="97"/>
      <c r="AN251" s="97"/>
      <c r="AO251" s="97"/>
      <c r="AP251" s="97"/>
      <c r="AQ251" s="97"/>
      <c r="AR251" s="97"/>
      <c r="AS251" s="97"/>
      <c r="AT251" s="97"/>
      <c r="AU251" s="97"/>
      <c r="AV251" s="97"/>
      <c r="AW251" s="97"/>
      <c r="AX251" s="97"/>
    </row>
    <row r="252" ht="15.75" customHeight="1">
      <c r="A252" s="114" t="s">
        <v>1041</v>
      </c>
      <c r="B252" s="165" t="s">
        <v>2299</v>
      </c>
      <c r="C252" s="76" t="s">
        <v>3335</v>
      </c>
      <c r="D252" s="76" t="s">
        <v>3337</v>
      </c>
      <c r="E252" s="117" t="s">
        <v>3340</v>
      </c>
      <c r="F252" s="76"/>
      <c r="G252" s="76"/>
      <c r="H252" s="76"/>
      <c r="I252" s="118"/>
      <c r="J252" s="120"/>
      <c r="K252" s="118"/>
      <c r="L252" s="118"/>
      <c r="M252" s="118"/>
      <c r="N252" s="118"/>
      <c r="O252" s="118"/>
      <c r="P252" s="118"/>
      <c r="Q252" s="118" t="s">
        <v>184</v>
      </c>
      <c r="R252" s="118"/>
      <c r="S252" s="118"/>
      <c r="T252" s="118"/>
      <c r="U252" s="118"/>
      <c r="V252" s="118"/>
      <c r="W252" s="118"/>
      <c r="X252" s="118"/>
      <c r="Y252" s="118"/>
      <c r="Z252" s="118"/>
      <c r="AA252" s="118"/>
      <c r="AB252" s="118"/>
      <c r="AC252" s="118"/>
      <c r="AD252" s="97"/>
      <c r="AE252" s="97"/>
      <c r="AF252" s="97"/>
      <c r="AG252" s="97"/>
      <c r="AH252" s="97"/>
      <c r="AI252" s="97"/>
      <c r="AJ252" s="97"/>
      <c r="AK252" s="97"/>
      <c r="AL252" s="97"/>
      <c r="AM252" s="97"/>
      <c r="AN252" s="97"/>
      <c r="AO252" s="97"/>
      <c r="AP252" s="97"/>
      <c r="AQ252" s="97"/>
      <c r="AR252" s="97"/>
      <c r="AS252" s="97"/>
      <c r="AT252" s="97"/>
      <c r="AU252" s="97"/>
      <c r="AV252" s="97"/>
      <c r="AW252" s="97"/>
      <c r="AX252" s="97"/>
    </row>
    <row r="253" ht="15.75" customHeight="1">
      <c r="A253" s="114" t="s">
        <v>1041</v>
      </c>
      <c r="B253" s="165" t="s">
        <v>2306</v>
      </c>
      <c r="C253" s="76" t="s">
        <v>3354</v>
      </c>
      <c r="D253" s="76" t="s">
        <v>3357</v>
      </c>
      <c r="E253" s="117" t="s">
        <v>3359</v>
      </c>
      <c r="F253" s="76"/>
      <c r="G253" s="76"/>
      <c r="H253" s="76"/>
      <c r="I253" s="118"/>
      <c r="J253" s="120"/>
      <c r="K253" s="118"/>
      <c r="L253" s="118"/>
      <c r="M253" s="118"/>
      <c r="N253" s="118"/>
      <c r="O253" s="118"/>
      <c r="P253" s="118"/>
      <c r="Q253" s="118" t="s">
        <v>184</v>
      </c>
      <c r="R253" s="118"/>
      <c r="S253" s="118"/>
      <c r="T253" s="118"/>
      <c r="U253" s="118"/>
      <c r="V253" s="118"/>
      <c r="W253" s="118"/>
      <c r="X253" s="118"/>
      <c r="Y253" s="118"/>
      <c r="Z253" s="118"/>
      <c r="AA253" s="118"/>
      <c r="AB253" s="118"/>
      <c r="AC253" s="118"/>
      <c r="AD253" s="97"/>
      <c r="AE253" s="97"/>
      <c r="AF253" s="97"/>
      <c r="AG253" s="97"/>
      <c r="AH253" s="97"/>
      <c r="AI253" s="97"/>
      <c r="AJ253" s="97"/>
      <c r="AK253" s="97"/>
      <c r="AL253" s="97"/>
      <c r="AM253" s="97"/>
      <c r="AN253" s="97"/>
      <c r="AO253" s="97"/>
      <c r="AP253" s="97"/>
      <c r="AQ253" s="97"/>
      <c r="AR253" s="97"/>
      <c r="AS253" s="97"/>
      <c r="AT253" s="97"/>
      <c r="AU253" s="97"/>
      <c r="AV253" s="97"/>
      <c r="AW253" s="97"/>
      <c r="AX253" s="97"/>
    </row>
    <row r="254" ht="15.75" customHeight="1">
      <c r="A254" s="114" t="s">
        <v>1041</v>
      </c>
      <c r="B254" s="165" t="s">
        <v>2328</v>
      </c>
      <c r="C254" s="76" t="s">
        <v>3373</v>
      </c>
      <c r="D254" s="76" t="s">
        <v>3374</v>
      </c>
      <c r="E254" s="117" t="s">
        <v>3375</v>
      </c>
      <c r="F254" s="76"/>
      <c r="G254" s="76"/>
      <c r="H254" s="76"/>
      <c r="I254" s="118"/>
      <c r="J254" s="120"/>
      <c r="K254" s="118"/>
      <c r="L254" s="118"/>
      <c r="M254" s="118"/>
      <c r="N254" s="118"/>
      <c r="O254" s="118"/>
      <c r="P254" s="118"/>
      <c r="Q254" s="118" t="s">
        <v>184</v>
      </c>
      <c r="R254" s="118"/>
      <c r="S254" s="118"/>
      <c r="T254" s="118"/>
      <c r="U254" s="118"/>
      <c r="V254" s="118"/>
      <c r="W254" s="118"/>
      <c r="X254" s="118"/>
      <c r="Y254" s="118"/>
      <c r="Z254" s="118"/>
      <c r="AA254" s="118"/>
      <c r="AB254" s="118"/>
      <c r="AC254" s="118"/>
      <c r="AD254" s="97"/>
      <c r="AE254" s="97"/>
      <c r="AF254" s="97"/>
      <c r="AG254" s="97"/>
      <c r="AH254" s="97"/>
      <c r="AI254" s="97"/>
      <c r="AJ254" s="97"/>
      <c r="AK254" s="97"/>
      <c r="AL254" s="97"/>
      <c r="AM254" s="97"/>
      <c r="AN254" s="97"/>
      <c r="AO254" s="97"/>
      <c r="AP254" s="97"/>
      <c r="AQ254" s="97"/>
      <c r="AR254" s="97"/>
      <c r="AS254" s="97"/>
      <c r="AT254" s="97"/>
      <c r="AU254" s="97"/>
      <c r="AV254" s="97"/>
      <c r="AW254" s="97"/>
      <c r="AX254" s="97"/>
    </row>
    <row r="255" ht="15.75" customHeight="1">
      <c r="A255" s="114" t="s">
        <v>2338</v>
      </c>
      <c r="B255" s="165" t="s">
        <v>2339</v>
      </c>
      <c r="C255" s="76" t="s">
        <v>3381</v>
      </c>
      <c r="D255" s="76" t="s">
        <v>3382</v>
      </c>
      <c r="E255" s="117" t="s">
        <v>3386</v>
      </c>
      <c r="F255" s="76" t="s">
        <v>1746</v>
      </c>
      <c r="G255" s="76" t="s">
        <v>1747</v>
      </c>
      <c r="H255" s="76" t="s">
        <v>1748</v>
      </c>
      <c r="I255" s="118"/>
      <c r="J255" s="120"/>
      <c r="K255" s="118"/>
      <c r="L255" s="118"/>
      <c r="M255" s="118"/>
      <c r="N255" s="118"/>
      <c r="O255" s="118"/>
      <c r="P255" s="118"/>
      <c r="Q255" s="118" t="s">
        <v>184</v>
      </c>
      <c r="R255" s="118"/>
      <c r="S255" s="118"/>
      <c r="T255" s="118"/>
      <c r="U255" s="118"/>
      <c r="V255" s="118"/>
      <c r="W255" s="118"/>
      <c r="X255" s="118"/>
      <c r="Y255" s="118"/>
      <c r="Z255" s="118"/>
      <c r="AA255" s="118"/>
      <c r="AB255" s="118"/>
      <c r="AC255" s="118"/>
      <c r="AD255" s="97"/>
      <c r="AE255" s="97"/>
      <c r="AF255" s="97"/>
      <c r="AG255" s="97"/>
      <c r="AH255" s="97"/>
      <c r="AI255" s="97"/>
      <c r="AJ255" s="97"/>
      <c r="AK255" s="97"/>
      <c r="AL255" s="97"/>
      <c r="AM255" s="97"/>
      <c r="AN255" s="97"/>
      <c r="AO255" s="97"/>
      <c r="AP255" s="97"/>
      <c r="AQ255" s="97"/>
      <c r="AR255" s="97"/>
      <c r="AS255" s="97"/>
      <c r="AT255" s="97"/>
      <c r="AU255" s="97"/>
      <c r="AV255" s="97"/>
      <c r="AW255" s="97"/>
      <c r="AX255" s="97"/>
    </row>
    <row r="256" ht="15.75" customHeight="1">
      <c r="A256" s="162" t="s">
        <v>217</v>
      </c>
      <c r="B256" s="166" t="s">
        <v>2347</v>
      </c>
      <c r="C256" s="76" t="s">
        <v>3402</v>
      </c>
      <c r="D256" s="76" t="s">
        <v>3403</v>
      </c>
      <c r="E256" s="117" t="s">
        <v>3404</v>
      </c>
      <c r="F256" s="76"/>
      <c r="G256" s="76"/>
      <c r="H256" s="76"/>
      <c r="I256" s="182"/>
      <c r="J256" s="120"/>
      <c r="K256" s="182"/>
      <c r="L256" s="182"/>
      <c r="M256" s="182"/>
      <c r="N256" s="182"/>
      <c r="O256" s="184" t="s">
        <v>3406</v>
      </c>
      <c r="P256" s="182"/>
      <c r="Q256" s="182" t="s">
        <v>184</v>
      </c>
      <c r="R256" s="182"/>
      <c r="S256" s="182"/>
      <c r="T256" s="182"/>
      <c r="U256" s="182"/>
      <c r="V256" s="182"/>
      <c r="W256" s="182"/>
      <c r="X256" s="182"/>
      <c r="Y256" s="182"/>
      <c r="Z256" s="182"/>
      <c r="AA256" s="182"/>
      <c r="AB256" s="182"/>
      <c r="AC256" s="182"/>
      <c r="AD256" s="97"/>
      <c r="AE256" s="97"/>
      <c r="AF256" s="97"/>
      <c r="AG256" s="97"/>
      <c r="AH256" s="97"/>
      <c r="AI256" s="97"/>
      <c r="AJ256" s="97"/>
      <c r="AK256" s="97"/>
      <c r="AL256" s="97"/>
      <c r="AM256" s="97"/>
      <c r="AN256" s="97"/>
      <c r="AO256" s="97"/>
      <c r="AP256" s="97"/>
      <c r="AQ256" s="97"/>
      <c r="AR256" s="97"/>
      <c r="AS256" s="97"/>
      <c r="AT256" s="97"/>
      <c r="AU256" s="97"/>
      <c r="AV256" s="97"/>
      <c r="AW256" s="97"/>
      <c r="AX256" s="97"/>
    </row>
    <row r="257" ht="15.75" customHeight="1">
      <c r="A257" s="152" t="s">
        <v>44</v>
      </c>
      <c r="B257" s="77" t="s">
        <v>2351</v>
      </c>
      <c r="C257" s="76" t="s">
        <v>3416</v>
      </c>
      <c r="D257" s="76" t="s">
        <v>3417</v>
      </c>
      <c r="E257" s="117" t="s">
        <v>3418</v>
      </c>
      <c r="F257" s="76"/>
      <c r="G257" s="76"/>
      <c r="H257" s="76"/>
      <c r="I257" s="176"/>
      <c r="J257" s="120"/>
      <c r="K257" s="176"/>
      <c r="L257" s="176"/>
      <c r="M257" s="176"/>
      <c r="N257" s="176"/>
      <c r="O257" s="176"/>
      <c r="P257" s="176"/>
      <c r="Q257" s="176"/>
      <c r="R257" s="176"/>
      <c r="S257" s="176"/>
      <c r="T257" s="176"/>
      <c r="U257" s="176"/>
      <c r="V257" s="176"/>
      <c r="W257" s="176"/>
      <c r="X257" s="176"/>
      <c r="Y257" s="176"/>
      <c r="Z257" s="176"/>
      <c r="AA257" s="176"/>
      <c r="AB257" s="176"/>
      <c r="AC257" s="176"/>
      <c r="AD257" s="97"/>
      <c r="AE257" s="97"/>
      <c r="AF257" s="97"/>
      <c r="AG257" s="97"/>
      <c r="AH257" s="97"/>
      <c r="AI257" s="97"/>
      <c r="AJ257" s="97"/>
      <c r="AK257" s="97"/>
      <c r="AL257" s="97"/>
      <c r="AM257" s="97"/>
      <c r="AN257" s="97"/>
      <c r="AO257" s="97"/>
      <c r="AP257" s="97"/>
      <c r="AQ257" s="97"/>
      <c r="AR257" s="97"/>
      <c r="AS257" s="97"/>
      <c r="AT257" s="97"/>
      <c r="AU257" s="97"/>
      <c r="AV257" s="97"/>
      <c r="AW257" s="97"/>
      <c r="AX257" s="97"/>
    </row>
    <row r="258" ht="15.75" customHeight="1">
      <c r="A258" s="114" t="s">
        <v>979</v>
      </c>
      <c r="B258" s="165" t="s">
        <v>2352</v>
      </c>
      <c r="C258" s="76" t="s">
        <v>3421</v>
      </c>
      <c r="D258" s="76" t="s">
        <v>3424</v>
      </c>
      <c r="E258" s="117" t="s">
        <v>3425</v>
      </c>
      <c r="F258" s="76"/>
      <c r="G258" s="76"/>
      <c r="H258" s="76"/>
      <c r="I258" s="118"/>
      <c r="J258" s="120"/>
      <c r="K258" s="118"/>
      <c r="L258" s="118"/>
      <c r="M258" s="118"/>
      <c r="N258" s="118"/>
      <c r="O258" s="118"/>
      <c r="P258" s="118"/>
      <c r="Q258" s="118" t="s">
        <v>184</v>
      </c>
      <c r="R258" s="118"/>
      <c r="S258" s="118"/>
      <c r="T258" s="118"/>
      <c r="U258" s="118"/>
      <c r="V258" s="118"/>
      <c r="W258" s="118"/>
      <c r="X258" s="118"/>
      <c r="Y258" s="118"/>
      <c r="Z258" s="118"/>
      <c r="AA258" s="118"/>
      <c r="AB258" s="118"/>
      <c r="AC258" s="118"/>
      <c r="AD258" s="97"/>
      <c r="AE258" s="97"/>
      <c r="AF258" s="97"/>
      <c r="AG258" s="97"/>
      <c r="AH258" s="97"/>
      <c r="AI258" s="97"/>
      <c r="AJ258" s="97"/>
      <c r="AK258" s="97"/>
      <c r="AL258" s="97"/>
      <c r="AM258" s="97"/>
      <c r="AN258" s="97"/>
      <c r="AO258" s="97"/>
      <c r="AP258" s="97"/>
      <c r="AQ258" s="97"/>
      <c r="AR258" s="97"/>
      <c r="AS258" s="97"/>
      <c r="AT258" s="97"/>
      <c r="AU258" s="97"/>
      <c r="AV258" s="97"/>
      <c r="AW258" s="97"/>
      <c r="AX258" s="97"/>
    </row>
    <row r="259" ht="15.75" customHeight="1">
      <c r="A259" s="152" t="s">
        <v>44</v>
      </c>
      <c r="B259" s="77" t="s">
        <v>2356</v>
      </c>
      <c r="C259" s="76" t="s">
        <v>3437</v>
      </c>
      <c r="D259" s="76" t="s">
        <v>3440</v>
      </c>
      <c r="E259" s="117" t="s">
        <v>3443</v>
      </c>
      <c r="F259" s="76"/>
      <c r="G259" s="76"/>
      <c r="H259" s="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97"/>
      <c r="AE259" s="97"/>
      <c r="AF259" s="97"/>
      <c r="AG259" s="97"/>
      <c r="AH259" s="97"/>
      <c r="AI259" s="97"/>
      <c r="AJ259" s="97"/>
      <c r="AK259" s="97"/>
      <c r="AL259" s="97"/>
      <c r="AM259" s="97"/>
      <c r="AN259" s="97"/>
      <c r="AO259" s="97"/>
      <c r="AP259" s="97"/>
      <c r="AQ259" s="97"/>
      <c r="AR259" s="97"/>
      <c r="AS259" s="97"/>
      <c r="AT259" s="97"/>
      <c r="AU259" s="97"/>
      <c r="AV259" s="97"/>
      <c r="AW259" s="97"/>
      <c r="AX259" s="97"/>
    </row>
    <row r="260" ht="15.75" customHeight="1">
      <c r="A260" s="114" t="s">
        <v>2364</v>
      </c>
      <c r="B260" s="165" t="s">
        <v>2365</v>
      </c>
      <c r="C260" s="76" t="s">
        <v>3452</v>
      </c>
      <c r="D260" s="76" t="s">
        <v>3453</v>
      </c>
      <c r="E260" s="117" t="s">
        <v>3454</v>
      </c>
      <c r="F260" s="76"/>
      <c r="G260" s="76"/>
      <c r="H260" s="76"/>
      <c r="I260" s="118"/>
      <c r="J260" s="120"/>
      <c r="K260" s="118"/>
      <c r="L260" s="118"/>
      <c r="M260" s="118"/>
      <c r="N260" s="118"/>
      <c r="O260" s="118"/>
      <c r="P260" s="118"/>
      <c r="Q260" s="118" t="s">
        <v>184</v>
      </c>
      <c r="R260" s="118"/>
      <c r="S260" s="118"/>
      <c r="T260" s="118"/>
      <c r="U260" s="118"/>
      <c r="V260" s="118"/>
      <c r="W260" s="118"/>
      <c r="X260" s="118"/>
      <c r="Y260" s="118"/>
      <c r="Z260" s="118"/>
      <c r="AA260" s="118"/>
      <c r="AB260" s="118"/>
      <c r="AC260" s="118"/>
      <c r="AD260" s="97"/>
      <c r="AE260" s="97"/>
      <c r="AF260" s="97"/>
      <c r="AG260" s="97"/>
      <c r="AH260" s="97"/>
      <c r="AI260" s="97"/>
      <c r="AJ260" s="97"/>
      <c r="AK260" s="97"/>
      <c r="AL260" s="97"/>
      <c r="AM260" s="97"/>
      <c r="AN260" s="97"/>
      <c r="AO260" s="97"/>
      <c r="AP260" s="97"/>
      <c r="AQ260" s="97"/>
      <c r="AR260" s="97"/>
      <c r="AS260" s="97"/>
      <c r="AT260" s="97"/>
      <c r="AU260" s="97"/>
      <c r="AV260" s="97"/>
      <c r="AW260" s="97"/>
      <c r="AX260" s="97"/>
    </row>
    <row r="261" ht="15.75" customHeight="1">
      <c r="A261" s="114" t="s">
        <v>2364</v>
      </c>
      <c r="B261" s="165" t="s">
        <v>2433</v>
      </c>
      <c r="C261" s="76" t="s">
        <v>3458</v>
      </c>
      <c r="D261" s="76" t="s">
        <v>3459</v>
      </c>
      <c r="E261" s="117" t="s">
        <v>3460</v>
      </c>
      <c r="F261" s="76"/>
      <c r="G261" s="76"/>
      <c r="H261" s="76"/>
      <c r="I261" s="118"/>
      <c r="J261" s="120"/>
      <c r="K261" s="118"/>
      <c r="L261" s="118"/>
      <c r="M261" s="118"/>
      <c r="N261" s="118"/>
      <c r="O261" s="118"/>
      <c r="P261" s="118"/>
      <c r="Q261" s="118" t="s">
        <v>184</v>
      </c>
      <c r="R261" s="118"/>
      <c r="S261" s="118"/>
      <c r="T261" s="118"/>
      <c r="U261" s="118"/>
      <c r="V261" s="118"/>
      <c r="W261" s="118"/>
      <c r="X261" s="118"/>
      <c r="Y261" s="118"/>
      <c r="Z261" s="118"/>
      <c r="AA261" s="118"/>
      <c r="AB261" s="118"/>
      <c r="AC261" s="118"/>
      <c r="AD261" s="97"/>
      <c r="AE261" s="97"/>
      <c r="AF261" s="97"/>
      <c r="AG261" s="97"/>
      <c r="AH261" s="97"/>
      <c r="AI261" s="97"/>
      <c r="AJ261" s="97"/>
      <c r="AK261" s="97"/>
      <c r="AL261" s="97"/>
      <c r="AM261" s="97"/>
      <c r="AN261" s="97"/>
      <c r="AO261" s="97"/>
      <c r="AP261" s="97"/>
      <c r="AQ261" s="97"/>
      <c r="AR261" s="97"/>
      <c r="AS261" s="97"/>
      <c r="AT261" s="97"/>
      <c r="AU261" s="97"/>
      <c r="AV261" s="97"/>
      <c r="AW261" s="97"/>
      <c r="AX261" s="97"/>
    </row>
    <row r="262" ht="15.75" customHeight="1">
      <c r="A262" s="114" t="s">
        <v>2364</v>
      </c>
      <c r="B262" s="165" t="s">
        <v>2437</v>
      </c>
      <c r="C262" s="76" t="s">
        <v>3471</v>
      </c>
      <c r="D262" s="76" t="s">
        <v>3473</v>
      </c>
      <c r="E262" s="117" t="s">
        <v>3475</v>
      </c>
      <c r="F262" s="76"/>
      <c r="G262" s="76"/>
      <c r="H262" s="76"/>
      <c r="I262" s="118"/>
      <c r="J262" s="120"/>
      <c r="K262" s="118"/>
      <c r="L262" s="118"/>
      <c r="M262" s="118"/>
      <c r="N262" s="118"/>
      <c r="O262" s="118"/>
      <c r="P262" s="118"/>
      <c r="Q262" s="118" t="s">
        <v>184</v>
      </c>
      <c r="R262" s="118"/>
      <c r="S262" s="118"/>
      <c r="T262" s="118"/>
      <c r="U262" s="118"/>
      <c r="V262" s="118"/>
      <c r="W262" s="118"/>
      <c r="X262" s="118"/>
      <c r="Y262" s="118"/>
      <c r="Z262" s="118"/>
      <c r="AA262" s="118"/>
      <c r="AB262" s="118"/>
      <c r="AC262" s="118"/>
      <c r="AD262" s="97"/>
      <c r="AE262" s="97"/>
      <c r="AF262" s="97"/>
      <c r="AG262" s="97"/>
      <c r="AH262" s="97"/>
      <c r="AI262" s="97"/>
      <c r="AJ262" s="97"/>
      <c r="AK262" s="97"/>
      <c r="AL262" s="97"/>
      <c r="AM262" s="97"/>
      <c r="AN262" s="97"/>
      <c r="AO262" s="97"/>
      <c r="AP262" s="97"/>
      <c r="AQ262" s="97"/>
      <c r="AR262" s="97"/>
      <c r="AS262" s="97"/>
      <c r="AT262" s="97"/>
      <c r="AU262" s="97"/>
      <c r="AV262" s="97"/>
      <c r="AW262" s="97"/>
      <c r="AX262" s="97"/>
    </row>
    <row r="263" ht="15.75" customHeight="1">
      <c r="A263" s="114" t="s">
        <v>2364</v>
      </c>
      <c r="B263" s="165" t="s">
        <v>2438</v>
      </c>
      <c r="C263" s="76" t="s">
        <v>3485</v>
      </c>
      <c r="D263" s="76" t="s">
        <v>3489</v>
      </c>
      <c r="E263" s="117" t="s">
        <v>3490</v>
      </c>
      <c r="F263" s="76"/>
      <c r="G263" s="76"/>
      <c r="H263" s="76"/>
      <c r="I263" s="118"/>
      <c r="J263" s="120"/>
      <c r="K263" s="118"/>
      <c r="L263" s="118"/>
      <c r="M263" s="118"/>
      <c r="N263" s="118"/>
      <c r="O263" s="118"/>
      <c r="P263" s="118"/>
      <c r="Q263" s="118" t="s">
        <v>184</v>
      </c>
      <c r="R263" s="118"/>
      <c r="S263" s="118"/>
      <c r="T263" s="118"/>
      <c r="U263" s="118"/>
      <c r="V263" s="118"/>
      <c r="W263" s="118"/>
      <c r="X263" s="118"/>
      <c r="Y263" s="118"/>
      <c r="Z263" s="118"/>
      <c r="AA263" s="118"/>
      <c r="AB263" s="118"/>
      <c r="AC263" s="118"/>
      <c r="AD263" s="97"/>
      <c r="AE263" s="97"/>
      <c r="AF263" s="97"/>
      <c r="AG263" s="97"/>
      <c r="AH263" s="97"/>
      <c r="AI263" s="97"/>
      <c r="AJ263" s="97"/>
      <c r="AK263" s="97"/>
      <c r="AL263" s="97"/>
      <c r="AM263" s="97"/>
      <c r="AN263" s="97"/>
      <c r="AO263" s="97"/>
      <c r="AP263" s="97"/>
      <c r="AQ263" s="97"/>
      <c r="AR263" s="97"/>
      <c r="AS263" s="97"/>
      <c r="AT263" s="97"/>
      <c r="AU263" s="97"/>
      <c r="AV263" s="97"/>
      <c r="AW263" s="97"/>
      <c r="AX263" s="97"/>
    </row>
    <row r="264" ht="15.75" customHeight="1">
      <c r="A264" s="114" t="s">
        <v>2364</v>
      </c>
      <c r="B264" s="165" t="s">
        <v>2439</v>
      </c>
      <c r="C264" s="76" t="s">
        <v>3501</v>
      </c>
      <c r="D264" s="76" t="s">
        <v>3502</v>
      </c>
      <c r="E264" s="117" t="s">
        <v>3503</v>
      </c>
      <c r="F264" s="76"/>
      <c r="G264" s="76"/>
      <c r="H264" s="76"/>
      <c r="I264" s="118"/>
      <c r="J264" s="120"/>
      <c r="K264" s="118"/>
      <c r="L264" s="118"/>
      <c r="M264" s="118"/>
      <c r="N264" s="118"/>
      <c r="O264" s="118"/>
      <c r="P264" s="118"/>
      <c r="Q264" s="118" t="s">
        <v>184</v>
      </c>
      <c r="R264" s="118"/>
      <c r="S264" s="118"/>
      <c r="T264" s="118"/>
      <c r="U264" s="118"/>
      <c r="V264" s="118"/>
      <c r="W264" s="118"/>
      <c r="X264" s="118"/>
      <c r="Y264" s="118"/>
      <c r="Z264" s="118"/>
      <c r="AA264" s="118"/>
      <c r="AB264" s="118"/>
      <c r="AC264" s="118"/>
      <c r="AD264" s="97"/>
      <c r="AE264" s="97"/>
      <c r="AF264" s="97"/>
      <c r="AG264" s="97"/>
      <c r="AH264" s="97"/>
      <c r="AI264" s="97"/>
      <c r="AJ264" s="97"/>
      <c r="AK264" s="97"/>
      <c r="AL264" s="97"/>
      <c r="AM264" s="97"/>
      <c r="AN264" s="97"/>
      <c r="AO264" s="97"/>
      <c r="AP264" s="97"/>
      <c r="AQ264" s="97"/>
      <c r="AR264" s="97"/>
      <c r="AS264" s="97"/>
      <c r="AT264" s="97"/>
      <c r="AU264" s="97"/>
      <c r="AV264" s="97"/>
      <c r="AW264" s="97"/>
      <c r="AX264" s="97"/>
    </row>
    <row r="265" ht="15.75" customHeight="1">
      <c r="A265" s="114" t="s">
        <v>2364</v>
      </c>
      <c r="B265" s="165" t="s">
        <v>2444</v>
      </c>
      <c r="C265" s="76" t="s">
        <v>3520</v>
      </c>
      <c r="D265" s="76" t="s">
        <v>3521</v>
      </c>
      <c r="E265" s="117" t="s">
        <v>3522</v>
      </c>
      <c r="F265" s="76"/>
      <c r="G265" s="76"/>
      <c r="H265" s="76"/>
      <c r="I265" s="118"/>
      <c r="J265" s="120"/>
      <c r="K265" s="118"/>
      <c r="L265" s="118"/>
      <c r="M265" s="118"/>
      <c r="N265" s="118"/>
      <c r="O265" s="118"/>
      <c r="P265" s="118"/>
      <c r="Q265" s="118" t="s">
        <v>184</v>
      </c>
      <c r="R265" s="118"/>
      <c r="S265" s="118"/>
      <c r="T265" s="118"/>
      <c r="U265" s="118"/>
      <c r="V265" s="118"/>
      <c r="W265" s="118"/>
      <c r="X265" s="118"/>
      <c r="Y265" s="118"/>
      <c r="Z265" s="118"/>
      <c r="AA265" s="118"/>
      <c r="AB265" s="118"/>
      <c r="AC265" s="118"/>
      <c r="AD265" s="97"/>
      <c r="AE265" s="97"/>
      <c r="AF265" s="97"/>
      <c r="AG265" s="97"/>
      <c r="AH265" s="97"/>
      <c r="AI265" s="97"/>
      <c r="AJ265" s="97"/>
      <c r="AK265" s="97"/>
      <c r="AL265" s="97"/>
      <c r="AM265" s="97"/>
      <c r="AN265" s="97"/>
      <c r="AO265" s="97"/>
      <c r="AP265" s="97"/>
      <c r="AQ265" s="97"/>
      <c r="AR265" s="97"/>
      <c r="AS265" s="97"/>
      <c r="AT265" s="97"/>
      <c r="AU265" s="97"/>
      <c r="AV265" s="97"/>
      <c r="AW265" s="97"/>
      <c r="AX265" s="97"/>
    </row>
    <row r="266" ht="15.75" customHeight="1">
      <c r="A266" s="114" t="s">
        <v>2364</v>
      </c>
      <c r="B266" s="165" t="s">
        <v>2466</v>
      </c>
      <c r="C266" s="76" t="s">
        <v>3537</v>
      </c>
      <c r="D266" s="76" t="s">
        <v>3538</v>
      </c>
      <c r="E266" s="117" t="s">
        <v>3539</v>
      </c>
      <c r="F266" s="76"/>
      <c r="G266" s="76"/>
      <c r="H266" s="76"/>
      <c r="I266" s="118"/>
      <c r="J266" s="120"/>
      <c r="K266" s="118"/>
      <c r="L266" s="118"/>
      <c r="M266" s="118"/>
      <c r="N266" s="118"/>
      <c r="O266" s="118"/>
      <c r="P266" s="118"/>
      <c r="Q266" s="118" t="s">
        <v>184</v>
      </c>
      <c r="R266" s="118"/>
      <c r="S266" s="118"/>
      <c r="T266" s="118"/>
      <c r="U266" s="118"/>
      <c r="V266" s="118"/>
      <c r="W266" s="118"/>
      <c r="X266" s="118"/>
      <c r="Y266" s="118"/>
      <c r="Z266" s="118"/>
      <c r="AA266" s="118"/>
      <c r="AB266" s="118"/>
      <c r="AC266" s="118"/>
      <c r="AD266" s="97"/>
      <c r="AE266" s="97"/>
      <c r="AF266" s="97"/>
      <c r="AG266" s="97"/>
      <c r="AH266" s="97"/>
      <c r="AI266" s="97"/>
      <c r="AJ266" s="97"/>
      <c r="AK266" s="97"/>
      <c r="AL266" s="97"/>
      <c r="AM266" s="97"/>
      <c r="AN266" s="97"/>
      <c r="AO266" s="97"/>
      <c r="AP266" s="97"/>
      <c r="AQ266" s="97"/>
      <c r="AR266" s="97"/>
      <c r="AS266" s="97"/>
      <c r="AT266" s="97"/>
      <c r="AU266" s="97"/>
      <c r="AV266" s="97"/>
      <c r="AW266" s="97"/>
      <c r="AX266" s="97"/>
    </row>
    <row r="267" ht="15.75" customHeight="1">
      <c r="A267" s="114" t="s">
        <v>541</v>
      </c>
      <c r="B267" s="165" t="s">
        <v>2471</v>
      </c>
      <c r="C267" s="76" t="s">
        <v>3547</v>
      </c>
      <c r="D267" s="76" t="s">
        <v>3548</v>
      </c>
      <c r="E267" s="117" t="s">
        <v>3550</v>
      </c>
      <c r="F267" s="76"/>
      <c r="G267" s="76"/>
      <c r="H267" s="76"/>
      <c r="I267" s="118"/>
      <c r="J267" s="120"/>
      <c r="K267" s="118"/>
      <c r="L267" s="118"/>
      <c r="M267" s="118"/>
      <c r="N267" s="118"/>
      <c r="O267" s="118"/>
      <c r="P267" s="118"/>
      <c r="Q267" s="118" t="s">
        <v>184</v>
      </c>
      <c r="R267" s="118"/>
      <c r="S267" s="118"/>
      <c r="T267" s="118"/>
      <c r="U267" s="118"/>
      <c r="V267" s="118"/>
      <c r="W267" s="118"/>
      <c r="X267" s="118"/>
      <c r="Y267" s="118"/>
      <c r="Z267" s="118"/>
      <c r="AA267" s="118"/>
      <c r="AB267" s="118"/>
      <c r="AC267" s="118"/>
      <c r="AD267" s="97"/>
      <c r="AE267" s="97"/>
      <c r="AF267" s="97"/>
      <c r="AG267" s="97"/>
      <c r="AH267" s="97"/>
      <c r="AI267" s="97"/>
      <c r="AJ267" s="97"/>
      <c r="AK267" s="97"/>
      <c r="AL267" s="97"/>
      <c r="AM267" s="97"/>
      <c r="AN267" s="97"/>
      <c r="AO267" s="97"/>
      <c r="AP267" s="97"/>
      <c r="AQ267" s="97"/>
      <c r="AR267" s="97"/>
      <c r="AS267" s="97"/>
      <c r="AT267" s="97"/>
      <c r="AU267" s="97"/>
      <c r="AV267" s="97"/>
      <c r="AW267" s="97"/>
      <c r="AX267" s="97"/>
    </row>
    <row r="268" ht="15.75" customHeight="1">
      <c r="A268" s="114" t="s">
        <v>541</v>
      </c>
      <c r="B268" s="165" t="s">
        <v>2497</v>
      </c>
      <c r="C268" s="76" t="s">
        <v>3562</v>
      </c>
      <c r="D268" s="76" t="s">
        <v>3563</v>
      </c>
      <c r="E268" s="117" t="s">
        <v>3565</v>
      </c>
      <c r="F268" s="76"/>
      <c r="G268" s="76"/>
      <c r="H268" s="76"/>
      <c r="I268" s="118"/>
      <c r="J268" s="120"/>
      <c r="K268" s="118"/>
      <c r="L268" s="118"/>
      <c r="M268" s="118"/>
      <c r="N268" s="118"/>
      <c r="O268" s="118"/>
      <c r="P268" s="118"/>
      <c r="Q268" s="118" t="s">
        <v>184</v>
      </c>
      <c r="R268" s="118"/>
      <c r="S268" s="118"/>
      <c r="T268" s="118"/>
      <c r="U268" s="118"/>
      <c r="V268" s="118"/>
      <c r="W268" s="118"/>
      <c r="X268" s="118"/>
      <c r="Y268" s="118"/>
      <c r="Z268" s="118"/>
      <c r="AA268" s="118"/>
      <c r="AB268" s="118"/>
      <c r="AC268" s="118"/>
      <c r="AD268" s="97"/>
      <c r="AE268" s="97"/>
      <c r="AF268" s="97"/>
      <c r="AG268" s="97"/>
      <c r="AH268" s="97"/>
      <c r="AI268" s="97"/>
      <c r="AJ268" s="97"/>
      <c r="AK268" s="97"/>
      <c r="AL268" s="97"/>
      <c r="AM268" s="97"/>
      <c r="AN268" s="97"/>
      <c r="AO268" s="97"/>
      <c r="AP268" s="97"/>
      <c r="AQ268" s="97"/>
      <c r="AR268" s="97"/>
      <c r="AS268" s="97"/>
      <c r="AT268" s="97"/>
      <c r="AU268" s="97"/>
      <c r="AV268" s="97"/>
      <c r="AW268" s="97"/>
      <c r="AX268" s="97"/>
    </row>
    <row r="269" ht="15.75" customHeight="1">
      <c r="A269" s="114" t="s">
        <v>541</v>
      </c>
      <c r="B269" s="165" t="s">
        <v>2507</v>
      </c>
      <c r="C269" s="76" t="s">
        <v>3573</v>
      </c>
      <c r="D269" s="76" t="s">
        <v>3575</v>
      </c>
      <c r="E269" s="117" t="s">
        <v>3577</v>
      </c>
      <c r="F269" s="76"/>
      <c r="G269" s="76"/>
      <c r="H269" s="76"/>
      <c r="I269" s="118"/>
      <c r="J269" s="120"/>
      <c r="K269" s="118"/>
      <c r="L269" s="118"/>
      <c r="M269" s="118"/>
      <c r="N269" s="118"/>
      <c r="O269" s="118"/>
      <c r="P269" s="118"/>
      <c r="Q269" s="118" t="s">
        <v>184</v>
      </c>
      <c r="R269" s="118"/>
      <c r="S269" s="118"/>
      <c r="T269" s="118"/>
      <c r="U269" s="118"/>
      <c r="V269" s="118"/>
      <c r="W269" s="118"/>
      <c r="X269" s="118"/>
      <c r="Y269" s="118"/>
      <c r="Z269" s="118"/>
      <c r="AA269" s="118"/>
      <c r="AB269" s="118"/>
      <c r="AC269" s="118"/>
      <c r="AD269" s="97"/>
      <c r="AE269" s="97"/>
      <c r="AF269" s="97"/>
      <c r="AG269" s="97"/>
      <c r="AH269" s="97"/>
      <c r="AI269" s="97"/>
      <c r="AJ269" s="97"/>
      <c r="AK269" s="97"/>
      <c r="AL269" s="97"/>
      <c r="AM269" s="97"/>
      <c r="AN269" s="97"/>
      <c r="AO269" s="97"/>
      <c r="AP269" s="97"/>
      <c r="AQ269" s="97"/>
      <c r="AR269" s="97"/>
      <c r="AS269" s="97"/>
      <c r="AT269" s="97"/>
      <c r="AU269" s="97"/>
      <c r="AV269" s="97"/>
      <c r="AW269" s="97"/>
      <c r="AX269" s="97"/>
    </row>
    <row r="270" ht="15.75" customHeight="1">
      <c r="A270" s="114" t="s">
        <v>541</v>
      </c>
      <c r="B270" s="165" t="s">
        <v>2510</v>
      </c>
      <c r="C270" s="76" t="s">
        <v>3591</v>
      </c>
      <c r="D270" s="76" t="s">
        <v>3594</v>
      </c>
      <c r="E270" s="117" t="s">
        <v>3595</v>
      </c>
      <c r="F270" s="76"/>
      <c r="G270" s="76"/>
      <c r="H270" s="76"/>
      <c r="I270" s="118"/>
      <c r="J270" s="120"/>
      <c r="K270" s="118"/>
      <c r="L270" s="118"/>
      <c r="M270" s="118"/>
      <c r="N270" s="118"/>
      <c r="O270" s="118"/>
      <c r="P270" s="118"/>
      <c r="Q270" s="118" t="s">
        <v>184</v>
      </c>
      <c r="R270" s="118"/>
      <c r="S270" s="118"/>
      <c r="T270" s="118"/>
      <c r="U270" s="118"/>
      <c r="V270" s="118"/>
      <c r="W270" s="118"/>
      <c r="X270" s="118"/>
      <c r="Y270" s="118"/>
      <c r="Z270" s="118"/>
      <c r="AA270" s="118"/>
      <c r="AB270" s="118"/>
      <c r="AC270" s="118"/>
      <c r="AD270" s="97"/>
      <c r="AE270" s="97"/>
      <c r="AF270" s="97"/>
      <c r="AG270" s="97"/>
      <c r="AH270" s="97"/>
      <c r="AI270" s="97"/>
      <c r="AJ270" s="97"/>
      <c r="AK270" s="97"/>
      <c r="AL270" s="97"/>
      <c r="AM270" s="97"/>
      <c r="AN270" s="97"/>
      <c r="AO270" s="97"/>
      <c r="AP270" s="97"/>
      <c r="AQ270" s="97"/>
      <c r="AR270" s="97"/>
      <c r="AS270" s="97"/>
      <c r="AT270" s="97"/>
      <c r="AU270" s="97"/>
      <c r="AV270" s="97"/>
      <c r="AW270" s="97"/>
      <c r="AX270" s="97"/>
    </row>
    <row r="271" ht="15.75" customHeight="1">
      <c r="A271" s="152" t="s">
        <v>44</v>
      </c>
      <c r="B271" s="77" t="s">
        <v>2524</v>
      </c>
      <c r="C271" s="76" t="s">
        <v>3608</v>
      </c>
      <c r="D271" s="76" t="s">
        <v>3609</v>
      </c>
      <c r="E271" s="117" t="s">
        <v>3610</v>
      </c>
      <c r="F271" s="76"/>
      <c r="G271" s="76"/>
      <c r="H271" s="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97"/>
      <c r="AE271" s="97"/>
      <c r="AF271" s="97"/>
      <c r="AG271" s="97"/>
      <c r="AH271" s="97"/>
      <c r="AI271" s="97"/>
      <c r="AJ271" s="97"/>
      <c r="AK271" s="97"/>
      <c r="AL271" s="97"/>
      <c r="AM271" s="97"/>
      <c r="AN271" s="97"/>
      <c r="AO271" s="97"/>
      <c r="AP271" s="97"/>
      <c r="AQ271" s="97"/>
      <c r="AR271" s="97"/>
      <c r="AS271" s="97"/>
      <c r="AT271" s="97"/>
      <c r="AU271" s="97"/>
      <c r="AV271" s="97"/>
      <c r="AW271" s="97"/>
      <c r="AX271" s="97"/>
    </row>
    <row r="272" ht="15.75" customHeight="1">
      <c r="A272" s="114" t="s">
        <v>1041</v>
      </c>
      <c r="B272" s="165" t="s">
        <v>2533</v>
      </c>
      <c r="C272" s="76" t="s">
        <v>3620</v>
      </c>
      <c r="D272" s="76" t="s">
        <v>3621</v>
      </c>
      <c r="E272" s="117" t="s">
        <v>3624</v>
      </c>
      <c r="F272" s="76"/>
      <c r="G272" s="76"/>
      <c r="H272" s="76"/>
      <c r="I272" s="118"/>
      <c r="J272" s="120"/>
      <c r="K272" s="118"/>
      <c r="L272" s="118"/>
      <c r="M272" s="118"/>
      <c r="N272" s="118"/>
      <c r="O272" s="118"/>
      <c r="P272" s="118"/>
      <c r="Q272" s="118" t="s">
        <v>184</v>
      </c>
      <c r="R272" s="118"/>
      <c r="S272" s="118"/>
      <c r="T272" s="118"/>
      <c r="U272" s="118"/>
      <c r="V272" s="118"/>
      <c r="W272" s="118"/>
      <c r="X272" s="118"/>
      <c r="Y272" s="118"/>
      <c r="Z272" s="118"/>
      <c r="AA272" s="118"/>
      <c r="AB272" s="118"/>
      <c r="AC272" s="118"/>
      <c r="AD272" s="97"/>
      <c r="AE272" s="97"/>
      <c r="AF272" s="97"/>
      <c r="AG272" s="97"/>
      <c r="AH272" s="97"/>
      <c r="AI272" s="97"/>
      <c r="AJ272" s="97"/>
      <c r="AK272" s="97"/>
      <c r="AL272" s="97"/>
      <c r="AM272" s="97"/>
      <c r="AN272" s="97"/>
      <c r="AO272" s="97"/>
      <c r="AP272" s="97"/>
      <c r="AQ272" s="97"/>
      <c r="AR272" s="97"/>
      <c r="AS272" s="97"/>
      <c r="AT272" s="97"/>
      <c r="AU272" s="97"/>
      <c r="AV272" s="97"/>
      <c r="AW272" s="97"/>
      <c r="AX272" s="97"/>
    </row>
    <row r="273" ht="15.75" customHeight="1">
      <c r="A273" s="114" t="s">
        <v>1041</v>
      </c>
      <c r="B273" s="165" t="s">
        <v>2538</v>
      </c>
      <c r="C273" s="76" t="s">
        <v>3639</v>
      </c>
      <c r="D273" s="76" t="s">
        <v>3640</v>
      </c>
      <c r="E273" s="117" t="s">
        <v>3641</v>
      </c>
      <c r="F273" s="76"/>
      <c r="G273" s="76"/>
      <c r="H273" s="76"/>
      <c r="I273" s="118"/>
      <c r="J273" s="120"/>
      <c r="K273" s="118"/>
      <c r="L273" s="118"/>
      <c r="M273" s="118"/>
      <c r="N273" s="118"/>
      <c r="O273" s="118"/>
      <c r="P273" s="118"/>
      <c r="Q273" s="118" t="s">
        <v>184</v>
      </c>
      <c r="R273" s="118"/>
      <c r="S273" s="118"/>
      <c r="T273" s="118"/>
      <c r="U273" s="118"/>
      <c r="V273" s="118"/>
      <c r="W273" s="118"/>
      <c r="X273" s="118"/>
      <c r="Y273" s="118"/>
      <c r="Z273" s="118"/>
      <c r="AA273" s="118"/>
      <c r="AB273" s="118"/>
      <c r="AC273" s="118"/>
      <c r="AD273" s="97"/>
      <c r="AE273" s="97"/>
      <c r="AF273" s="97"/>
      <c r="AG273" s="97"/>
      <c r="AH273" s="97"/>
      <c r="AI273" s="97"/>
      <c r="AJ273" s="97"/>
      <c r="AK273" s="97"/>
      <c r="AL273" s="97"/>
      <c r="AM273" s="97"/>
      <c r="AN273" s="97"/>
      <c r="AO273" s="97"/>
      <c r="AP273" s="97"/>
      <c r="AQ273" s="97"/>
      <c r="AR273" s="97"/>
      <c r="AS273" s="97"/>
      <c r="AT273" s="97"/>
      <c r="AU273" s="97"/>
      <c r="AV273" s="97"/>
      <c r="AW273" s="97"/>
      <c r="AX273" s="97"/>
    </row>
    <row r="274" ht="15.75" customHeight="1">
      <c r="A274" s="114" t="s">
        <v>1041</v>
      </c>
      <c r="B274" s="165" t="s">
        <v>2546</v>
      </c>
      <c r="C274" s="76" t="s">
        <v>3658</v>
      </c>
      <c r="D274" s="76" t="s">
        <v>3659</v>
      </c>
      <c r="E274" s="117" t="s">
        <v>3660</v>
      </c>
      <c r="F274" s="76"/>
      <c r="G274" s="76"/>
      <c r="H274" s="76"/>
      <c r="I274" s="118"/>
      <c r="J274" s="120"/>
      <c r="K274" s="118"/>
      <c r="L274" s="118"/>
      <c r="M274" s="118"/>
      <c r="N274" s="118"/>
      <c r="O274" s="118"/>
      <c r="P274" s="118"/>
      <c r="Q274" s="118" t="s">
        <v>184</v>
      </c>
      <c r="R274" s="118"/>
      <c r="S274" s="118"/>
      <c r="T274" s="118"/>
      <c r="U274" s="118"/>
      <c r="V274" s="118"/>
      <c r="W274" s="118"/>
      <c r="X274" s="118"/>
      <c r="Y274" s="118"/>
      <c r="Z274" s="118"/>
      <c r="AA274" s="118"/>
      <c r="AB274" s="118"/>
      <c r="AC274" s="118"/>
      <c r="AD274" s="97"/>
      <c r="AE274" s="97"/>
      <c r="AF274" s="97"/>
      <c r="AG274" s="97"/>
      <c r="AH274" s="97"/>
      <c r="AI274" s="97"/>
      <c r="AJ274" s="97"/>
      <c r="AK274" s="97"/>
      <c r="AL274" s="97"/>
      <c r="AM274" s="97"/>
      <c r="AN274" s="97"/>
      <c r="AO274" s="97"/>
      <c r="AP274" s="97"/>
      <c r="AQ274" s="97"/>
      <c r="AR274" s="97"/>
      <c r="AS274" s="97"/>
      <c r="AT274" s="97"/>
      <c r="AU274" s="97"/>
      <c r="AV274" s="97"/>
      <c r="AW274" s="97"/>
      <c r="AX274" s="97"/>
    </row>
    <row r="275" ht="15.75" customHeight="1">
      <c r="A275" s="114" t="s">
        <v>1041</v>
      </c>
      <c r="B275" s="165" t="s">
        <v>2566</v>
      </c>
      <c r="C275" s="76" t="s">
        <v>3667</v>
      </c>
      <c r="D275" s="76" t="s">
        <v>3669</v>
      </c>
      <c r="E275" s="117" t="s">
        <v>3671</v>
      </c>
      <c r="F275" s="76"/>
      <c r="G275" s="76"/>
      <c r="H275" s="76"/>
      <c r="I275" s="118"/>
      <c r="J275" s="120"/>
      <c r="K275" s="118"/>
      <c r="L275" s="118"/>
      <c r="M275" s="118"/>
      <c r="N275" s="118"/>
      <c r="O275" s="118"/>
      <c r="P275" s="118"/>
      <c r="Q275" s="118" t="s">
        <v>184</v>
      </c>
      <c r="R275" s="118"/>
      <c r="S275" s="118"/>
      <c r="T275" s="118"/>
      <c r="U275" s="118"/>
      <c r="V275" s="118"/>
      <c r="W275" s="118"/>
      <c r="X275" s="118"/>
      <c r="Y275" s="118"/>
      <c r="Z275" s="118"/>
      <c r="AA275" s="118"/>
      <c r="AB275" s="118"/>
      <c r="AC275" s="118"/>
      <c r="AD275" s="97"/>
      <c r="AE275" s="97"/>
      <c r="AF275" s="97"/>
      <c r="AG275" s="97"/>
      <c r="AH275" s="97"/>
      <c r="AI275" s="97"/>
      <c r="AJ275" s="97"/>
      <c r="AK275" s="97"/>
      <c r="AL275" s="97"/>
      <c r="AM275" s="97"/>
      <c r="AN275" s="97"/>
      <c r="AO275" s="97"/>
      <c r="AP275" s="97"/>
      <c r="AQ275" s="97"/>
      <c r="AR275" s="97"/>
      <c r="AS275" s="97"/>
      <c r="AT275" s="97"/>
      <c r="AU275" s="97"/>
      <c r="AV275" s="97"/>
      <c r="AW275" s="97"/>
      <c r="AX275" s="97"/>
    </row>
    <row r="276" ht="15.75" customHeight="1">
      <c r="A276" s="114" t="s">
        <v>1041</v>
      </c>
      <c r="B276" s="165" t="s">
        <v>2572</v>
      </c>
      <c r="C276" s="76" t="s">
        <v>3684</v>
      </c>
      <c r="D276" s="76" t="s">
        <v>3685</v>
      </c>
      <c r="E276" s="117" t="s">
        <v>3686</v>
      </c>
      <c r="F276" s="76"/>
      <c r="G276" s="76"/>
      <c r="H276" s="76"/>
      <c r="I276" s="118"/>
      <c r="J276" s="120"/>
      <c r="K276" s="118"/>
      <c r="L276" s="118"/>
      <c r="M276" s="118"/>
      <c r="N276" s="118"/>
      <c r="O276" s="118"/>
      <c r="P276" s="118"/>
      <c r="Q276" s="118" t="s">
        <v>184</v>
      </c>
      <c r="R276" s="118"/>
      <c r="S276" s="118"/>
      <c r="T276" s="118"/>
      <c r="U276" s="118"/>
      <c r="V276" s="118"/>
      <c r="W276" s="118"/>
      <c r="X276" s="118"/>
      <c r="Y276" s="118"/>
      <c r="Z276" s="118"/>
      <c r="AA276" s="118"/>
      <c r="AB276" s="118"/>
      <c r="AC276" s="118"/>
      <c r="AD276" s="97"/>
      <c r="AE276" s="97"/>
      <c r="AF276" s="97"/>
      <c r="AG276" s="97"/>
      <c r="AH276" s="97"/>
      <c r="AI276" s="97"/>
      <c r="AJ276" s="97"/>
      <c r="AK276" s="97"/>
      <c r="AL276" s="97"/>
      <c r="AM276" s="97"/>
      <c r="AN276" s="97"/>
      <c r="AO276" s="97"/>
      <c r="AP276" s="97"/>
      <c r="AQ276" s="97"/>
      <c r="AR276" s="97"/>
      <c r="AS276" s="97"/>
      <c r="AT276" s="97"/>
      <c r="AU276" s="97"/>
      <c r="AV276" s="97"/>
      <c r="AW276" s="97"/>
      <c r="AX276" s="97"/>
    </row>
    <row r="277" ht="15.75" customHeight="1">
      <c r="A277" s="150" t="s">
        <v>161</v>
      </c>
      <c r="B277" s="82" t="s">
        <v>2574</v>
      </c>
      <c r="C277" s="82"/>
      <c r="D277" s="83"/>
      <c r="E277" s="83"/>
      <c r="F277" s="84"/>
      <c r="G277" s="84"/>
      <c r="H277" s="84"/>
      <c r="I277" s="84"/>
      <c r="J277" s="86" t="s">
        <v>1811</v>
      </c>
      <c r="K277" s="84"/>
      <c r="L277" s="84"/>
      <c r="M277" s="86"/>
      <c r="N277" s="86"/>
      <c r="O277" s="86"/>
      <c r="P277" s="84"/>
      <c r="Q277" s="84"/>
      <c r="R277" s="84"/>
      <c r="S277" s="84"/>
      <c r="T277" s="84"/>
      <c r="U277" s="84"/>
      <c r="V277" s="84"/>
      <c r="W277" s="84"/>
      <c r="X277" s="84"/>
      <c r="Y277" s="84"/>
      <c r="Z277" s="84"/>
      <c r="AA277" s="84"/>
      <c r="AB277" s="84"/>
      <c r="AC277" s="84"/>
      <c r="AD277" s="97"/>
      <c r="AE277" s="97"/>
      <c r="AF277" s="97"/>
      <c r="AG277" s="97"/>
      <c r="AH277" s="97"/>
      <c r="AI277" s="97"/>
      <c r="AJ277" s="97"/>
      <c r="AK277" s="97"/>
      <c r="AL277" s="97"/>
      <c r="AM277" s="97"/>
      <c r="AN277" s="97"/>
      <c r="AO277" s="97"/>
      <c r="AP277" s="97"/>
      <c r="AQ277" s="97"/>
      <c r="AR277" s="97"/>
      <c r="AS277" s="97"/>
      <c r="AT277" s="97"/>
      <c r="AU277" s="97"/>
      <c r="AV277" s="97"/>
      <c r="AW277" s="97"/>
      <c r="AX277" s="97"/>
    </row>
    <row r="278" ht="15.75" customHeight="1">
      <c r="A278" s="114" t="s">
        <v>541</v>
      </c>
      <c r="B278" s="165" t="s">
        <v>2591</v>
      </c>
      <c r="C278" s="76" t="s">
        <v>3724</v>
      </c>
      <c r="D278" s="76" t="s">
        <v>3725</v>
      </c>
      <c r="E278" s="117" t="s">
        <v>3726</v>
      </c>
      <c r="F278" s="76"/>
      <c r="G278" s="76"/>
      <c r="H278" s="76"/>
      <c r="I278" s="118"/>
      <c r="J278" s="120" t="s">
        <v>6</v>
      </c>
      <c r="K278" s="118"/>
      <c r="L278" s="118"/>
      <c r="M278" s="118"/>
      <c r="N278" s="118"/>
      <c r="O278" s="118"/>
      <c r="P278" s="118"/>
      <c r="Q278" s="118"/>
      <c r="R278" s="118"/>
      <c r="S278" s="118"/>
      <c r="T278" s="118"/>
      <c r="U278" s="118"/>
      <c r="V278" s="118"/>
      <c r="W278" s="118"/>
      <c r="X278" s="118"/>
      <c r="Y278" s="118"/>
      <c r="Z278" s="118"/>
      <c r="AA278" s="118"/>
      <c r="AB278" s="118"/>
      <c r="AC278" s="118"/>
      <c r="AD278" s="97"/>
      <c r="AE278" s="97"/>
      <c r="AF278" s="97"/>
      <c r="AG278" s="97"/>
      <c r="AH278" s="97"/>
      <c r="AI278" s="97"/>
      <c r="AJ278" s="97"/>
      <c r="AK278" s="97"/>
      <c r="AL278" s="97"/>
      <c r="AM278" s="97"/>
      <c r="AN278" s="97"/>
      <c r="AO278" s="97"/>
      <c r="AP278" s="97"/>
      <c r="AQ278" s="97"/>
      <c r="AR278" s="97"/>
      <c r="AS278" s="97"/>
      <c r="AT278" s="97"/>
      <c r="AU278" s="97"/>
      <c r="AV278" s="97"/>
      <c r="AW278" s="97"/>
      <c r="AX278" s="97"/>
    </row>
    <row r="279" ht="15.75" customHeight="1">
      <c r="A279" s="114" t="s">
        <v>541</v>
      </c>
      <c r="B279" s="165" t="s">
        <v>2599</v>
      </c>
      <c r="C279" s="76" t="s">
        <v>3738</v>
      </c>
      <c r="D279" s="76" t="s">
        <v>3739</v>
      </c>
      <c r="E279" s="117" t="s">
        <v>3740</v>
      </c>
      <c r="F279" s="76"/>
      <c r="G279" s="76"/>
      <c r="H279" s="76"/>
      <c r="I279" s="118"/>
      <c r="J279" s="120" t="s">
        <v>1837</v>
      </c>
      <c r="K279" s="118"/>
      <c r="L279" s="118"/>
      <c r="M279" s="118"/>
      <c r="N279" s="118"/>
      <c r="O279" s="118"/>
      <c r="P279" s="118"/>
      <c r="Q279" s="118" t="s">
        <v>184</v>
      </c>
      <c r="R279" s="118"/>
      <c r="S279" s="118"/>
      <c r="T279" s="118"/>
      <c r="U279" s="118"/>
      <c r="V279" s="118"/>
      <c r="W279" s="118"/>
      <c r="X279" s="118"/>
      <c r="Y279" s="118"/>
      <c r="Z279" s="118"/>
      <c r="AA279" s="118"/>
      <c r="AB279" s="118"/>
      <c r="AC279" s="118"/>
      <c r="AD279" s="97"/>
      <c r="AE279" s="97"/>
      <c r="AF279" s="97"/>
      <c r="AG279" s="97"/>
      <c r="AH279" s="97"/>
      <c r="AI279" s="97"/>
      <c r="AJ279" s="97"/>
      <c r="AK279" s="97"/>
      <c r="AL279" s="97"/>
      <c r="AM279" s="97"/>
      <c r="AN279" s="97"/>
      <c r="AO279" s="97"/>
      <c r="AP279" s="97"/>
      <c r="AQ279" s="97"/>
      <c r="AR279" s="97"/>
      <c r="AS279" s="97"/>
      <c r="AT279" s="97"/>
      <c r="AU279" s="97"/>
      <c r="AV279" s="97"/>
      <c r="AW279" s="97"/>
      <c r="AX279" s="97"/>
    </row>
    <row r="280" ht="15.75" customHeight="1">
      <c r="A280" s="114" t="s">
        <v>541</v>
      </c>
      <c r="B280" s="165" t="s">
        <v>2614</v>
      </c>
      <c r="C280" s="76" t="s">
        <v>3751</v>
      </c>
      <c r="D280" s="76" t="s">
        <v>3752</v>
      </c>
      <c r="E280" s="117" t="s">
        <v>3753</v>
      </c>
      <c r="F280" s="76"/>
      <c r="G280" s="76"/>
      <c r="H280" s="76"/>
      <c r="I280" s="118"/>
      <c r="J280" s="120" t="s">
        <v>1837</v>
      </c>
      <c r="K280" s="118"/>
      <c r="L280" s="118"/>
      <c r="M280" s="118"/>
      <c r="N280" s="118"/>
      <c r="O280" s="118"/>
      <c r="P280" s="118"/>
      <c r="Q280" s="118" t="s">
        <v>184</v>
      </c>
      <c r="R280" s="118"/>
      <c r="S280" s="118"/>
      <c r="T280" s="118"/>
      <c r="U280" s="118"/>
      <c r="V280" s="118"/>
      <c r="W280" s="118"/>
      <c r="X280" s="118"/>
      <c r="Y280" s="118"/>
      <c r="Z280" s="118"/>
      <c r="AA280" s="118"/>
      <c r="AB280" s="118"/>
      <c r="AC280" s="118"/>
      <c r="AD280" s="97"/>
      <c r="AE280" s="97"/>
      <c r="AF280" s="97"/>
      <c r="AG280" s="97"/>
      <c r="AH280" s="97"/>
      <c r="AI280" s="97"/>
      <c r="AJ280" s="97"/>
      <c r="AK280" s="97"/>
      <c r="AL280" s="97"/>
      <c r="AM280" s="97"/>
      <c r="AN280" s="97"/>
      <c r="AO280" s="97"/>
      <c r="AP280" s="97"/>
      <c r="AQ280" s="97"/>
      <c r="AR280" s="97"/>
      <c r="AS280" s="97"/>
      <c r="AT280" s="97"/>
      <c r="AU280" s="97"/>
      <c r="AV280" s="97"/>
      <c r="AW280" s="97"/>
      <c r="AX280" s="97"/>
    </row>
    <row r="281" ht="15.75" customHeight="1">
      <c r="A281" s="114" t="s">
        <v>541</v>
      </c>
      <c r="B281" s="165" t="s">
        <v>2622</v>
      </c>
      <c r="C281" s="76" t="s">
        <v>3762</v>
      </c>
      <c r="D281" s="76" t="s">
        <v>3764</v>
      </c>
      <c r="E281" s="117" t="s">
        <v>3766</v>
      </c>
      <c r="F281" s="76"/>
      <c r="G281" s="76"/>
      <c r="H281" s="76"/>
      <c r="I281" s="118"/>
      <c r="J281" s="120" t="s">
        <v>1837</v>
      </c>
      <c r="K281" s="118"/>
      <c r="L281" s="118"/>
      <c r="M281" s="118"/>
      <c r="N281" s="118"/>
      <c r="O281" s="118"/>
      <c r="P281" s="118"/>
      <c r="Q281" s="118" t="s">
        <v>184</v>
      </c>
      <c r="R281" s="118"/>
      <c r="S281" s="118"/>
      <c r="T281" s="118"/>
      <c r="U281" s="118"/>
      <c r="V281" s="118"/>
      <c r="W281" s="118"/>
      <c r="X281" s="118"/>
      <c r="Y281" s="118"/>
      <c r="Z281" s="118"/>
      <c r="AA281" s="118"/>
      <c r="AB281" s="118"/>
      <c r="AC281" s="118"/>
      <c r="AD281" s="97"/>
      <c r="AE281" s="97"/>
      <c r="AF281" s="97"/>
      <c r="AG281" s="97"/>
      <c r="AH281" s="97"/>
      <c r="AI281" s="97"/>
      <c r="AJ281" s="97"/>
      <c r="AK281" s="97"/>
      <c r="AL281" s="97"/>
      <c r="AM281" s="97"/>
      <c r="AN281" s="97"/>
      <c r="AO281" s="97"/>
      <c r="AP281" s="97"/>
      <c r="AQ281" s="97"/>
      <c r="AR281" s="97"/>
      <c r="AS281" s="97"/>
      <c r="AT281" s="97"/>
      <c r="AU281" s="97"/>
      <c r="AV281" s="97"/>
      <c r="AW281" s="97"/>
      <c r="AX281" s="97"/>
    </row>
    <row r="282" ht="15.75" customHeight="1">
      <c r="A282" s="114" t="s">
        <v>541</v>
      </c>
      <c r="B282" s="165" t="s">
        <v>2628</v>
      </c>
      <c r="C282" s="76" t="s">
        <v>3778</v>
      </c>
      <c r="D282" s="76" t="s">
        <v>3779</v>
      </c>
      <c r="E282" s="117" t="s">
        <v>3780</v>
      </c>
      <c r="F282" s="76"/>
      <c r="G282" s="76"/>
      <c r="H282" s="76"/>
      <c r="I282" s="118"/>
      <c r="J282" s="120" t="s">
        <v>1837</v>
      </c>
      <c r="K282" s="118"/>
      <c r="L282" s="118"/>
      <c r="M282" s="118"/>
      <c r="N282" s="118"/>
      <c r="O282" s="118"/>
      <c r="P282" s="118"/>
      <c r="Q282" s="118" t="s">
        <v>184</v>
      </c>
      <c r="R282" s="118"/>
      <c r="S282" s="118"/>
      <c r="T282" s="118"/>
      <c r="U282" s="118"/>
      <c r="V282" s="118"/>
      <c r="W282" s="118"/>
      <c r="X282" s="118"/>
      <c r="Y282" s="118"/>
      <c r="Z282" s="118"/>
      <c r="AA282" s="118"/>
      <c r="AB282" s="118"/>
      <c r="AC282" s="118"/>
      <c r="AD282" s="97"/>
      <c r="AE282" s="97"/>
      <c r="AF282" s="97"/>
      <c r="AG282" s="97"/>
      <c r="AH282" s="97"/>
      <c r="AI282" s="97"/>
      <c r="AJ282" s="97"/>
      <c r="AK282" s="97"/>
      <c r="AL282" s="97"/>
      <c r="AM282" s="97"/>
      <c r="AN282" s="97"/>
      <c r="AO282" s="97"/>
      <c r="AP282" s="97"/>
      <c r="AQ282" s="97"/>
      <c r="AR282" s="97"/>
      <c r="AS282" s="97"/>
      <c r="AT282" s="97"/>
      <c r="AU282" s="97"/>
      <c r="AV282" s="97"/>
      <c r="AW282" s="97"/>
      <c r="AX282" s="97"/>
    </row>
    <row r="283" ht="15.75" customHeight="1">
      <c r="A283" s="150" t="s">
        <v>343</v>
      </c>
      <c r="B283" s="83" t="s">
        <v>2574</v>
      </c>
      <c r="C283" s="76"/>
      <c r="D283" s="76"/>
      <c r="E283" s="117"/>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97"/>
      <c r="AE283" s="97"/>
      <c r="AF283" s="97"/>
      <c r="AG283" s="97"/>
      <c r="AH283" s="97"/>
      <c r="AI283" s="97"/>
      <c r="AJ283" s="97"/>
      <c r="AK283" s="97"/>
      <c r="AL283" s="97"/>
      <c r="AM283" s="97"/>
      <c r="AN283" s="97"/>
      <c r="AO283" s="97"/>
      <c r="AP283" s="97"/>
      <c r="AQ283" s="97"/>
      <c r="AR283" s="97"/>
      <c r="AS283" s="97"/>
      <c r="AT283" s="97"/>
      <c r="AU283" s="97"/>
      <c r="AV283" s="97"/>
      <c r="AW283" s="97"/>
      <c r="AX283" s="97"/>
    </row>
    <row r="284" ht="15.75" customHeight="1">
      <c r="A284" s="114" t="s">
        <v>2642</v>
      </c>
      <c r="B284" s="165" t="s">
        <v>2643</v>
      </c>
      <c r="C284" s="76" t="s">
        <v>3804</v>
      </c>
      <c r="D284" s="76" t="s">
        <v>3806</v>
      </c>
      <c r="E284" s="259" t="s">
        <v>3809</v>
      </c>
      <c r="F284" s="76" t="s">
        <v>1746</v>
      </c>
      <c r="G284" s="76" t="s">
        <v>3818</v>
      </c>
      <c r="H284" s="76" t="s">
        <v>3820</v>
      </c>
      <c r="I284" s="118"/>
      <c r="J284" s="120"/>
      <c r="K284" s="118" t="s">
        <v>2585</v>
      </c>
      <c r="L284" s="118"/>
      <c r="M284" s="118"/>
      <c r="N284" s="118"/>
      <c r="O284" s="118"/>
      <c r="P284" s="118"/>
      <c r="Q284" s="118" t="s">
        <v>184</v>
      </c>
      <c r="R284" s="118"/>
      <c r="S284" s="118"/>
      <c r="T284" s="118"/>
      <c r="U284" s="118"/>
      <c r="V284" s="118"/>
      <c r="W284" s="118"/>
      <c r="X284" s="118"/>
      <c r="Y284" s="118"/>
      <c r="Z284" s="118"/>
      <c r="AA284" s="118"/>
      <c r="AB284" s="118"/>
      <c r="AC284" s="118"/>
      <c r="AD284" s="97"/>
      <c r="AE284" s="97"/>
      <c r="AF284" s="97"/>
      <c r="AG284" s="97"/>
      <c r="AH284" s="97"/>
      <c r="AI284" s="97"/>
      <c r="AJ284" s="97"/>
      <c r="AK284" s="97"/>
      <c r="AL284" s="97"/>
      <c r="AM284" s="97"/>
      <c r="AN284" s="97"/>
      <c r="AO284" s="97"/>
      <c r="AP284" s="97"/>
      <c r="AQ284" s="97"/>
      <c r="AR284" s="97"/>
      <c r="AS284" s="97"/>
      <c r="AT284" s="97"/>
      <c r="AU284" s="97"/>
      <c r="AV284" s="97"/>
      <c r="AW284" s="97"/>
      <c r="AX284" s="97"/>
    </row>
    <row r="285" ht="15.75" customHeight="1">
      <c r="A285" s="162" t="s">
        <v>217</v>
      </c>
      <c r="B285" s="166" t="s">
        <v>2651</v>
      </c>
      <c r="C285" s="76" t="s">
        <v>3831</v>
      </c>
      <c r="D285" s="76" t="s">
        <v>3833</v>
      </c>
      <c r="E285" s="117" t="s">
        <v>3835</v>
      </c>
      <c r="F285" s="76"/>
      <c r="G285" s="76"/>
      <c r="H285" s="76"/>
      <c r="I285" s="182"/>
      <c r="J285" s="183"/>
      <c r="K285" s="182"/>
      <c r="L285" s="182"/>
      <c r="M285" s="182"/>
      <c r="N285" s="182"/>
      <c r="O285" s="184" t="s">
        <v>3837</v>
      </c>
      <c r="P285" s="182"/>
      <c r="Q285" s="182" t="s">
        <v>184</v>
      </c>
      <c r="R285" s="182"/>
      <c r="S285" s="182"/>
      <c r="T285" s="182"/>
      <c r="U285" s="182"/>
      <c r="V285" s="182"/>
      <c r="W285" s="182"/>
      <c r="X285" s="182"/>
      <c r="Y285" s="182"/>
      <c r="Z285" s="182"/>
      <c r="AA285" s="182"/>
      <c r="AB285" s="182"/>
      <c r="AC285" s="182"/>
      <c r="AD285" s="97"/>
      <c r="AE285" s="97"/>
      <c r="AF285" s="97"/>
      <c r="AG285" s="97"/>
      <c r="AH285" s="97"/>
      <c r="AI285" s="97"/>
      <c r="AJ285" s="97"/>
      <c r="AK285" s="97"/>
      <c r="AL285" s="97"/>
      <c r="AM285" s="97"/>
      <c r="AN285" s="97"/>
      <c r="AO285" s="97"/>
      <c r="AP285" s="97"/>
      <c r="AQ285" s="97"/>
      <c r="AR285" s="97"/>
      <c r="AS285" s="97"/>
      <c r="AT285" s="97"/>
      <c r="AU285" s="97"/>
      <c r="AV285" s="97"/>
      <c r="AW285" s="97"/>
      <c r="AX285" s="97"/>
    </row>
    <row r="286" ht="15.75" customHeight="1">
      <c r="A286" s="80" t="s">
        <v>343</v>
      </c>
      <c r="B286" s="81" t="s">
        <v>884</v>
      </c>
      <c r="C286" s="82"/>
      <c r="D286" s="83"/>
      <c r="E286" s="83"/>
      <c r="F286" s="84"/>
      <c r="G286" s="84"/>
      <c r="H286" s="84"/>
      <c r="I286" s="86"/>
      <c r="J286" s="86"/>
      <c r="K286" s="84"/>
      <c r="L286" s="86"/>
      <c r="M286" s="86"/>
      <c r="N286" s="86"/>
      <c r="O286" s="86"/>
      <c r="P286" s="84"/>
      <c r="Q286" s="84"/>
      <c r="R286" s="84"/>
      <c r="S286" s="84"/>
      <c r="T286" s="84"/>
      <c r="U286" s="84"/>
      <c r="V286" s="84"/>
      <c r="W286" s="84"/>
      <c r="X286" s="84"/>
      <c r="Y286" s="84"/>
      <c r="Z286" s="84"/>
      <c r="AA286" s="84"/>
      <c r="AB286" s="84"/>
      <c r="AC286" s="84"/>
      <c r="AD286" s="97"/>
      <c r="AE286" s="97"/>
      <c r="AF286" s="97"/>
      <c r="AG286" s="97"/>
      <c r="AH286" s="97"/>
      <c r="AI286" s="97"/>
      <c r="AJ286" s="97"/>
      <c r="AK286" s="97"/>
      <c r="AL286" s="97"/>
      <c r="AM286" s="97"/>
      <c r="AN286" s="97"/>
      <c r="AO286" s="97"/>
      <c r="AP286" s="97"/>
      <c r="AQ286" s="97"/>
      <c r="AR286" s="97"/>
      <c r="AS286" s="97"/>
      <c r="AT286" s="97"/>
      <c r="AU286" s="97"/>
      <c r="AV286" s="97"/>
      <c r="AW286" s="97"/>
      <c r="AX286" s="97"/>
    </row>
    <row r="287" ht="15.75" customHeight="1">
      <c r="A287" s="136" t="s">
        <v>150</v>
      </c>
      <c r="B287" s="249" t="s">
        <v>2670</v>
      </c>
      <c r="C287" s="133"/>
      <c r="D287" s="133"/>
      <c r="E287" s="133"/>
      <c r="F287" s="216"/>
      <c r="G287" s="216"/>
      <c r="H287" s="216"/>
      <c r="I287" s="216"/>
      <c r="J287" s="216"/>
      <c r="K287" s="216"/>
      <c r="L287" s="216"/>
      <c r="M287" s="216"/>
      <c r="N287" s="216"/>
      <c r="O287" s="216"/>
      <c r="P287" s="216"/>
      <c r="Q287" s="216"/>
      <c r="R287" s="216"/>
      <c r="S287" s="216"/>
      <c r="T287" s="260" t="s">
        <v>156</v>
      </c>
      <c r="U287" s="216"/>
      <c r="V287" s="216"/>
      <c r="W287" s="216"/>
      <c r="X287" s="216"/>
      <c r="Y287" s="216"/>
      <c r="Z287" s="216"/>
      <c r="AA287" s="216"/>
      <c r="AB287" s="216"/>
      <c r="AC287" s="216"/>
      <c r="AD287" s="217"/>
      <c r="AE287" s="217"/>
      <c r="AF287" s="217"/>
      <c r="AG287" s="217"/>
      <c r="AH287" s="217"/>
      <c r="AI287" s="217"/>
      <c r="AJ287" s="217"/>
      <c r="AK287" s="217"/>
      <c r="AL287" s="217"/>
      <c r="AM287" s="217"/>
      <c r="AN287" s="217"/>
      <c r="AO287" s="217"/>
      <c r="AP287" s="217"/>
      <c r="AQ287" s="217"/>
      <c r="AR287" s="217"/>
      <c r="AS287" s="217"/>
      <c r="AT287" s="217"/>
      <c r="AU287" s="217"/>
      <c r="AV287" s="217"/>
      <c r="AW287" s="217"/>
      <c r="AX287" s="217"/>
    </row>
    <row r="288" ht="14.25" customHeight="1">
      <c r="A288" s="136" t="s">
        <v>115</v>
      </c>
      <c r="B288" s="249" t="s">
        <v>2675</v>
      </c>
      <c r="C288" s="133"/>
      <c r="D288" s="133"/>
      <c r="E288" s="133"/>
      <c r="F288" s="216"/>
      <c r="G288" s="216"/>
      <c r="H288" s="216"/>
      <c r="I288" s="216"/>
      <c r="J288" s="216"/>
      <c r="K288" s="216"/>
      <c r="L288" s="216"/>
      <c r="M288" s="216"/>
      <c r="N288" s="216"/>
      <c r="O288" s="216"/>
      <c r="P288" s="216"/>
      <c r="Q288" s="216"/>
      <c r="R288" s="216"/>
      <c r="S288" s="216"/>
      <c r="T288" s="260" t="s">
        <v>3883</v>
      </c>
      <c r="U288" s="216"/>
      <c r="V288" s="216"/>
      <c r="W288" s="216"/>
      <c r="X288" s="216"/>
      <c r="Y288" s="216"/>
      <c r="Z288" s="216"/>
      <c r="AA288" s="216"/>
      <c r="AB288" s="216"/>
      <c r="AC288" s="216"/>
      <c r="AD288" s="217"/>
      <c r="AE288" s="217"/>
      <c r="AF288" s="217"/>
      <c r="AG288" s="217"/>
      <c r="AH288" s="217"/>
      <c r="AI288" s="217"/>
      <c r="AJ288" s="217"/>
      <c r="AK288" s="217"/>
      <c r="AL288" s="217"/>
      <c r="AM288" s="217"/>
      <c r="AN288" s="217"/>
      <c r="AO288" s="217"/>
      <c r="AP288" s="217"/>
      <c r="AQ288" s="217"/>
      <c r="AR288" s="217"/>
      <c r="AS288" s="217"/>
      <c r="AT288" s="217"/>
      <c r="AU288" s="217"/>
      <c r="AV288" s="217"/>
      <c r="AW288" s="217"/>
      <c r="AX288" s="217"/>
    </row>
    <row r="289" ht="15.75" customHeight="1">
      <c r="A289" s="150" t="s">
        <v>161</v>
      </c>
      <c r="B289" s="82" t="s">
        <v>2682</v>
      </c>
      <c r="C289" s="82"/>
      <c r="D289" s="83"/>
      <c r="E289" s="83"/>
      <c r="F289" s="84"/>
      <c r="G289" s="84"/>
      <c r="H289" s="84"/>
      <c r="I289" s="86"/>
      <c r="J289" s="86" t="s">
        <v>1811</v>
      </c>
      <c r="K289" s="84"/>
      <c r="L289" s="86"/>
      <c r="M289" s="86"/>
      <c r="N289" s="86"/>
      <c r="O289" s="86"/>
      <c r="P289" s="84"/>
      <c r="Q289" s="84"/>
      <c r="R289" s="84"/>
      <c r="S289" s="84"/>
      <c r="T289" s="84"/>
      <c r="U289" s="84"/>
      <c r="V289" s="84"/>
      <c r="W289" s="84"/>
      <c r="X289" s="84"/>
      <c r="Y289" s="84"/>
      <c r="Z289" s="84"/>
      <c r="AA289" s="84"/>
      <c r="AB289" s="84"/>
      <c r="AC289" s="84"/>
      <c r="AD289" s="97"/>
      <c r="AE289" s="97"/>
      <c r="AF289" s="97"/>
      <c r="AG289" s="97"/>
      <c r="AH289" s="97"/>
      <c r="AI289" s="97"/>
      <c r="AJ289" s="97"/>
      <c r="AK289" s="97"/>
      <c r="AL289" s="97"/>
      <c r="AM289" s="97"/>
      <c r="AN289" s="97"/>
      <c r="AO289" s="97"/>
      <c r="AP289" s="97"/>
      <c r="AQ289" s="97"/>
      <c r="AR289" s="97"/>
      <c r="AS289" s="97"/>
      <c r="AT289" s="97"/>
      <c r="AU289" s="97"/>
      <c r="AV289" s="97"/>
      <c r="AW289" s="97"/>
      <c r="AX289" s="97"/>
    </row>
    <row r="290" ht="15.75" customHeight="1">
      <c r="A290" s="114" t="s">
        <v>541</v>
      </c>
      <c r="B290" s="165" t="s">
        <v>2687</v>
      </c>
      <c r="C290" s="76" t="s">
        <v>3903</v>
      </c>
      <c r="D290" s="76" t="s">
        <v>3904</v>
      </c>
      <c r="E290" s="117" t="s">
        <v>3907</v>
      </c>
      <c r="F290" s="76"/>
      <c r="G290" s="76"/>
      <c r="H290" s="76"/>
      <c r="I290" s="120"/>
      <c r="J290" s="118" t="s">
        <v>6</v>
      </c>
      <c r="K290" s="118"/>
      <c r="L290" s="118"/>
      <c r="M290" s="118"/>
      <c r="N290" s="118"/>
      <c r="O290" s="118"/>
      <c r="P290" s="118"/>
      <c r="Q290" s="118"/>
      <c r="R290" s="118"/>
      <c r="S290" s="118"/>
      <c r="T290" s="118"/>
      <c r="U290" s="118"/>
      <c r="V290" s="118"/>
      <c r="W290" s="118"/>
      <c r="X290" s="118"/>
      <c r="Y290" s="118"/>
      <c r="Z290" s="118"/>
      <c r="AA290" s="118"/>
      <c r="AB290" s="118"/>
      <c r="AC290" s="118"/>
      <c r="AD290" s="97"/>
      <c r="AE290" s="97"/>
      <c r="AF290" s="97"/>
      <c r="AG290" s="97"/>
      <c r="AH290" s="97"/>
      <c r="AI290" s="97"/>
      <c r="AJ290" s="97"/>
      <c r="AK290" s="97"/>
      <c r="AL290" s="97"/>
      <c r="AM290" s="97"/>
      <c r="AN290" s="97"/>
      <c r="AO290" s="97"/>
      <c r="AP290" s="97"/>
      <c r="AQ290" s="97"/>
      <c r="AR290" s="97"/>
      <c r="AS290" s="97"/>
      <c r="AT290" s="97"/>
      <c r="AU290" s="97"/>
      <c r="AV290" s="97"/>
      <c r="AW290" s="97"/>
      <c r="AX290" s="97"/>
    </row>
    <row r="291" ht="15.75" customHeight="1">
      <c r="A291" s="114" t="s">
        <v>541</v>
      </c>
      <c r="B291" s="165" t="s">
        <v>2711</v>
      </c>
      <c r="C291" s="76" t="s">
        <v>3918</v>
      </c>
      <c r="D291" s="76" t="s">
        <v>3919</v>
      </c>
      <c r="E291" s="117" t="s">
        <v>3920</v>
      </c>
      <c r="F291" s="76"/>
      <c r="G291" s="76"/>
      <c r="H291" s="76"/>
      <c r="I291" s="120"/>
      <c r="J291" s="118" t="s">
        <v>1837</v>
      </c>
      <c r="K291" s="118"/>
      <c r="L291" s="118"/>
      <c r="M291" s="118"/>
      <c r="N291" s="118"/>
      <c r="O291" s="118"/>
      <c r="P291" s="118"/>
      <c r="Q291" s="118" t="s">
        <v>184</v>
      </c>
      <c r="R291" s="118"/>
      <c r="S291" s="118"/>
      <c r="T291" s="118"/>
      <c r="U291" s="118"/>
      <c r="V291" s="118"/>
      <c r="W291" s="118"/>
      <c r="X291" s="118"/>
      <c r="Y291" s="118"/>
      <c r="Z291" s="118"/>
      <c r="AA291" s="118"/>
      <c r="AB291" s="118"/>
      <c r="AC291" s="118"/>
      <c r="AD291" s="97"/>
      <c r="AE291" s="97"/>
      <c r="AF291" s="97"/>
      <c r="AG291" s="97"/>
      <c r="AH291" s="97"/>
      <c r="AI291" s="97"/>
      <c r="AJ291" s="97"/>
      <c r="AK291" s="97"/>
      <c r="AL291" s="97"/>
      <c r="AM291" s="97"/>
      <c r="AN291" s="97"/>
      <c r="AO291" s="97"/>
      <c r="AP291" s="97"/>
      <c r="AQ291" s="97"/>
      <c r="AR291" s="97"/>
      <c r="AS291" s="97"/>
      <c r="AT291" s="97"/>
      <c r="AU291" s="97"/>
      <c r="AV291" s="97"/>
      <c r="AW291" s="97"/>
      <c r="AX291" s="97"/>
    </row>
    <row r="292" ht="15.75" customHeight="1">
      <c r="A292" s="114" t="s">
        <v>541</v>
      </c>
      <c r="B292" s="165" t="s">
        <v>2715</v>
      </c>
      <c r="C292" s="76" t="s">
        <v>3937</v>
      </c>
      <c r="D292" s="76" t="s">
        <v>3938</v>
      </c>
      <c r="E292" s="117" t="s">
        <v>3939</v>
      </c>
      <c r="F292" s="76"/>
      <c r="G292" s="76"/>
      <c r="H292" s="76"/>
      <c r="I292" s="120"/>
      <c r="J292" s="118" t="s">
        <v>1837</v>
      </c>
      <c r="K292" s="118"/>
      <c r="L292" s="118"/>
      <c r="M292" s="118"/>
      <c r="N292" s="118"/>
      <c r="O292" s="118"/>
      <c r="P292" s="118"/>
      <c r="Q292" s="118" t="s">
        <v>184</v>
      </c>
      <c r="R292" s="118"/>
      <c r="S292" s="118"/>
      <c r="T292" s="118"/>
      <c r="U292" s="118"/>
      <c r="V292" s="118"/>
      <c r="W292" s="118"/>
      <c r="X292" s="118"/>
      <c r="Y292" s="118"/>
      <c r="Z292" s="118"/>
      <c r="AA292" s="118"/>
      <c r="AB292" s="118"/>
      <c r="AC292" s="118"/>
      <c r="AD292" s="97"/>
      <c r="AE292" s="97"/>
      <c r="AF292" s="97"/>
      <c r="AG292" s="97"/>
      <c r="AH292" s="97"/>
      <c r="AI292" s="97"/>
      <c r="AJ292" s="97"/>
      <c r="AK292" s="97"/>
      <c r="AL292" s="97"/>
      <c r="AM292" s="97"/>
      <c r="AN292" s="97"/>
      <c r="AO292" s="97"/>
      <c r="AP292" s="97"/>
      <c r="AQ292" s="97"/>
      <c r="AR292" s="97"/>
      <c r="AS292" s="97"/>
      <c r="AT292" s="97"/>
      <c r="AU292" s="97"/>
      <c r="AV292" s="97"/>
      <c r="AW292" s="97"/>
      <c r="AX292" s="97"/>
    </row>
    <row r="293" ht="15.75" customHeight="1">
      <c r="A293" s="150" t="s">
        <v>343</v>
      </c>
      <c r="B293" s="83" t="s">
        <v>2682</v>
      </c>
      <c r="C293" s="83"/>
      <c r="D293" s="83"/>
      <c r="E293" s="83"/>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97"/>
      <c r="AE293" s="97"/>
      <c r="AF293" s="97"/>
      <c r="AG293" s="97"/>
      <c r="AH293" s="97"/>
      <c r="AI293" s="97"/>
      <c r="AJ293" s="97"/>
      <c r="AK293" s="97"/>
      <c r="AL293" s="97"/>
      <c r="AM293" s="97"/>
      <c r="AN293" s="97"/>
      <c r="AO293" s="97"/>
      <c r="AP293" s="97"/>
      <c r="AQ293" s="97"/>
      <c r="AR293" s="97"/>
      <c r="AS293" s="97"/>
      <c r="AT293" s="97"/>
      <c r="AU293" s="97"/>
      <c r="AV293" s="97"/>
      <c r="AW293" s="97"/>
      <c r="AX293" s="97"/>
    </row>
    <row r="294" ht="15.75" customHeight="1">
      <c r="A294" s="150"/>
      <c r="B294" s="82"/>
      <c r="C294" s="82"/>
      <c r="D294" s="83"/>
      <c r="E294" s="83"/>
      <c r="F294" s="84"/>
      <c r="G294" s="84"/>
      <c r="H294" s="84"/>
      <c r="I294" s="84"/>
      <c r="J294" s="86"/>
      <c r="K294" s="84"/>
      <c r="L294" s="84"/>
      <c r="M294" s="86"/>
      <c r="N294" s="86"/>
      <c r="O294" s="86"/>
      <c r="P294" s="84"/>
      <c r="Q294" s="84"/>
      <c r="R294" s="84"/>
      <c r="S294" s="84"/>
      <c r="T294" s="84"/>
      <c r="U294" s="84"/>
      <c r="V294" s="84"/>
      <c r="W294" s="84"/>
      <c r="X294" s="84"/>
      <c r="Y294" s="84"/>
      <c r="Z294" s="84"/>
      <c r="AA294" s="84"/>
      <c r="AB294" s="84"/>
      <c r="AC294" s="84"/>
      <c r="AD294" s="97"/>
      <c r="AE294" s="97"/>
      <c r="AF294" s="97"/>
      <c r="AG294" s="97"/>
      <c r="AH294" s="97"/>
      <c r="AI294" s="97"/>
      <c r="AJ294" s="97"/>
      <c r="AK294" s="97"/>
      <c r="AL294" s="97"/>
      <c r="AM294" s="97"/>
      <c r="AN294" s="97"/>
      <c r="AO294" s="97"/>
      <c r="AP294" s="97"/>
      <c r="AQ294" s="97"/>
      <c r="AR294" s="97"/>
      <c r="AS294" s="97"/>
      <c r="AT294" s="97"/>
      <c r="AU294" s="97"/>
      <c r="AV294" s="97"/>
      <c r="AW294" s="97"/>
      <c r="AX294" s="97"/>
    </row>
    <row r="295">
      <c r="A295" s="141"/>
      <c r="B295" s="141"/>
      <c r="C295" s="141"/>
      <c r="D295" s="141"/>
      <c r="E295" s="26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141"/>
      <c r="AP295" s="141"/>
      <c r="AQ295" s="141"/>
      <c r="AR295" s="141"/>
      <c r="AS295" s="141"/>
      <c r="AT295" s="141"/>
      <c r="AU295" s="141"/>
      <c r="AV295" s="141"/>
      <c r="AW295" s="141"/>
      <c r="AX295" s="141"/>
    </row>
    <row r="296" ht="15.75" customHeight="1">
      <c r="A296" s="150" t="s">
        <v>161</v>
      </c>
      <c r="B296" s="82" t="s">
        <v>2750</v>
      </c>
      <c r="C296" s="82"/>
      <c r="D296" s="83"/>
      <c r="E296" s="83"/>
      <c r="F296" s="84"/>
      <c r="G296" s="84"/>
      <c r="H296" s="84"/>
      <c r="I296" s="86"/>
      <c r="J296" s="86"/>
      <c r="K296" s="84"/>
      <c r="L296" s="86"/>
      <c r="M296" s="86"/>
      <c r="N296" s="86"/>
      <c r="O296" s="86" t="s">
        <v>3169</v>
      </c>
      <c r="P296" s="84"/>
      <c r="Q296" s="84"/>
      <c r="R296" s="84"/>
      <c r="S296" s="84"/>
      <c r="T296" s="84"/>
      <c r="U296" s="84"/>
      <c r="V296" s="84"/>
      <c r="W296" s="84"/>
      <c r="X296" s="84"/>
      <c r="Y296" s="84"/>
      <c r="Z296" s="84"/>
      <c r="AA296" s="84"/>
      <c r="AB296" s="84"/>
      <c r="AC296" s="84"/>
      <c r="AD296" s="97"/>
      <c r="AE296" s="97"/>
      <c r="AF296" s="97"/>
      <c r="AG296" s="97"/>
      <c r="AH296" s="97"/>
      <c r="AI296" s="97"/>
      <c r="AJ296" s="97"/>
      <c r="AK296" s="97"/>
      <c r="AL296" s="97"/>
      <c r="AM296" s="97"/>
      <c r="AN296" s="97"/>
      <c r="AO296" s="97"/>
      <c r="AP296" s="97"/>
      <c r="AQ296" s="97"/>
      <c r="AR296" s="97"/>
      <c r="AS296" s="97"/>
      <c r="AT296" s="97"/>
      <c r="AU296" s="97"/>
      <c r="AV296" s="97"/>
      <c r="AW296" s="97"/>
      <c r="AX296" s="97"/>
    </row>
    <row r="297" ht="15.75" customHeight="1">
      <c r="A297" s="150" t="s">
        <v>161</v>
      </c>
      <c r="B297" s="82" t="s">
        <v>2754</v>
      </c>
      <c r="C297" s="82"/>
      <c r="D297" s="83"/>
      <c r="E297" s="83"/>
      <c r="F297" s="84"/>
      <c r="G297" s="84"/>
      <c r="H297" s="84"/>
      <c r="I297" s="86"/>
      <c r="J297" s="86" t="s">
        <v>1811</v>
      </c>
      <c r="K297" s="84"/>
      <c r="L297" s="86"/>
      <c r="M297" s="86"/>
      <c r="N297" s="86"/>
      <c r="O297" s="86"/>
      <c r="P297" s="84"/>
      <c r="Q297" s="84"/>
      <c r="R297" s="84"/>
      <c r="S297" s="84"/>
      <c r="T297" s="84"/>
      <c r="U297" s="84"/>
      <c r="V297" s="84"/>
      <c r="W297" s="84"/>
      <c r="X297" s="84"/>
      <c r="Y297" s="84"/>
      <c r="Z297" s="84"/>
      <c r="AA297" s="84"/>
      <c r="AB297" s="84"/>
      <c r="AC297" s="84"/>
      <c r="AD297" s="97"/>
      <c r="AE297" s="97"/>
      <c r="AF297" s="97"/>
      <c r="AG297" s="97"/>
      <c r="AH297" s="97"/>
      <c r="AI297" s="97"/>
      <c r="AJ297" s="97"/>
      <c r="AK297" s="97"/>
      <c r="AL297" s="97"/>
      <c r="AM297" s="97"/>
      <c r="AN297" s="97"/>
      <c r="AO297" s="97"/>
      <c r="AP297" s="97"/>
      <c r="AQ297" s="97"/>
      <c r="AR297" s="97"/>
      <c r="AS297" s="97"/>
      <c r="AT297" s="97"/>
      <c r="AU297" s="97"/>
      <c r="AV297" s="97"/>
      <c r="AW297" s="97"/>
      <c r="AX297" s="97"/>
    </row>
    <row r="298" ht="15.75" customHeight="1">
      <c r="A298" s="121" t="s">
        <v>44</v>
      </c>
      <c r="B298" s="157" t="s">
        <v>2759</v>
      </c>
      <c r="C298" s="76" t="s">
        <v>4019</v>
      </c>
      <c r="D298" s="76" t="e">
        <v>#VALUE!</v>
      </c>
      <c r="E298" s="117" t="e">
        <v>#VALUE!</v>
      </c>
      <c r="F298" s="76"/>
      <c r="G298" s="76"/>
      <c r="H298" s="76"/>
      <c r="I298" s="120"/>
      <c r="J298" s="118"/>
      <c r="K298" s="118"/>
      <c r="L298" s="118"/>
      <c r="M298" s="118"/>
      <c r="N298" s="118"/>
      <c r="O298" s="118"/>
      <c r="P298" s="118"/>
      <c r="Q298" s="118"/>
      <c r="R298" s="118"/>
      <c r="S298" s="118"/>
      <c r="T298" s="118"/>
      <c r="U298" s="118"/>
      <c r="V298" s="118"/>
      <c r="W298" s="118"/>
      <c r="X298" s="118"/>
      <c r="Y298" s="118"/>
      <c r="Z298" s="118"/>
      <c r="AA298" s="118"/>
      <c r="AB298" s="118"/>
      <c r="AC298" s="118"/>
      <c r="AD298" s="97"/>
      <c r="AE298" s="97"/>
      <c r="AF298" s="97"/>
      <c r="AG298" s="97"/>
      <c r="AH298" s="97"/>
      <c r="AI298" s="97"/>
      <c r="AJ298" s="97"/>
      <c r="AK298" s="97"/>
      <c r="AL298" s="97"/>
      <c r="AM298" s="97"/>
      <c r="AN298" s="97"/>
      <c r="AO298" s="97"/>
      <c r="AP298" s="97"/>
      <c r="AQ298" s="97"/>
      <c r="AR298" s="97"/>
      <c r="AS298" s="97"/>
      <c r="AT298" s="97"/>
      <c r="AU298" s="97"/>
      <c r="AV298" s="97"/>
      <c r="AW298" s="97"/>
      <c r="AX298" s="97"/>
    </row>
    <row r="299" ht="15.75" customHeight="1">
      <c r="A299" s="114" t="s">
        <v>979</v>
      </c>
      <c r="B299" s="165" t="s">
        <v>2762</v>
      </c>
      <c r="C299" s="76" t="s">
        <v>4034</v>
      </c>
      <c r="D299" s="76" t="s">
        <v>4037</v>
      </c>
      <c r="E299" s="117" t="s">
        <v>4040</v>
      </c>
      <c r="F299" s="76"/>
      <c r="G299" s="76"/>
      <c r="H299" s="76"/>
      <c r="I299" s="120"/>
      <c r="J299" s="118" t="s">
        <v>6</v>
      </c>
      <c r="K299" s="118"/>
      <c r="L299" s="118"/>
      <c r="M299" s="118"/>
      <c r="N299" s="118"/>
      <c r="O299" s="118"/>
      <c r="P299" s="118"/>
      <c r="Q299" s="118"/>
      <c r="R299" s="118"/>
      <c r="S299" s="118"/>
      <c r="T299" s="118"/>
      <c r="U299" s="118"/>
      <c r="V299" s="118"/>
      <c r="W299" s="118"/>
      <c r="X299" s="118"/>
      <c r="Y299" s="118"/>
      <c r="Z299" s="118"/>
      <c r="AA299" s="118"/>
      <c r="AB299" s="118"/>
      <c r="AC299" s="118"/>
      <c r="AD299" s="97"/>
      <c r="AE299" s="97"/>
      <c r="AF299" s="97"/>
      <c r="AG299" s="97"/>
      <c r="AH299" s="97"/>
      <c r="AI299" s="97"/>
      <c r="AJ299" s="97"/>
      <c r="AK299" s="97"/>
      <c r="AL299" s="97"/>
      <c r="AM299" s="97"/>
      <c r="AN299" s="97"/>
      <c r="AO299" s="97"/>
      <c r="AP299" s="97"/>
      <c r="AQ299" s="97"/>
      <c r="AR299" s="97"/>
      <c r="AS299" s="97"/>
      <c r="AT299" s="97"/>
      <c r="AU299" s="97"/>
      <c r="AV299" s="97"/>
      <c r="AW299" s="97"/>
      <c r="AX299" s="97"/>
    </row>
    <row r="300" ht="15.75" customHeight="1">
      <c r="A300" s="114" t="s">
        <v>979</v>
      </c>
      <c r="B300" s="165" t="s">
        <v>2770</v>
      </c>
      <c r="C300" s="76" t="s">
        <v>4051</v>
      </c>
      <c r="D300" s="76" t="s">
        <v>4052</v>
      </c>
      <c r="E300" s="117" t="s">
        <v>4053</v>
      </c>
      <c r="F300" s="76"/>
      <c r="G300" s="76"/>
      <c r="H300" s="76"/>
      <c r="I300" s="120"/>
      <c r="J300" s="118" t="s">
        <v>1837</v>
      </c>
      <c r="K300" s="118"/>
      <c r="L300" s="118"/>
      <c r="M300" s="118"/>
      <c r="N300" s="118"/>
      <c r="O300" s="118"/>
      <c r="P300" s="118"/>
      <c r="Q300" s="118" t="s">
        <v>184</v>
      </c>
      <c r="R300" s="118"/>
      <c r="S300" s="118"/>
      <c r="T300" s="118"/>
      <c r="U300" s="118"/>
      <c r="V300" s="118"/>
      <c r="W300" s="118"/>
      <c r="X300" s="118"/>
      <c r="Y300" s="118"/>
      <c r="Z300" s="118"/>
      <c r="AA300" s="118"/>
      <c r="AB300" s="118"/>
      <c r="AC300" s="118"/>
      <c r="AD300" s="97"/>
      <c r="AE300" s="97"/>
      <c r="AF300" s="97"/>
      <c r="AG300" s="97"/>
      <c r="AH300" s="97"/>
      <c r="AI300" s="97"/>
      <c r="AJ300" s="97"/>
      <c r="AK300" s="97"/>
      <c r="AL300" s="97"/>
      <c r="AM300" s="97"/>
      <c r="AN300" s="97"/>
      <c r="AO300" s="97"/>
      <c r="AP300" s="97"/>
      <c r="AQ300" s="97"/>
      <c r="AR300" s="97"/>
      <c r="AS300" s="97"/>
      <c r="AT300" s="97"/>
      <c r="AU300" s="97"/>
      <c r="AV300" s="97"/>
      <c r="AW300" s="97"/>
      <c r="AX300" s="97"/>
    </row>
    <row r="301" ht="15.75" customHeight="1">
      <c r="A301" s="114" t="s">
        <v>979</v>
      </c>
      <c r="B301" s="165" t="s">
        <v>2771</v>
      </c>
      <c r="C301" s="76" t="s">
        <v>4071</v>
      </c>
      <c r="D301" s="76" t="s">
        <v>4072</v>
      </c>
      <c r="E301" s="117" t="s">
        <v>4073</v>
      </c>
      <c r="F301" s="76"/>
      <c r="G301" s="76"/>
      <c r="H301" s="76"/>
      <c r="I301" s="120"/>
      <c r="J301" s="118" t="s">
        <v>1837</v>
      </c>
      <c r="K301" s="118"/>
      <c r="L301" s="118"/>
      <c r="M301" s="118"/>
      <c r="N301" s="118"/>
      <c r="O301" s="118"/>
      <c r="P301" s="118"/>
      <c r="Q301" s="118" t="s">
        <v>184</v>
      </c>
      <c r="R301" s="118"/>
      <c r="S301" s="118"/>
      <c r="T301" s="118"/>
      <c r="U301" s="118"/>
      <c r="V301" s="118"/>
      <c r="W301" s="118"/>
      <c r="X301" s="118"/>
      <c r="Y301" s="118"/>
      <c r="Z301" s="118"/>
      <c r="AA301" s="118"/>
      <c r="AB301" s="118"/>
      <c r="AC301" s="118"/>
      <c r="AD301" s="97"/>
      <c r="AE301" s="97"/>
      <c r="AF301" s="97"/>
      <c r="AG301" s="97"/>
      <c r="AH301" s="97"/>
      <c r="AI301" s="97"/>
      <c r="AJ301" s="97"/>
      <c r="AK301" s="97"/>
      <c r="AL301" s="97"/>
      <c r="AM301" s="97"/>
      <c r="AN301" s="97"/>
      <c r="AO301" s="97"/>
      <c r="AP301" s="97"/>
      <c r="AQ301" s="97"/>
      <c r="AR301" s="97"/>
      <c r="AS301" s="97"/>
      <c r="AT301" s="97"/>
      <c r="AU301" s="97"/>
      <c r="AV301" s="97"/>
      <c r="AW301" s="97"/>
      <c r="AX301" s="97"/>
    </row>
    <row r="302" ht="15.75" customHeight="1">
      <c r="A302" s="150" t="s">
        <v>343</v>
      </c>
      <c r="B302" s="83" t="s">
        <v>2754</v>
      </c>
      <c r="C302" s="83"/>
      <c r="D302" s="83"/>
      <c r="E302" s="83"/>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97"/>
      <c r="AE302" s="97"/>
      <c r="AF302" s="97"/>
      <c r="AG302" s="97"/>
      <c r="AH302" s="97"/>
      <c r="AI302" s="97"/>
      <c r="AJ302" s="97"/>
      <c r="AK302" s="97"/>
      <c r="AL302" s="97"/>
      <c r="AM302" s="97"/>
      <c r="AN302" s="97"/>
      <c r="AO302" s="97"/>
      <c r="AP302" s="97"/>
      <c r="AQ302" s="97"/>
      <c r="AR302" s="97"/>
      <c r="AS302" s="97"/>
      <c r="AT302" s="97"/>
      <c r="AU302" s="97"/>
      <c r="AV302" s="97"/>
      <c r="AW302" s="97"/>
      <c r="AX302" s="97"/>
    </row>
    <row r="303" ht="15.75" customHeight="1">
      <c r="A303" s="150" t="s">
        <v>161</v>
      </c>
      <c r="B303" s="82" t="s">
        <v>2799</v>
      </c>
      <c r="C303" s="82"/>
      <c r="D303" s="83"/>
      <c r="E303" s="83"/>
      <c r="F303" s="84"/>
      <c r="G303" s="84"/>
      <c r="H303" s="84"/>
      <c r="I303" s="86"/>
      <c r="J303" s="86" t="s">
        <v>1811</v>
      </c>
      <c r="K303" s="84"/>
      <c r="L303" s="86"/>
      <c r="M303" s="86"/>
      <c r="N303" s="86"/>
      <c r="O303" s="86"/>
      <c r="P303" s="84"/>
      <c r="Q303" s="84"/>
      <c r="R303" s="84"/>
      <c r="S303" s="84"/>
      <c r="T303" s="84"/>
      <c r="U303" s="84"/>
      <c r="V303" s="84"/>
      <c r="W303" s="84"/>
      <c r="X303" s="84"/>
      <c r="Y303" s="84"/>
      <c r="Z303" s="84"/>
      <c r="AA303" s="84"/>
      <c r="AB303" s="84"/>
      <c r="AC303" s="84"/>
      <c r="AD303" s="97"/>
      <c r="AE303" s="97"/>
      <c r="AF303" s="97"/>
      <c r="AG303" s="97"/>
      <c r="AH303" s="97"/>
      <c r="AI303" s="97"/>
      <c r="AJ303" s="97"/>
      <c r="AK303" s="97"/>
      <c r="AL303" s="97"/>
      <c r="AM303" s="97"/>
      <c r="AN303" s="97"/>
      <c r="AO303" s="97"/>
      <c r="AP303" s="97"/>
      <c r="AQ303" s="97"/>
      <c r="AR303" s="97"/>
      <c r="AS303" s="97"/>
      <c r="AT303" s="97"/>
      <c r="AU303" s="97"/>
      <c r="AV303" s="97"/>
      <c r="AW303" s="97"/>
      <c r="AX303" s="97"/>
    </row>
    <row r="304" ht="15.75" customHeight="1">
      <c r="A304" s="114" t="s">
        <v>680</v>
      </c>
      <c r="B304" s="165" t="s">
        <v>2803</v>
      </c>
      <c r="C304" s="76" t="s">
        <v>4115</v>
      </c>
      <c r="D304" s="76" t="s">
        <v>4116</v>
      </c>
      <c r="E304" s="117" t="s">
        <v>4118</v>
      </c>
      <c r="F304" s="76"/>
      <c r="G304" s="76"/>
      <c r="H304" s="76"/>
      <c r="I304" s="120"/>
      <c r="J304" s="118" t="s">
        <v>6</v>
      </c>
      <c r="K304" s="118"/>
      <c r="L304" s="118"/>
      <c r="M304" s="118"/>
      <c r="N304" s="118"/>
      <c r="O304" s="118"/>
      <c r="P304" s="118"/>
      <c r="Q304" s="118"/>
      <c r="R304" s="118"/>
      <c r="S304" s="118"/>
      <c r="T304" s="118"/>
      <c r="U304" s="118"/>
      <c r="V304" s="118"/>
      <c r="W304" s="118"/>
      <c r="X304" s="118"/>
      <c r="Y304" s="118"/>
      <c r="Z304" s="118"/>
      <c r="AA304" s="118"/>
      <c r="AB304" s="118"/>
      <c r="AC304" s="118"/>
      <c r="AD304" s="97"/>
      <c r="AE304" s="97"/>
      <c r="AF304" s="97"/>
      <c r="AG304" s="97"/>
      <c r="AH304" s="97"/>
      <c r="AI304" s="97"/>
      <c r="AJ304" s="97"/>
      <c r="AK304" s="97"/>
      <c r="AL304" s="97"/>
      <c r="AM304" s="97"/>
      <c r="AN304" s="97"/>
      <c r="AO304" s="97"/>
      <c r="AP304" s="97"/>
      <c r="AQ304" s="97"/>
      <c r="AR304" s="97"/>
      <c r="AS304" s="97"/>
      <c r="AT304" s="97"/>
      <c r="AU304" s="97"/>
      <c r="AV304" s="97"/>
      <c r="AW304" s="97"/>
      <c r="AX304" s="97"/>
    </row>
    <row r="305" ht="15.75" customHeight="1">
      <c r="A305" s="114" t="s">
        <v>680</v>
      </c>
      <c r="B305" s="165" t="s">
        <v>2813</v>
      </c>
      <c r="C305" s="76" t="s">
        <v>4126</v>
      </c>
      <c r="D305" s="76" t="s">
        <v>4127</v>
      </c>
      <c r="E305" s="117" t="s">
        <v>4128</v>
      </c>
      <c r="F305" s="76"/>
      <c r="G305" s="76"/>
      <c r="H305" s="76"/>
      <c r="I305" s="120"/>
      <c r="J305" s="118" t="s">
        <v>1837</v>
      </c>
      <c r="K305" s="118"/>
      <c r="L305" s="118"/>
      <c r="M305" s="118"/>
      <c r="N305" s="118"/>
      <c r="O305" s="118"/>
      <c r="P305" s="118"/>
      <c r="Q305" s="118" t="s">
        <v>184</v>
      </c>
      <c r="R305" s="118"/>
      <c r="S305" s="118"/>
      <c r="T305" s="118"/>
      <c r="U305" s="118"/>
      <c r="V305" s="118"/>
      <c r="W305" s="118"/>
      <c r="X305" s="118"/>
      <c r="Y305" s="118"/>
      <c r="Z305" s="118"/>
      <c r="AA305" s="118"/>
      <c r="AB305" s="118"/>
      <c r="AC305" s="118"/>
      <c r="AD305" s="97"/>
      <c r="AE305" s="97"/>
      <c r="AF305" s="97"/>
      <c r="AG305" s="97"/>
      <c r="AH305" s="97"/>
      <c r="AI305" s="97"/>
      <c r="AJ305" s="97"/>
      <c r="AK305" s="97"/>
      <c r="AL305" s="97"/>
      <c r="AM305" s="97"/>
      <c r="AN305" s="97"/>
      <c r="AO305" s="97"/>
      <c r="AP305" s="97"/>
      <c r="AQ305" s="97"/>
      <c r="AR305" s="97"/>
      <c r="AS305" s="97"/>
      <c r="AT305" s="97"/>
      <c r="AU305" s="97"/>
      <c r="AV305" s="97"/>
      <c r="AW305" s="97"/>
      <c r="AX305" s="97"/>
    </row>
    <row r="306" ht="15.75" customHeight="1">
      <c r="A306" s="114" t="s">
        <v>680</v>
      </c>
      <c r="B306" s="165" t="s">
        <v>2817</v>
      </c>
      <c r="C306" s="76" t="s">
        <v>4144</v>
      </c>
      <c r="D306" s="76" t="s">
        <v>4147</v>
      </c>
      <c r="E306" s="117" t="s">
        <v>4148</v>
      </c>
      <c r="F306" s="76"/>
      <c r="G306" s="76"/>
      <c r="H306" s="76"/>
      <c r="I306" s="120"/>
      <c r="J306" s="118" t="s">
        <v>1837</v>
      </c>
      <c r="K306" s="118"/>
      <c r="L306" s="118"/>
      <c r="M306" s="118"/>
      <c r="N306" s="118"/>
      <c r="O306" s="118"/>
      <c r="P306" s="118"/>
      <c r="Q306" s="118" t="s">
        <v>184</v>
      </c>
      <c r="R306" s="118"/>
      <c r="S306" s="118"/>
      <c r="T306" s="118"/>
      <c r="U306" s="118"/>
      <c r="V306" s="118"/>
      <c r="W306" s="118"/>
      <c r="X306" s="118"/>
      <c r="Y306" s="118"/>
      <c r="Z306" s="118"/>
      <c r="AA306" s="118"/>
      <c r="AB306" s="118"/>
      <c r="AC306" s="118"/>
      <c r="AD306" s="97"/>
      <c r="AE306" s="97"/>
      <c r="AF306" s="97"/>
      <c r="AG306" s="97"/>
      <c r="AH306" s="97"/>
      <c r="AI306" s="97"/>
      <c r="AJ306" s="97"/>
      <c r="AK306" s="97"/>
      <c r="AL306" s="97"/>
      <c r="AM306" s="97"/>
      <c r="AN306" s="97"/>
      <c r="AO306" s="97"/>
      <c r="AP306" s="97"/>
      <c r="AQ306" s="97"/>
      <c r="AR306" s="97"/>
      <c r="AS306" s="97"/>
      <c r="AT306" s="97"/>
      <c r="AU306" s="97"/>
      <c r="AV306" s="97"/>
      <c r="AW306" s="97"/>
      <c r="AX306" s="97"/>
    </row>
    <row r="307" ht="15.75" customHeight="1">
      <c r="A307" s="114" t="s">
        <v>680</v>
      </c>
      <c r="B307" s="165" t="s">
        <v>2818</v>
      </c>
      <c r="C307" s="76" t="s">
        <v>4156</v>
      </c>
      <c r="D307" s="76" t="s">
        <v>4157</v>
      </c>
      <c r="E307" s="117" t="s">
        <v>4158</v>
      </c>
      <c r="F307" s="76"/>
      <c r="G307" s="76"/>
      <c r="H307" s="76"/>
      <c r="I307" s="120"/>
      <c r="J307" s="118" t="s">
        <v>1837</v>
      </c>
      <c r="K307" s="118"/>
      <c r="L307" s="118"/>
      <c r="M307" s="118"/>
      <c r="N307" s="118"/>
      <c r="O307" s="118"/>
      <c r="P307" s="118"/>
      <c r="Q307" s="118" t="s">
        <v>184</v>
      </c>
      <c r="R307" s="118"/>
      <c r="S307" s="118"/>
      <c r="T307" s="118"/>
      <c r="U307" s="118"/>
      <c r="V307" s="118"/>
      <c r="W307" s="118"/>
      <c r="X307" s="118"/>
      <c r="Y307" s="118"/>
      <c r="Z307" s="118"/>
      <c r="AA307" s="118"/>
      <c r="AB307" s="118"/>
      <c r="AC307" s="118"/>
      <c r="AD307" s="97"/>
      <c r="AE307" s="97"/>
      <c r="AF307" s="97"/>
      <c r="AG307" s="97"/>
      <c r="AH307" s="97"/>
      <c r="AI307" s="97"/>
      <c r="AJ307" s="97"/>
      <c r="AK307" s="97"/>
      <c r="AL307" s="97"/>
      <c r="AM307" s="97"/>
      <c r="AN307" s="97"/>
      <c r="AO307" s="97"/>
      <c r="AP307" s="97"/>
      <c r="AQ307" s="97"/>
      <c r="AR307" s="97"/>
      <c r="AS307" s="97"/>
      <c r="AT307" s="97"/>
      <c r="AU307" s="97"/>
      <c r="AV307" s="97"/>
      <c r="AW307" s="97"/>
      <c r="AX307" s="97"/>
    </row>
    <row r="308" ht="15.75" customHeight="1">
      <c r="A308" s="150" t="s">
        <v>343</v>
      </c>
      <c r="B308" s="83" t="s">
        <v>2799</v>
      </c>
      <c r="C308" s="83"/>
      <c r="D308" s="83"/>
      <c r="E308" s="83"/>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97"/>
      <c r="AE308" s="97"/>
      <c r="AF308" s="97"/>
      <c r="AG308" s="97"/>
      <c r="AH308" s="97"/>
      <c r="AI308" s="97"/>
      <c r="AJ308" s="97"/>
      <c r="AK308" s="97"/>
      <c r="AL308" s="97"/>
      <c r="AM308" s="97"/>
      <c r="AN308" s="97"/>
      <c r="AO308" s="97"/>
      <c r="AP308" s="97"/>
      <c r="AQ308" s="97"/>
      <c r="AR308" s="97"/>
      <c r="AS308" s="97"/>
      <c r="AT308" s="97"/>
      <c r="AU308" s="97"/>
      <c r="AV308" s="97"/>
      <c r="AW308" s="97"/>
      <c r="AX308" s="97"/>
    </row>
    <row r="309" ht="15.75" customHeight="1">
      <c r="A309" s="150" t="s">
        <v>161</v>
      </c>
      <c r="B309" s="82" t="s">
        <v>2843</v>
      </c>
      <c r="C309" s="82"/>
      <c r="D309" s="83"/>
      <c r="E309" s="83"/>
      <c r="F309" s="84"/>
      <c r="G309" s="84"/>
      <c r="H309" s="84"/>
      <c r="I309" s="86"/>
      <c r="J309" s="86" t="s">
        <v>1811</v>
      </c>
      <c r="K309" s="84"/>
      <c r="L309" s="86"/>
      <c r="M309" s="86"/>
      <c r="N309" s="86"/>
      <c r="O309" s="86"/>
      <c r="P309" s="84"/>
      <c r="Q309" s="84"/>
      <c r="R309" s="84"/>
      <c r="S309" s="84"/>
      <c r="T309" s="84"/>
      <c r="U309" s="84"/>
      <c r="V309" s="84"/>
      <c r="W309" s="84"/>
      <c r="X309" s="84"/>
      <c r="Y309" s="84"/>
      <c r="Z309" s="84"/>
      <c r="AA309" s="84"/>
      <c r="AB309" s="84"/>
      <c r="AC309" s="84"/>
      <c r="AD309" s="97"/>
      <c r="AE309" s="97"/>
      <c r="AF309" s="97"/>
      <c r="AG309" s="97"/>
      <c r="AH309" s="97"/>
      <c r="AI309" s="97"/>
      <c r="AJ309" s="97"/>
      <c r="AK309" s="97"/>
      <c r="AL309" s="97"/>
      <c r="AM309" s="97"/>
      <c r="AN309" s="97"/>
      <c r="AO309" s="97"/>
      <c r="AP309" s="97"/>
      <c r="AQ309" s="97"/>
      <c r="AR309" s="97"/>
      <c r="AS309" s="97"/>
      <c r="AT309" s="97"/>
      <c r="AU309" s="97"/>
      <c r="AV309" s="97"/>
      <c r="AW309" s="97"/>
      <c r="AX309" s="97"/>
    </row>
    <row r="310" ht="15.75" customHeight="1">
      <c r="A310" s="114" t="s">
        <v>541</v>
      </c>
      <c r="B310" s="165" t="s">
        <v>2862</v>
      </c>
      <c r="C310" s="76" t="s">
        <v>4172</v>
      </c>
      <c r="D310" s="76" t="s">
        <v>4173</v>
      </c>
      <c r="E310" s="117" t="s">
        <v>4175</v>
      </c>
      <c r="F310" s="76"/>
      <c r="G310" s="76"/>
      <c r="H310" s="76"/>
      <c r="I310" s="120"/>
      <c r="J310" s="118" t="s">
        <v>6</v>
      </c>
      <c r="K310" s="118"/>
      <c r="L310" s="118"/>
      <c r="M310" s="118"/>
      <c r="N310" s="118"/>
      <c r="O310" s="118"/>
      <c r="P310" s="118"/>
      <c r="Q310" s="118"/>
      <c r="R310" s="118"/>
      <c r="S310" s="118"/>
      <c r="T310" s="118"/>
      <c r="U310" s="118"/>
      <c r="V310" s="118"/>
      <c r="W310" s="118"/>
      <c r="X310" s="118"/>
      <c r="Y310" s="118"/>
      <c r="Z310" s="118"/>
      <c r="AA310" s="118"/>
      <c r="AB310" s="118"/>
      <c r="AC310" s="118"/>
      <c r="AD310" s="97"/>
      <c r="AE310" s="97"/>
      <c r="AF310" s="97"/>
      <c r="AG310" s="97"/>
      <c r="AH310" s="97"/>
      <c r="AI310" s="97"/>
      <c r="AJ310" s="97"/>
      <c r="AK310" s="97"/>
      <c r="AL310" s="97"/>
      <c r="AM310" s="97"/>
      <c r="AN310" s="97"/>
      <c r="AO310" s="97"/>
      <c r="AP310" s="97"/>
      <c r="AQ310" s="97"/>
      <c r="AR310" s="97"/>
      <c r="AS310" s="97"/>
      <c r="AT310" s="97"/>
      <c r="AU310" s="97"/>
      <c r="AV310" s="97"/>
      <c r="AW310" s="97"/>
      <c r="AX310" s="97"/>
    </row>
    <row r="311" ht="15.75" customHeight="1">
      <c r="A311" s="114" t="s">
        <v>541</v>
      </c>
      <c r="B311" s="165" t="s">
        <v>2863</v>
      </c>
      <c r="C311" s="76" t="s">
        <v>4178</v>
      </c>
      <c r="D311" s="76" t="s">
        <v>4179</v>
      </c>
      <c r="E311" s="117" t="s">
        <v>4180</v>
      </c>
      <c r="F311" s="76"/>
      <c r="G311" s="76"/>
      <c r="H311" s="76"/>
      <c r="I311" s="120"/>
      <c r="J311" s="118" t="s">
        <v>1837</v>
      </c>
      <c r="K311" s="118"/>
      <c r="L311" s="118"/>
      <c r="M311" s="118"/>
      <c r="N311" s="118"/>
      <c r="O311" s="118"/>
      <c r="P311" s="118"/>
      <c r="Q311" s="118" t="s">
        <v>184</v>
      </c>
      <c r="R311" s="118"/>
      <c r="S311" s="118"/>
      <c r="T311" s="118"/>
      <c r="U311" s="118"/>
      <c r="V311" s="118"/>
      <c r="W311" s="118"/>
      <c r="X311" s="118"/>
      <c r="Y311" s="118"/>
      <c r="Z311" s="118"/>
      <c r="AA311" s="118"/>
      <c r="AB311" s="118"/>
      <c r="AC311" s="118"/>
      <c r="AD311" s="97"/>
      <c r="AE311" s="97"/>
      <c r="AF311" s="97"/>
      <c r="AG311" s="97"/>
      <c r="AH311" s="97"/>
      <c r="AI311" s="97"/>
      <c r="AJ311" s="97"/>
      <c r="AK311" s="97"/>
      <c r="AL311" s="97"/>
      <c r="AM311" s="97"/>
      <c r="AN311" s="97"/>
      <c r="AO311" s="97"/>
      <c r="AP311" s="97"/>
      <c r="AQ311" s="97"/>
      <c r="AR311" s="97"/>
      <c r="AS311" s="97"/>
      <c r="AT311" s="97"/>
      <c r="AU311" s="97"/>
      <c r="AV311" s="97"/>
      <c r="AW311" s="97"/>
      <c r="AX311" s="97"/>
    </row>
    <row r="312" ht="15.75" customHeight="1">
      <c r="A312" s="114" t="s">
        <v>541</v>
      </c>
      <c r="B312" s="165" t="s">
        <v>2871</v>
      </c>
      <c r="C312" s="76" t="s">
        <v>4182</v>
      </c>
      <c r="D312" s="76" t="s">
        <v>4184</v>
      </c>
      <c r="E312" s="117" t="s">
        <v>4186</v>
      </c>
      <c r="F312" s="76"/>
      <c r="G312" s="76"/>
      <c r="H312" s="76"/>
      <c r="I312" s="120"/>
      <c r="J312" s="118" t="s">
        <v>1837</v>
      </c>
      <c r="K312" s="118"/>
      <c r="L312" s="118"/>
      <c r="M312" s="118"/>
      <c r="N312" s="118"/>
      <c r="O312" s="118"/>
      <c r="P312" s="118"/>
      <c r="Q312" s="118" t="s">
        <v>184</v>
      </c>
      <c r="R312" s="118"/>
      <c r="S312" s="118"/>
      <c r="T312" s="118"/>
      <c r="U312" s="118"/>
      <c r="V312" s="118"/>
      <c r="W312" s="118"/>
      <c r="X312" s="118"/>
      <c r="Y312" s="118"/>
      <c r="Z312" s="118"/>
      <c r="AA312" s="118"/>
      <c r="AB312" s="118"/>
      <c r="AC312" s="118"/>
      <c r="AD312" s="97"/>
      <c r="AE312" s="97"/>
      <c r="AF312" s="97"/>
      <c r="AG312" s="97"/>
      <c r="AH312" s="97"/>
      <c r="AI312" s="97"/>
      <c r="AJ312" s="97"/>
      <c r="AK312" s="97"/>
      <c r="AL312" s="97"/>
      <c r="AM312" s="97"/>
      <c r="AN312" s="97"/>
      <c r="AO312" s="97"/>
      <c r="AP312" s="97"/>
      <c r="AQ312" s="97"/>
      <c r="AR312" s="97"/>
      <c r="AS312" s="97"/>
      <c r="AT312" s="97"/>
      <c r="AU312" s="97"/>
      <c r="AV312" s="97"/>
      <c r="AW312" s="97"/>
      <c r="AX312" s="97"/>
    </row>
    <row r="313" ht="15.75" customHeight="1">
      <c r="A313" s="114" t="s">
        <v>541</v>
      </c>
      <c r="B313" s="165" t="s">
        <v>2894</v>
      </c>
      <c r="C313" s="76" t="s">
        <v>4191</v>
      </c>
      <c r="D313" s="76" t="s">
        <v>4192</v>
      </c>
      <c r="E313" s="117" t="s">
        <v>4193</v>
      </c>
      <c r="F313" s="76"/>
      <c r="G313" s="76"/>
      <c r="H313" s="76"/>
      <c r="I313" s="120"/>
      <c r="J313" s="118" t="s">
        <v>1837</v>
      </c>
      <c r="K313" s="118"/>
      <c r="L313" s="118"/>
      <c r="M313" s="118"/>
      <c r="N313" s="118"/>
      <c r="O313" s="118"/>
      <c r="P313" s="118"/>
      <c r="Q313" s="118" t="s">
        <v>184</v>
      </c>
      <c r="R313" s="118"/>
      <c r="S313" s="118"/>
      <c r="T313" s="118"/>
      <c r="U313" s="118"/>
      <c r="V313" s="118"/>
      <c r="W313" s="118"/>
      <c r="X313" s="118"/>
      <c r="Y313" s="118"/>
      <c r="Z313" s="118"/>
      <c r="AA313" s="118"/>
      <c r="AB313" s="118"/>
      <c r="AC313" s="118"/>
      <c r="AD313" s="97"/>
      <c r="AE313" s="97"/>
      <c r="AF313" s="97"/>
      <c r="AG313" s="97"/>
      <c r="AH313" s="97"/>
      <c r="AI313" s="97"/>
      <c r="AJ313" s="97"/>
      <c r="AK313" s="97"/>
      <c r="AL313" s="97"/>
      <c r="AM313" s="97"/>
      <c r="AN313" s="97"/>
      <c r="AO313" s="97"/>
      <c r="AP313" s="97"/>
      <c r="AQ313" s="97"/>
      <c r="AR313" s="97"/>
      <c r="AS313" s="97"/>
      <c r="AT313" s="97"/>
      <c r="AU313" s="97"/>
      <c r="AV313" s="97"/>
      <c r="AW313" s="97"/>
      <c r="AX313" s="97"/>
    </row>
    <row r="314" ht="15.75" customHeight="1">
      <c r="A314" s="114" t="s">
        <v>541</v>
      </c>
      <c r="B314" s="165" t="s">
        <v>2902</v>
      </c>
      <c r="C314" s="76" t="s">
        <v>4200</v>
      </c>
      <c r="D314" s="76" t="s">
        <v>4201</v>
      </c>
      <c r="E314" s="117" t="s">
        <v>4202</v>
      </c>
      <c r="F314" s="76"/>
      <c r="G314" s="76"/>
      <c r="H314" s="76"/>
      <c r="I314" s="120"/>
      <c r="J314" s="118" t="s">
        <v>1837</v>
      </c>
      <c r="K314" s="118"/>
      <c r="L314" s="118"/>
      <c r="M314" s="118"/>
      <c r="N314" s="118"/>
      <c r="O314" s="118"/>
      <c r="P314" s="118"/>
      <c r="Q314" s="118" t="s">
        <v>184</v>
      </c>
      <c r="R314" s="118"/>
      <c r="S314" s="118"/>
      <c r="T314" s="118"/>
      <c r="U314" s="118"/>
      <c r="V314" s="118"/>
      <c r="W314" s="118"/>
      <c r="X314" s="118"/>
      <c r="Y314" s="118"/>
      <c r="Z314" s="118"/>
      <c r="AA314" s="118"/>
      <c r="AB314" s="118"/>
      <c r="AC314" s="118"/>
      <c r="AD314" s="97"/>
      <c r="AE314" s="97"/>
      <c r="AF314" s="97"/>
      <c r="AG314" s="97"/>
      <c r="AH314" s="97"/>
      <c r="AI314" s="97"/>
      <c r="AJ314" s="97"/>
      <c r="AK314" s="97"/>
      <c r="AL314" s="97"/>
      <c r="AM314" s="97"/>
      <c r="AN314" s="97"/>
      <c r="AO314" s="97"/>
      <c r="AP314" s="97"/>
      <c r="AQ314" s="97"/>
      <c r="AR314" s="97"/>
      <c r="AS314" s="97"/>
      <c r="AT314" s="97"/>
      <c r="AU314" s="97"/>
      <c r="AV314" s="97"/>
      <c r="AW314" s="97"/>
      <c r="AX314" s="97"/>
    </row>
    <row r="315" ht="15.75" customHeight="1">
      <c r="A315" s="114" t="s">
        <v>541</v>
      </c>
      <c r="B315" s="165" t="s">
        <v>2906</v>
      </c>
      <c r="C315" s="76" t="s">
        <v>4210</v>
      </c>
      <c r="D315" s="76" t="s">
        <v>4211</v>
      </c>
      <c r="E315" s="117" t="s">
        <v>4212</v>
      </c>
      <c r="F315" s="76"/>
      <c r="G315" s="76"/>
      <c r="H315" s="76"/>
      <c r="I315" s="120"/>
      <c r="J315" s="118" t="s">
        <v>1837</v>
      </c>
      <c r="K315" s="118"/>
      <c r="L315" s="118"/>
      <c r="M315" s="118"/>
      <c r="N315" s="118"/>
      <c r="O315" s="118"/>
      <c r="P315" s="118"/>
      <c r="Q315" s="118" t="s">
        <v>184</v>
      </c>
      <c r="R315" s="118"/>
      <c r="S315" s="118"/>
      <c r="T315" s="118"/>
      <c r="U315" s="118"/>
      <c r="V315" s="118"/>
      <c r="W315" s="118"/>
      <c r="X315" s="118"/>
      <c r="Y315" s="118"/>
      <c r="Z315" s="118"/>
      <c r="AA315" s="118"/>
      <c r="AB315" s="118"/>
      <c r="AC315" s="118"/>
      <c r="AD315" s="97"/>
      <c r="AE315" s="97"/>
      <c r="AF315" s="97"/>
      <c r="AG315" s="97"/>
      <c r="AH315" s="97"/>
      <c r="AI315" s="97"/>
      <c r="AJ315" s="97"/>
      <c r="AK315" s="97"/>
      <c r="AL315" s="97"/>
      <c r="AM315" s="97"/>
      <c r="AN315" s="97"/>
      <c r="AO315" s="97"/>
      <c r="AP315" s="97"/>
      <c r="AQ315" s="97"/>
      <c r="AR315" s="97"/>
      <c r="AS315" s="97"/>
      <c r="AT315" s="97"/>
      <c r="AU315" s="97"/>
      <c r="AV315" s="97"/>
      <c r="AW315" s="97"/>
      <c r="AX315" s="97"/>
    </row>
    <row r="316" ht="15.75" customHeight="1">
      <c r="A316" s="114" t="s">
        <v>541</v>
      </c>
      <c r="B316" s="165" t="s">
        <v>2910</v>
      </c>
      <c r="C316" s="76" t="s">
        <v>4224</v>
      </c>
      <c r="D316" s="76" t="s">
        <v>4225</v>
      </c>
      <c r="E316" s="117" t="s">
        <v>4226</v>
      </c>
      <c r="F316" s="76"/>
      <c r="G316" s="76"/>
      <c r="H316" s="76"/>
      <c r="I316" s="120"/>
      <c r="J316" s="118" t="s">
        <v>1837</v>
      </c>
      <c r="K316" s="118"/>
      <c r="L316" s="118"/>
      <c r="M316" s="118"/>
      <c r="N316" s="118"/>
      <c r="O316" s="118"/>
      <c r="P316" s="118"/>
      <c r="Q316" s="118" t="s">
        <v>184</v>
      </c>
      <c r="R316" s="118"/>
      <c r="S316" s="118"/>
      <c r="T316" s="118"/>
      <c r="U316" s="118"/>
      <c r="V316" s="118"/>
      <c r="W316" s="118"/>
      <c r="X316" s="118"/>
      <c r="Y316" s="118"/>
      <c r="Z316" s="118"/>
      <c r="AA316" s="118"/>
      <c r="AB316" s="118"/>
      <c r="AC316" s="118"/>
      <c r="AD316" s="97"/>
      <c r="AE316" s="97"/>
      <c r="AF316" s="97"/>
      <c r="AG316" s="97"/>
      <c r="AH316" s="97"/>
      <c r="AI316" s="97"/>
      <c r="AJ316" s="97"/>
      <c r="AK316" s="97"/>
      <c r="AL316" s="97"/>
      <c r="AM316" s="97"/>
      <c r="AN316" s="97"/>
      <c r="AO316" s="97"/>
      <c r="AP316" s="97"/>
      <c r="AQ316" s="97"/>
      <c r="AR316" s="97"/>
      <c r="AS316" s="97"/>
      <c r="AT316" s="97"/>
      <c r="AU316" s="97"/>
      <c r="AV316" s="97"/>
      <c r="AW316" s="97"/>
      <c r="AX316" s="97"/>
    </row>
    <row r="317" ht="15.75" customHeight="1">
      <c r="A317" s="114" t="s">
        <v>541</v>
      </c>
      <c r="B317" s="165" t="s">
        <v>2912</v>
      </c>
      <c r="C317" s="76" t="s">
        <v>4245</v>
      </c>
      <c r="D317" s="76" t="s">
        <v>4246</v>
      </c>
      <c r="E317" s="117" t="s">
        <v>4249</v>
      </c>
      <c r="F317" s="76"/>
      <c r="G317" s="76"/>
      <c r="H317" s="76"/>
      <c r="I317" s="120"/>
      <c r="J317" s="118" t="s">
        <v>1837</v>
      </c>
      <c r="K317" s="118"/>
      <c r="L317" s="118"/>
      <c r="M317" s="118"/>
      <c r="N317" s="118"/>
      <c r="O317" s="118"/>
      <c r="P317" s="118"/>
      <c r="Q317" s="118" t="s">
        <v>184</v>
      </c>
      <c r="R317" s="118"/>
      <c r="S317" s="118"/>
      <c r="T317" s="118"/>
      <c r="U317" s="118"/>
      <c r="V317" s="118"/>
      <c r="W317" s="118"/>
      <c r="X317" s="118"/>
      <c r="Y317" s="118"/>
      <c r="Z317" s="118"/>
      <c r="AA317" s="118"/>
      <c r="AB317" s="118"/>
      <c r="AC317" s="118"/>
      <c r="AD317" s="97"/>
      <c r="AE317" s="97"/>
      <c r="AF317" s="97"/>
      <c r="AG317" s="97"/>
      <c r="AH317" s="97"/>
      <c r="AI317" s="97"/>
      <c r="AJ317" s="97"/>
      <c r="AK317" s="97"/>
      <c r="AL317" s="97"/>
      <c r="AM317" s="97"/>
      <c r="AN317" s="97"/>
      <c r="AO317" s="97"/>
      <c r="AP317" s="97"/>
      <c r="AQ317" s="97"/>
      <c r="AR317" s="97"/>
      <c r="AS317" s="97"/>
      <c r="AT317" s="97"/>
      <c r="AU317" s="97"/>
      <c r="AV317" s="97"/>
      <c r="AW317" s="97"/>
      <c r="AX317" s="97"/>
    </row>
    <row r="318" ht="15.75" customHeight="1">
      <c r="A318" s="114" t="s">
        <v>541</v>
      </c>
      <c r="B318" s="165" t="s">
        <v>2916</v>
      </c>
      <c r="C318" s="76" t="s">
        <v>4269</v>
      </c>
      <c r="D318" s="76" t="s">
        <v>4270</v>
      </c>
      <c r="E318" s="117" t="s">
        <v>4271</v>
      </c>
      <c r="F318" s="76"/>
      <c r="G318" s="76"/>
      <c r="H318" s="76"/>
      <c r="I318" s="120"/>
      <c r="J318" s="118" t="s">
        <v>1837</v>
      </c>
      <c r="K318" s="118"/>
      <c r="L318" s="118"/>
      <c r="M318" s="118"/>
      <c r="N318" s="118"/>
      <c r="O318" s="118"/>
      <c r="P318" s="118"/>
      <c r="Q318" s="118" t="s">
        <v>184</v>
      </c>
      <c r="R318" s="118"/>
      <c r="S318" s="118"/>
      <c r="T318" s="118"/>
      <c r="U318" s="118"/>
      <c r="V318" s="118"/>
      <c r="W318" s="118"/>
      <c r="X318" s="118"/>
      <c r="Y318" s="118"/>
      <c r="Z318" s="118"/>
      <c r="AA318" s="118"/>
      <c r="AB318" s="118"/>
      <c r="AC318" s="118"/>
      <c r="AD318" s="97"/>
      <c r="AE318" s="97"/>
      <c r="AF318" s="97"/>
      <c r="AG318" s="97"/>
      <c r="AH318" s="97"/>
      <c r="AI318" s="97"/>
      <c r="AJ318" s="97"/>
      <c r="AK318" s="97"/>
      <c r="AL318" s="97"/>
      <c r="AM318" s="97"/>
      <c r="AN318" s="97"/>
      <c r="AO318" s="97"/>
      <c r="AP318" s="97"/>
      <c r="AQ318" s="97"/>
      <c r="AR318" s="97"/>
      <c r="AS318" s="97"/>
      <c r="AT318" s="97"/>
      <c r="AU318" s="97"/>
      <c r="AV318" s="97"/>
      <c r="AW318" s="97"/>
      <c r="AX318" s="97"/>
    </row>
    <row r="319" ht="15.75" customHeight="1">
      <c r="A319" s="114" t="s">
        <v>541</v>
      </c>
      <c r="B319" s="165" t="s">
        <v>2924</v>
      </c>
      <c r="C319" s="76" t="s">
        <v>4286</v>
      </c>
      <c r="D319" s="76" t="s">
        <v>4287</v>
      </c>
      <c r="E319" s="117" t="s">
        <v>4288</v>
      </c>
      <c r="F319" s="76"/>
      <c r="G319" s="76"/>
      <c r="H319" s="76"/>
      <c r="I319" s="120"/>
      <c r="J319" s="118" t="s">
        <v>1837</v>
      </c>
      <c r="K319" s="118"/>
      <c r="L319" s="118"/>
      <c r="M319" s="118"/>
      <c r="N319" s="118"/>
      <c r="O319" s="118"/>
      <c r="P319" s="118"/>
      <c r="Q319" s="118" t="s">
        <v>184</v>
      </c>
      <c r="R319" s="118"/>
      <c r="S319" s="118"/>
      <c r="T319" s="118"/>
      <c r="U319" s="118"/>
      <c r="V319" s="118"/>
      <c r="W319" s="118"/>
      <c r="X319" s="118"/>
      <c r="Y319" s="118"/>
      <c r="Z319" s="118"/>
      <c r="AA319" s="118"/>
      <c r="AB319" s="118"/>
      <c r="AC319" s="118"/>
      <c r="AD319" s="97"/>
      <c r="AE319" s="97"/>
      <c r="AF319" s="97"/>
      <c r="AG319" s="97"/>
      <c r="AH319" s="97"/>
      <c r="AI319" s="97"/>
      <c r="AJ319" s="97"/>
      <c r="AK319" s="97"/>
      <c r="AL319" s="97"/>
      <c r="AM319" s="97"/>
      <c r="AN319" s="97"/>
      <c r="AO319" s="97"/>
      <c r="AP319" s="97"/>
      <c r="AQ319" s="97"/>
      <c r="AR319" s="97"/>
      <c r="AS319" s="97"/>
      <c r="AT319" s="97"/>
      <c r="AU319" s="97"/>
      <c r="AV319" s="97"/>
      <c r="AW319" s="97"/>
      <c r="AX319" s="97"/>
    </row>
    <row r="320" ht="15.75" customHeight="1">
      <c r="A320" s="114" t="s">
        <v>541</v>
      </c>
      <c r="B320" s="165" t="s">
        <v>2931</v>
      </c>
      <c r="C320" s="76" t="s">
        <v>4309</v>
      </c>
      <c r="D320" s="76" t="s">
        <v>4311</v>
      </c>
      <c r="E320" s="117" t="s">
        <v>4312</v>
      </c>
      <c r="F320" s="76"/>
      <c r="G320" s="76"/>
      <c r="H320" s="76"/>
      <c r="I320" s="120"/>
      <c r="J320" s="118" t="s">
        <v>1837</v>
      </c>
      <c r="K320" s="118"/>
      <c r="L320" s="118"/>
      <c r="M320" s="118"/>
      <c r="N320" s="91" t="s">
        <v>4315</v>
      </c>
      <c r="O320" s="118"/>
      <c r="P320" s="118"/>
      <c r="Q320" s="118" t="s">
        <v>184</v>
      </c>
      <c r="R320" s="118"/>
      <c r="S320" s="118"/>
      <c r="T320" s="118"/>
      <c r="U320" s="118"/>
      <c r="V320" s="118"/>
      <c r="W320" s="118"/>
      <c r="X320" s="118"/>
      <c r="Y320" s="118"/>
      <c r="Z320" s="118"/>
      <c r="AA320" s="118"/>
      <c r="AB320" s="118"/>
      <c r="AC320" s="118"/>
      <c r="AD320" s="97"/>
      <c r="AE320" s="97"/>
      <c r="AF320" s="97"/>
      <c r="AG320" s="97"/>
      <c r="AH320" s="97"/>
      <c r="AI320" s="97"/>
      <c r="AJ320" s="97"/>
      <c r="AK320" s="97"/>
      <c r="AL320" s="97"/>
      <c r="AM320" s="97"/>
      <c r="AN320" s="97"/>
      <c r="AO320" s="97"/>
      <c r="AP320" s="97"/>
      <c r="AQ320" s="97"/>
      <c r="AR320" s="97"/>
      <c r="AS320" s="97"/>
      <c r="AT320" s="97"/>
      <c r="AU320" s="97"/>
      <c r="AV320" s="97"/>
      <c r="AW320" s="97"/>
      <c r="AX320" s="97"/>
    </row>
    <row r="321" ht="15.75" customHeight="1">
      <c r="A321" s="150" t="s">
        <v>343</v>
      </c>
      <c r="B321" s="83" t="s">
        <v>2843</v>
      </c>
      <c r="C321" s="83"/>
      <c r="D321" s="83"/>
      <c r="E321" s="83"/>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97"/>
      <c r="AE321" s="97"/>
      <c r="AF321" s="97"/>
      <c r="AG321" s="97"/>
      <c r="AH321" s="97"/>
      <c r="AI321" s="97"/>
      <c r="AJ321" s="97"/>
      <c r="AK321" s="97"/>
      <c r="AL321" s="97"/>
      <c r="AM321" s="97"/>
      <c r="AN321" s="97"/>
      <c r="AO321" s="97"/>
      <c r="AP321" s="97"/>
      <c r="AQ321" s="97"/>
      <c r="AR321" s="97"/>
      <c r="AS321" s="97"/>
      <c r="AT321" s="97"/>
      <c r="AU321" s="97"/>
      <c r="AV321" s="97"/>
      <c r="AW321" s="97"/>
      <c r="AX321" s="97"/>
    </row>
    <row r="322" ht="15.75" customHeight="1">
      <c r="A322" s="150" t="s">
        <v>343</v>
      </c>
      <c r="B322" s="83" t="s">
        <v>2750</v>
      </c>
      <c r="C322" s="83"/>
      <c r="D322" s="83"/>
      <c r="E322" s="83"/>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97"/>
      <c r="AE322" s="97"/>
      <c r="AF322" s="97"/>
      <c r="AG322" s="97"/>
      <c r="AH322" s="97"/>
      <c r="AI322" s="97"/>
      <c r="AJ322" s="97"/>
      <c r="AK322" s="97"/>
      <c r="AL322" s="97"/>
      <c r="AM322" s="97"/>
      <c r="AN322" s="97"/>
      <c r="AO322" s="97"/>
      <c r="AP322" s="97"/>
      <c r="AQ322" s="97"/>
      <c r="AR322" s="97"/>
      <c r="AS322" s="97"/>
      <c r="AT322" s="97"/>
      <c r="AU322" s="97"/>
      <c r="AV322" s="97"/>
      <c r="AW322" s="97"/>
      <c r="AX322" s="97"/>
    </row>
    <row r="323" ht="15.75" customHeight="1">
      <c r="A323" s="152" t="s">
        <v>44</v>
      </c>
      <c r="B323" s="77" t="s">
        <v>2947</v>
      </c>
      <c r="C323" s="76" t="s">
        <v>4359</v>
      </c>
      <c r="D323" s="76" t="s">
        <v>4360</v>
      </c>
      <c r="E323" s="117" t="s">
        <v>4361</v>
      </c>
      <c r="F323" s="76"/>
      <c r="G323" s="76"/>
      <c r="H323" s="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97"/>
      <c r="AE323" s="97"/>
      <c r="AF323" s="97"/>
      <c r="AG323" s="97"/>
      <c r="AH323" s="97"/>
      <c r="AI323" s="97"/>
      <c r="AJ323" s="97"/>
      <c r="AK323" s="97"/>
      <c r="AL323" s="97"/>
      <c r="AM323" s="97"/>
      <c r="AN323" s="97"/>
      <c r="AO323" s="97"/>
      <c r="AP323" s="97"/>
      <c r="AQ323" s="97"/>
      <c r="AR323" s="97"/>
      <c r="AS323" s="97"/>
      <c r="AT323" s="97"/>
      <c r="AU323" s="97"/>
      <c r="AV323" s="97"/>
      <c r="AW323" s="97"/>
      <c r="AX323" s="97"/>
    </row>
    <row r="324" ht="15.75" customHeight="1">
      <c r="A324" s="150" t="s">
        <v>343</v>
      </c>
      <c r="B324" s="83" t="s">
        <v>659</v>
      </c>
      <c r="C324" s="83" t="s">
        <v>660</v>
      </c>
      <c r="D324" s="83"/>
      <c r="E324" s="83"/>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97"/>
      <c r="AE324" s="97"/>
      <c r="AF324" s="97"/>
      <c r="AG324" s="97"/>
      <c r="AH324" s="97"/>
      <c r="AI324" s="97"/>
      <c r="AJ324" s="97"/>
      <c r="AK324" s="97"/>
      <c r="AL324" s="97"/>
      <c r="AM324" s="97"/>
      <c r="AN324" s="97"/>
      <c r="AO324" s="97"/>
      <c r="AP324" s="97"/>
      <c r="AQ324" s="97"/>
      <c r="AR324" s="97"/>
      <c r="AS324" s="97"/>
      <c r="AT324" s="97"/>
      <c r="AU324" s="97"/>
      <c r="AV324" s="97"/>
      <c r="AW324" s="97"/>
      <c r="AX324" s="97"/>
    </row>
    <row r="325" ht="15.75" customHeight="1">
      <c r="A325" s="80" t="s">
        <v>150</v>
      </c>
      <c r="B325" s="81" t="s">
        <v>2963</v>
      </c>
      <c r="C325" s="82"/>
      <c r="D325" s="83"/>
      <c r="E325" s="83"/>
      <c r="F325" s="84"/>
      <c r="G325" s="84"/>
      <c r="H325" s="84"/>
      <c r="I325" s="84"/>
      <c r="J325" s="86"/>
      <c r="K325" s="84"/>
      <c r="L325" s="84"/>
      <c r="M325" s="86"/>
      <c r="N325" s="86"/>
      <c r="O325" s="91"/>
      <c r="P325" s="84"/>
      <c r="Q325" s="84"/>
      <c r="R325" s="84"/>
      <c r="S325" s="84"/>
      <c r="T325" s="94" t="s">
        <v>156</v>
      </c>
      <c r="U325" s="84"/>
      <c r="V325" s="84"/>
      <c r="W325" s="84"/>
      <c r="X325" s="84"/>
      <c r="Y325" s="84"/>
      <c r="Z325" s="84"/>
      <c r="AA325" s="84"/>
      <c r="AB325" s="84"/>
      <c r="AC325" s="84"/>
      <c r="AD325" s="97"/>
      <c r="AE325" s="97"/>
      <c r="AF325" s="97"/>
      <c r="AG325" s="97"/>
      <c r="AH325" s="97"/>
      <c r="AI325" s="97"/>
      <c r="AJ325" s="97"/>
      <c r="AK325" s="97"/>
      <c r="AL325" s="97"/>
      <c r="AM325" s="97"/>
      <c r="AN325" s="97"/>
      <c r="AO325" s="97"/>
      <c r="AP325" s="97"/>
      <c r="AQ325" s="97"/>
      <c r="AR325" s="97"/>
      <c r="AS325" s="97"/>
      <c r="AT325" s="97"/>
      <c r="AU325" s="97"/>
      <c r="AV325" s="97"/>
      <c r="AW325" s="97"/>
      <c r="AX325" s="97"/>
    </row>
    <row r="326" ht="15.75" customHeight="1">
      <c r="A326" s="80" t="s">
        <v>115</v>
      </c>
      <c r="B326" s="81" t="s">
        <v>2970</v>
      </c>
      <c r="C326" s="82"/>
      <c r="D326" s="83"/>
      <c r="E326" s="83"/>
      <c r="F326" s="84"/>
      <c r="G326" s="84"/>
      <c r="H326" s="84"/>
      <c r="I326" s="86"/>
      <c r="J326" s="86"/>
      <c r="K326" s="84"/>
      <c r="L326" s="86"/>
      <c r="M326" s="86"/>
      <c r="N326" s="86"/>
      <c r="O326" s="86"/>
      <c r="P326" s="84"/>
      <c r="Q326" s="84"/>
      <c r="R326" s="84"/>
      <c r="S326" s="84"/>
      <c r="T326" s="80" t="s">
        <v>4406</v>
      </c>
      <c r="U326" s="84"/>
      <c r="V326" s="84"/>
      <c r="W326" s="84"/>
      <c r="X326" s="84"/>
      <c r="Y326" s="84"/>
      <c r="Z326" s="84"/>
      <c r="AA326" s="84"/>
      <c r="AB326" s="84"/>
      <c r="AC326" s="84"/>
      <c r="AD326" s="97"/>
      <c r="AE326" s="97"/>
      <c r="AF326" s="97"/>
      <c r="AG326" s="97"/>
      <c r="AH326" s="97"/>
      <c r="AI326" s="97"/>
      <c r="AJ326" s="97"/>
      <c r="AK326" s="97"/>
      <c r="AL326" s="97"/>
      <c r="AM326" s="97"/>
      <c r="AN326" s="97"/>
      <c r="AO326" s="97"/>
      <c r="AP326" s="97"/>
      <c r="AQ326" s="97"/>
      <c r="AR326" s="97"/>
      <c r="AS326" s="97"/>
      <c r="AT326" s="97"/>
      <c r="AU326" s="97"/>
      <c r="AV326" s="97"/>
      <c r="AW326" s="97"/>
      <c r="AX326" s="97"/>
    </row>
    <row r="327">
      <c r="A327" s="141"/>
      <c r="B327" s="141"/>
      <c r="C327" s="141"/>
      <c r="D327" s="141"/>
      <c r="E327" s="26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141"/>
      <c r="AP327" s="141"/>
      <c r="AQ327" s="141"/>
      <c r="AR327" s="141"/>
      <c r="AS327" s="141"/>
      <c r="AT327" s="141"/>
      <c r="AU327" s="141"/>
      <c r="AV327" s="141"/>
      <c r="AW327" s="141"/>
      <c r="AX327" s="141"/>
    </row>
    <row r="328" ht="15.75" customHeight="1">
      <c r="A328" s="80" t="s">
        <v>150</v>
      </c>
      <c r="B328" s="81" t="s">
        <v>2982</v>
      </c>
      <c r="C328" s="82"/>
      <c r="D328" s="83"/>
      <c r="E328" s="83"/>
      <c r="F328" s="84"/>
      <c r="G328" s="84"/>
      <c r="H328" s="84"/>
      <c r="I328" s="84"/>
      <c r="J328" s="86"/>
      <c r="K328" s="84"/>
      <c r="L328" s="84"/>
      <c r="M328" s="86"/>
      <c r="N328" s="86"/>
      <c r="O328" s="91"/>
      <c r="P328" s="84"/>
      <c r="Q328" s="84"/>
      <c r="R328" s="84"/>
      <c r="S328" s="84"/>
      <c r="T328" s="94" t="s">
        <v>156</v>
      </c>
      <c r="U328" s="84"/>
      <c r="V328" s="84"/>
      <c r="W328" s="84"/>
      <c r="X328" s="84"/>
      <c r="Y328" s="84"/>
      <c r="Z328" s="84"/>
      <c r="AA328" s="84"/>
      <c r="AB328" s="84"/>
      <c r="AC328" s="84"/>
      <c r="AD328" s="97"/>
      <c r="AE328" s="97"/>
      <c r="AF328" s="97"/>
      <c r="AG328" s="97"/>
      <c r="AH328" s="97"/>
      <c r="AI328" s="97"/>
      <c r="AJ328" s="97"/>
      <c r="AK328" s="97"/>
      <c r="AL328" s="97"/>
      <c r="AM328" s="97"/>
      <c r="AN328" s="97"/>
      <c r="AO328" s="97"/>
      <c r="AP328" s="97"/>
      <c r="AQ328" s="97"/>
      <c r="AR328" s="97"/>
      <c r="AS328" s="97"/>
      <c r="AT328" s="97"/>
      <c r="AU328" s="97"/>
      <c r="AV328" s="97"/>
      <c r="AW328" s="97"/>
      <c r="AX328" s="97"/>
    </row>
    <row r="329" ht="15.75" customHeight="1">
      <c r="A329" s="150" t="s">
        <v>161</v>
      </c>
      <c r="B329" s="252" t="s">
        <v>2986</v>
      </c>
      <c r="C329" s="82" t="s">
        <v>2990</v>
      </c>
      <c r="D329" s="84"/>
      <c r="E329" s="84"/>
      <c r="F329" s="84"/>
      <c r="G329" s="84"/>
      <c r="H329" s="84"/>
      <c r="I329" s="84"/>
      <c r="J329" s="86"/>
      <c r="K329" s="84"/>
      <c r="L329" s="84"/>
      <c r="M329" s="86"/>
      <c r="N329" s="86"/>
      <c r="O329" s="91" t="s">
        <v>4429</v>
      </c>
      <c r="P329" s="84"/>
      <c r="Q329" s="84"/>
      <c r="R329" s="84"/>
      <c r="S329" s="84"/>
      <c r="T329" s="84"/>
      <c r="U329" s="84"/>
      <c r="V329" s="84"/>
      <c r="W329" s="84"/>
      <c r="X329" s="84"/>
      <c r="Y329" s="84"/>
      <c r="Z329" s="84"/>
      <c r="AA329" s="84"/>
      <c r="AB329" s="84"/>
      <c r="AC329" s="84"/>
      <c r="AD329" s="97"/>
      <c r="AE329" s="97"/>
      <c r="AF329" s="97"/>
      <c r="AG329" s="97"/>
      <c r="AH329" s="97"/>
      <c r="AI329" s="97"/>
      <c r="AJ329" s="97"/>
      <c r="AK329" s="97"/>
      <c r="AL329" s="97"/>
      <c r="AM329" s="97"/>
      <c r="AN329" s="97"/>
      <c r="AO329" s="97"/>
      <c r="AP329" s="97"/>
      <c r="AQ329" s="97"/>
      <c r="AR329" s="97"/>
      <c r="AS329" s="97"/>
      <c r="AT329" s="97"/>
      <c r="AU329" s="97"/>
      <c r="AV329" s="97"/>
      <c r="AW329" s="97"/>
      <c r="AX329" s="97"/>
    </row>
    <row r="330" ht="15.75" customHeight="1">
      <c r="A330" s="152" t="s">
        <v>44</v>
      </c>
      <c r="B330" s="253" t="s">
        <v>2997</v>
      </c>
      <c r="C330" s="76" t="s">
        <v>4434</v>
      </c>
      <c r="D330" s="76" t="e">
        <v>#VALUE!</v>
      </c>
      <c r="E330" s="117" t="e">
        <v>#VALUE!</v>
      </c>
      <c r="F330" s="76"/>
      <c r="G330" s="76"/>
      <c r="H330" s="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97"/>
      <c r="AE330" s="97"/>
      <c r="AF330" s="97"/>
      <c r="AG330" s="97"/>
      <c r="AH330" s="97"/>
      <c r="AI330" s="97"/>
      <c r="AJ330" s="97"/>
      <c r="AK330" s="97"/>
      <c r="AL330" s="97"/>
      <c r="AM330" s="97"/>
      <c r="AN330" s="97"/>
      <c r="AO330" s="97"/>
      <c r="AP330" s="97"/>
      <c r="AQ330" s="97"/>
      <c r="AR330" s="97"/>
      <c r="AS330" s="97"/>
      <c r="AT330" s="97"/>
      <c r="AU330" s="97"/>
      <c r="AV330" s="97"/>
      <c r="AW330" s="97"/>
      <c r="AX330" s="97"/>
    </row>
    <row r="331" ht="15.75" customHeight="1">
      <c r="A331" s="131" t="s">
        <v>115</v>
      </c>
      <c r="B331" s="142" t="s">
        <v>3001</v>
      </c>
      <c r="C331" s="133"/>
      <c r="D331" s="133"/>
      <c r="E331" s="133"/>
      <c r="F331" s="134"/>
      <c r="G331" s="134"/>
      <c r="H331" s="134"/>
      <c r="I331" s="134"/>
      <c r="J331" s="134"/>
      <c r="K331" s="134"/>
      <c r="L331" s="134"/>
      <c r="M331" s="134"/>
      <c r="N331" s="134"/>
      <c r="O331" s="134"/>
      <c r="P331" s="134"/>
      <c r="Q331" s="134"/>
      <c r="R331" s="134"/>
      <c r="S331" s="134"/>
      <c r="T331" s="151" t="s">
        <v>4449</v>
      </c>
      <c r="U331" s="134"/>
      <c r="V331" s="134"/>
      <c r="W331" s="134"/>
      <c r="X331" s="134"/>
      <c r="Y331" s="134"/>
      <c r="Z331" s="134"/>
      <c r="AA331" s="134"/>
      <c r="AB331" s="134"/>
      <c r="AC331" s="134"/>
      <c r="AD331" s="134"/>
      <c r="AE331" s="134"/>
      <c r="AF331" s="134"/>
      <c r="AG331" s="134"/>
      <c r="AH331" s="134"/>
      <c r="AI331" s="134"/>
      <c r="AJ331" s="134"/>
      <c r="AK331" s="134"/>
      <c r="AL331" s="134"/>
      <c r="AM331" s="134"/>
      <c r="AN331" s="134"/>
      <c r="AO331" s="97"/>
      <c r="AP331" s="97"/>
      <c r="AQ331" s="97"/>
      <c r="AR331" s="97"/>
      <c r="AS331" s="97"/>
      <c r="AT331" s="97"/>
      <c r="AU331" s="97"/>
      <c r="AV331" s="97"/>
      <c r="AW331" s="97"/>
      <c r="AX331" s="97"/>
    </row>
    <row r="332" ht="15.75" customHeight="1">
      <c r="A332" s="167" t="s">
        <v>807</v>
      </c>
      <c r="B332" s="254" t="s">
        <v>3008</v>
      </c>
      <c r="C332" s="168" t="s">
        <v>3009</v>
      </c>
      <c r="D332" s="169"/>
      <c r="E332" s="169"/>
      <c r="F332" s="205"/>
      <c r="G332" s="205"/>
      <c r="H332" s="205"/>
      <c r="I332" s="205"/>
      <c r="J332" s="205"/>
      <c r="K332" s="205"/>
      <c r="L332" s="205"/>
      <c r="M332" s="207"/>
      <c r="N332" s="207"/>
      <c r="O332" s="207"/>
      <c r="P332" s="205"/>
      <c r="Q332" s="205"/>
      <c r="R332" s="205"/>
      <c r="S332" s="205"/>
      <c r="T332" s="205"/>
      <c r="U332" s="207" t="s">
        <v>4462</v>
      </c>
      <c r="V332" s="205"/>
      <c r="W332" s="205"/>
      <c r="X332" s="205"/>
      <c r="Y332" s="205"/>
      <c r="Z332" s="205"/>
      <c r="AA332" s="205"/>
      <c r="AB332" s="205"/>
      <c r="AC332" s="205"/>
      <c r="AD332" s="134"/>
      <c r="AE332" s="134"/>
      <c r="AF332" s="134"/>
      <c r="AG332" s="134"/>
      <c r="AH332" s="134"/>
      <c r="AI332" s="134"/>
      <c r="AJ332" s="134"/>
      <c r="AK332" s="134"/>
      <c r="AL332" s="134"/>
      <c r="AM332" s="134"/>
      <c r="AN332" s="134"/>
      <c r="AO332" s="97"/>
      <c r="AP332" s="97"/>
      <c r="AQ332" s="97"/>
      <c r="AR332" s="97"/>
      <c r="AS332" s="97"/>
      <c r="AT332" s="97"/>
      <c r="AU332" s="97"/>
      <c r="AV332" s="97"/>
      <c r="AW332" s="97"/>
      <c r="AX332" s="97"/>
    </row>
    <row r="333" ht="15.75" customHeight="1">
      <c r="A333" s="131" t="s">
        <v>115</v>
      </c>
      <c r="B333" s="142" t="s">
        <v>3019</v>
      </c>
      <c r="C333" s="133"/>
      <c r="D333" s="133"/>
      <c r="E333" s="133"/>
      <c r="F333" s="134"/>
      <c r="G333" s="134"/>
      <c r="H333" s="134"/>
      <c r="I333" s="134"/>
      <c r="J333" s="134"/>
      <c r="K333" s="134"/>
      <c r="L333" s="134"/>
      <c r="M333" s="134"/>
      <c r="N333" s="134"/>
      <c r="O333" s="134"/>
      <c r="P333" s="134"/>
      <c r="Q333" s="134"/>
      <c r="R333" s="134"/>
      <c r="S333" s="134"/>
      <c r="T333" s="149" t="s">
        <v>1471</v>
      </c>
      <c r="U333" s="134"/>
      <c r="V333" s="134"/>
      <c r="W333" s="134"/>
      <c r="X333" s="134"/>
      <c r="Y333" s="134"/>
      <c r="Z333" s="134"/>
      <c r="AA333" s="134"/>
      <c r="AB333" s="134"/>
      <c r="AC333" s="134"/>
      <c r="AD333" s="134"/>
      <c r="AE333" s="134"/>
      <c r="AF333" s="134"/>
      <c r="AG333" s="134"/>
      <c r="AH333" s="134"/>
      <c r="AI333" s="134"/>
      <c r="AJ333" s="134"/>
      <c r="AK333" s="134"/>
      <c r="AL333" s="134"/>
      <c r="AM333" s="134"/>
      <c r="AN333" s="134"/>
      <c r="AO333" s="97"/>
      <c r="AP333" s="97"/>
      <c r="AQ333" s="97"/>
      <c r="AR333" s="97"/>
      <c r="AS333" s="97"/>
      <c r="AT333" s="97"/>
      <c r="AU333" s="97"/>
      <c r="AV333" s="97"/>
      <c r="AW333" s="97"/>
      <c r="AX333" s="97"/>
    </row>
    <row r="334" ht="15.75" customHeight="1">
      <c r="A334" s="131" t="s">
        <v>115</v>
      </c>
      <c r="B334" s="142" t="s">
        <v>3035</v>
      </c>
      <c r="C334" s="133"/>
      <c r="D334" s="133"/>
      <c r="E334" s="133"/>
      <c r="F334" s="134"/>
      <c r="G334" s="134"/>
      <c r="H334" s="134"/>
      <c r="I334" s="134"/>
      <c r="J334" s="134"/>
      <c r="K334" s="134"/>
      <c r="L334" s="134"/>
      <c r="M334" s="134"/>
      <c r="N334" s="134"/>
      <c r="O334" s="134" t="s">
        <v>4501</v>
      </c>
      <c r="P334" s="134"/>
      <c r="Q334" s="134"/>
      <c r="R334" s="134"/>
      <c r="S334" s="134"/>
      <c r="T334" s="151" t="s">
        <v>4503</v>
      </c>
      <c r="U334" s="134"/>
      <c r="V334" s="134"/>
      <c r="W334" s="134"/>
      <c r="X334" s="134"/>
      <c r="Y334" s="134"/>
      <c r="Z334" s="134"/>
      <c r="AA334" s="134"/>
      <c r="AB334" s="134"/>
      <c r="AC334" s="134"/>
      <c r="AD334" s="134"/>
      <c r="AE334" s="134"/>
      <c r="AF334" s="134"/>
      <c r="AG334" s="134"/>
      <c r="AH334" s="134"/>
      <c r="AI334" s="134"/>
      <c r="AJ334" s="134"/>
      <c r="AK334" s="134"/>
      <c r="AL334" s="134"/>
      <c r="AM334" s="134"/>
      <c r="AN334" s="134"/>
      <c r="AO334" s="97"/>
      <c r="AP334" s="97"/>
      <c r="AQ334" s="97"/>
      <c r="AR334" s="97"/>
      <c r="AS334" s="97"/>
      <c r="AT334" s="97"/>
      <c r="AU334" s="97"/>
      <c r="AV334" s="97"/>
      <c r="AW334" s="97"/>
      <c r="AX334" s="97"/>
    </row>
    <row r="335" ht="15.75" customHeight="1">
      <c r="A335" s="131" t="s">
        <v>115</v>
      </c>
      <c r="B335" s="142" t="s">
        <v>3040</v>
      </c>
      <c r="C335" s="133"/>
      <c r="D335" s="133"/>
      <c r="E335" s="133"/>
      <c r="F335" s="134"/>
      <c r="G335" s="134"/>
      <c r="H335" s="134"/>
      <c r="I335" s="134"/>
      <c r="J335" s="134"/>
      <c r="K335" s="134"/>
      <c r="L335" s="134"/>
      <c r="M335" s="134"/>
      <c r="N335" s="134"/>
      <c r="O335" s="134"/>
      <c r="P335" s="134"/>
      <c r="Q335" s="134"/>
      <c r="R335" s="134"/>
      <c r="S335" s="134"/>
      <c r="T335" s="151" t="s">
        <v>4518</v>
      </c>
      <c r="U335" s="134"/>
      <c r="V335" s="134"/>
      <c r="W335" s="134"/>
      <c r="X335" s="134"/>
      <c r="Y335" s="134"/>
      <c r="Z335" s="134"/>
      <c r="AA335" s="134"/>
      <c r="AB335" s="134"/>
      <c r="AC335" s="134"/>
      <c r="AD335" s="134"/>
      <c r="AE335" s="134"/>
      <c r="AF335" s="134"/>
      <c r="AG335" s="134"/>
      <c r="AH335" s="134"/>
      <c r="AI335" s="134"/>
      <c r="AJ335" s="134"/>
      <c r="AK335" s="134"/>
      <c r="AL335" s="134"/>
      <c r="AM335" s="134"/>
      <c r="AN335" s="134"/>
      <c r="AO335" s="97"/>
      <c r="AP335" s="97"/>
      <c r="AQ335" s="97"/>
      <c r="AR335" s="97"/>
      <c r="AS335" s="97"/>
      <c r="AT335" s="97"/>
      <c r="AU335" s="97"/>
      <c r="AV335" s="97"/>
      <c r="AW335" s="97"/>
      <c r="AX335" s="97"/>
    </row>
    <row r="336" ht="15.75" customHeight="1">
      <c r="A336" s="131" t="s">
        <v>115</v>
      </c>
      <c r="B336" s="142" t="s">
        <v>3044</v>
      </c>
      <c r="C336" s="133"/>
      <c r="D336" s="133"/>
      <c r="E336" s="133"/>
      <c r="F336" s="134"/>
      <c r="G336" s="134"/>
      <c r="H336" s="134"/>
      <c r="I336" s="134"/>
      <c r="J336" s="134"/>
      <c r="K336" s="134"/>
      <c r="L336" s="134"/>
      <c r="M336" s="134"/>
      <c r="N336" s="134"/>
      <c r="O336" s="134"/>
      <c r="P336" s="134"/>
      <c r="Q336" s="134"/>
      <c r="R336" s="134"/>
      <c r="S336" s="134"/>
      <c r="T336" s="151" t="s">
        <v>4535</v>
      </c>
      <c r="U336" s="134"/>
      <c r="V336" s="134"/>
      <c r="W336" s="134"/>
      <c r="X336" s="134"/>
      <c r="Y336" s="134"/>
      <c r="Z336" s="134"/>
      <c r="AA336" s="134"/>
      <c r="AB336" s="134"/>
      <c r="AC336" s="134"/>
      <c r="AD336" s="134"/>
      <c r="AE336" s="134"/>
      <c r="AF336" s="134"/>
      <c r="AG336" s="134"/>
      <c r="AH336" s="134"/>
      <c r="AI336" s="134"/>
      <c r="AJ336" s="134"/>
      <c r="AK336" s="134"/>
      <c r="AL336" s="134"/>
      <c r="AM336" s="134"/>
      <c r="AN336" s="134"/>
      <c r="AO336" s="97"/>
      <c r="AP336" s="97"/>
      <c r="AQ336" s="97"/>
      <c r="AR336" s="97"/>
      <c r="AS336" s="97"/>
      <c r="AT336" s="97"/>
      <c r="AU336" s="97"/>
      <c r="AV336" s="97"/>
      <c r="AW336" s="97"/>
      <c r="AX336" s="97"/>
    </row>
    <row r="337" ht="15.75" customHeight="1">
      <c r="A337" s="131" t="s">
        <v>115</v>
      </c>
      <c r="B337" s="142" t="s">
        <v>3048</v>
      </c>
      <c r="C337" s="133"/>
      <c r="D337" s="133"/>
      <c r="E337" s="133"/>
      <c r="F337" s="134"/>
      <c r="G337" s="134"/>
      <c r="H337" s="134"/>
      <c r="I337" s="134"/>
      <c r="J337" s="134"/>
      <c r="K337" s="134"/>
      <c r="L337" s="134"/>
      <c r="M337" s="134"/>
      <c r="N337" s="134"/>
      <c r="O337" s="134"/>
      <c r="P337" s="134"/>
      <c r="Q337" s="134"/>
      <c r="R337" s="134"/>
      <c r="S337" s="134"/>
      <c r="T337" s="149" t="s">
        <v>4545</v>
      </c>
      <c r="U337" s="134"/>
      <c r="V337" s="134"/>
      <c r="W337" s="134"/>
      <c r="X337" s="134"/>
      <c r="Y337" s="134"/>
      <c r="Z337" s="134"/>
      <c r="AA337" s="134"/>
      <c r="AB337" s="134"/>
      <c r="AC337" s="134"/>
      <c r="AD337" s="134"/>
      <c r="AE337" s="134"/>
      <c r="AF337" s="134"/>
      <c r="AG337" s="134"/>
      <c r="AH337" s="134"/>
      <c r="AI337" s="134"/>
      <c r="AJ337" s="134"/>
      <c r="AK337" s="134"/>
      <c r="AL337" s="134"/>
      <c r="AM337" s="134"/>
      <c r="AN337" s="134"/>
      <c r="AO337" s="97"/>
      <c r="AP337" s="97"/>
      <c r="AQ337" s="97"/>
      <c r="AR337" s="97"/>
      <c r="AS337" s="97"/>
      <c r="AT337" s="97"/>
      <c r="AU337" s="97"/>
      <c r="AV337" s="97"/>
      <c r="AW337" s="97"/>
      <c r="AX337" s="97"/>
    </row>
    <row r="338" ht="15.75" customHeight="1">
      <c r="A338" s="167" t="s">
        <v>842</v>
      </c>
      <c r="B338" s="167" t="s">
        <v>3008</v>
      </c>
      <c r="C338" s="169"/>
      <c r="D338" s="169"/>
      <c r="E338" s="169"/>
      <c r="F338" s="205"/>
      <c r="G338" s="205"/>
      <c r="H338" s="205"/>
      <c r="I338" s="205"/>
      <c r="J338" s="205"/>
      <c r="K338" s="205"/>
      <c r="L338" s="205"/>
      <c r="M338" s="205"/>
      <c r="N338" s="205"/>
      <c r="O338" s="205"/>
      <c r="P338" s="205"/>
      <c r="Q338" s="205"/>
      <c r="R338" s="205"/>
      <c r="S338" s="205"/>
      <c r="T338" s="205"/>
      <c r="U338" s="205"/>
      <c r="V338" s="205"/>
      <c r="W338" s="205"/>
      <c r="X338" s="205"/>
      <c r="Y338" s="205"/>
      <c r="Z338" s="205"/>
      <c r="AA338" s="205"/>
      <c r="AB338" s="205"/>
      <c r="AC338" s="205"/>
      <c r="AD338" s="134"/>
      <c r="AE338" s="134"/>
      <c r="AF338" s="134"/>
      <c r="AG338" s="134"/>
      <c r="AH338" s="134"/>
      <c r="AI338" s="134"/>
      <c r="AJ338" s="134"/>
      <c r="AK338" s="134"/>
      <c r="AL338" s="134"/>
      <c r="AM338" s="134"/>
      <c r="AN338" s="134"/>
      <c r="AO338" s="97"/>
      <c r="AP338" s="97"/>
      <c r="AQ338" s="97"/>
      <c r="AR338" s="97"/>
      <c r="AS338" s="97"/>
      <c r="AT338" s="97"/>
      <c r="AU338" s="97"/>
      <c r="AV338" s="97"/>
      <c r="AW338" s="97"/>
      <c r="AX338" s="97"/>
    </row>
    <row r="339" ht="15.75" customHeight="1">
      <c r="A339" s="131" t="s">
        <v>115</v>
      </c>
      <c r="B339" s="142" t="s">
        <v>3059</v>
      </c>
      <c r="C339" s="133"/>
      <c r="D339" s="133"/>
      <c r="E339" s="133"/>
      <c r="F339" s="134"/>
      <c r="G339" s="134"/>
      <c r="H339" s="134"/>
      <c r="I339" s="134"/>
      <c r="J339" s="134"/>
      <c r="K339" s="134"/>
      <c r="L339" s="134"/>
      <c r="M339" s="134"/>
      <c r="N339" s="134"/>
      <c r="O339" s="134"/>
      <c r="P339" s="134"/>
      <c r="Q339" s="134"/>
      <c r="R339" s="134"/>
      <c r="S339" s="134"/>
      <c r="T339" s="149" t="s">
        <v>4567</v>
      </c>
      <c r="U339" s="134"/>
      <c r="V339" s="134"/>
      <c r="W339" s="134"/>
      <c r="X339" s="134"/>
      <c r="Y339" s="134"/>
      <c r="Z339" s="134"/>
      <c r="AA339" s="134"/>
      <c r="AB339" s="134"/>
      <c r="AC339" s="134"/>
      <c r="AD339" s="134"/>
      <c r="AE339" s="134"/>
      <c r="AF339" s="134"/>
      <c r="AG339" s="134"/>
      <c r="AH339" s="134"/>
      <c r="AI339" s="134"/>
      <c r="AJ339" s="134"/>
      <c r="AK339" s="134"/>
      <c r="AL339" s="134"/>
      <c r="AM339" s="134"/>
      <c r="AN339" s="134"/>
      <c r="AO339" s="97"/>
      <c r="AP339" s="97"/>
      <c r="AQ339" s="97"/>
      <c r="AR339" s="97"/>
      <c r="AS339" s="97"/>
      <c r="AT339" s="97"/>
      <c r="AU339" s="97"/>
      <c r="AV339" s="97"/>
      <c r="AW339" s="97"/>
      <c r="AX339" s="97"/>
    </row>
    <row r="340" ht="15.75" customHeight="1">
      <c r="A340" s="80" t="s">
        <v>150</v>
      </c>
      <c r="B340" s="164" t="s">
        <v>3063</v>
      </c>
      <c r="C340" s="82"/>
      <c r="D340" s="83"/>
      <c r="E340" s="83"/>
      <c r="F340" s="84"/>
      <c r="G340" s="84"/>
      <c r="H340" s="84"/>
      <c r="I340" s="84"/>
      <c r="J340" s="86"/>
      <c r="K340" s="84"/>
      <c r="L340" s="84"/>
      <c r="M340" s="86"/>
      <c r="N340" s="86"/>
      <c r="O340" s="91"/>
      <c r="P340" s="84"/>
      <c r="Q340" s="84"/>
      <c r="R340" s="84"/>
      <c r="S340" s="84"/>
      <c r="T340" s="94" t="s">
        <v>156</v>
      </c>
      <c r="U340" s="84"/>
      <c r="V340" s="84"/>
      <c r="W340" s="84"/>
      <c r="X340" s="84"/>
      <c r="Y340" s="84"/>
      <c r="Z340" s="84"/>
      <c r="AA340" s="84"/>
      <c r="AB340" s="84"/>
      <c r="AC340" s="84"/>
      <c r="AD340" s="97"/>
      <c r="AE340" s="97"/>
      <c r="AF340" s="97"/>
      <c r="AG340" s="97"/>
      <c r="AH340" s="97"/>
      <c r="AI340" s="97"/>
      <c r="AJ340" s="97"/>
      <c r="AK340" s="97"/>
      <c r="AL340" s="97"/>
      <c r="AM340" s="97"/>
      <c r="AN340" s="97"/>
      <c r="AO340" s="97"/>
      <c r="AP340" s="97"/>
      <c r="AQ340" s="97"/>
      <c r="AR340" s="97"/>
      <c r="AS340" s="97"/>
      <c r="AT340" s="97"/>
      <c r="AU340" s="97"/>
      <c r="AV340" s="97"/>
      <c r="AW340" s="97"/>
      <c r="AX340" s="97"/>
    </row>
    <row r="341" ht="15.75" customHeight="1">
      <c r="A341" s="121" t="s">
        <v>44</v>
      </c>
      <c r="B341" s="157" t="s">
        <v>3073</v>
      </c>
      <c r="C341" s="76" t="s">
        <v>4581</v>
      </c>
      <c r="D341" s="76" t="s">
        <v>4582</v>
      </c>
      <c r="E341" s="117" t="s">
        <v>4583</v>
      </c>
      <c r="F341" s="76"/>
      <c r="G341" s="76"/>
      <c r="H341" s="76"/>
      <c r="I341" s="118"/>
      <c r="J341" s="120"/>
      <c r="K341" s="118"/>
      <c r="L341" s="118"/>
      <c r="M341" s="118"/>
      <c r="N341" s="118"/>
      <c r="O341" s="118"/>
      <c r="P341" s="118"/>
      <c r="Q341" s="118"/>
      <c r="R341" s="118"/>
      <c r="S341" s="118"/>
      <c r="T341" s="118"/>
      <c r="U341" s="118"/>
      <c r="V341" s="118"/>
      <c r="W341" s="118"/>
      <c r="X341" s="118"/>
      <c r="Y341" s="118"/>
      <c r="Z341" s="118"/>
      <c r="AA341" s="118"/>
      <c r="AB341" s="118"/>
      <c r="AC341" s="118"/>
      <c r="AD341" s="84"/>
      <c r="AE341" s="84"/>
      <c r="AF341" s="84"/>
      <c r="AG341" s="84"/>
      <c r="AH341" s="84"/>
      <c r="AI341" s="84"/>
      <c r="AJ341" s="84"/>
      <c r="AK341" s="84"/>
      <c r="AL341" s="84"/>
      <c r="AM341" s="84"/>
      <c r="AN341" s="84"/>
      <c r="AO341" s="97"/>
      <c r="AP341" s="97"/>
      <c r="AQ341" s="97"/>
      <c r="AR341" s="97"/>
      <c r="AS341" s="97"/>
      <c r="AT341" s="97"/>
      <c r="AU341" s="97"/>
      <c r="AV341" s="97"/>
      <c r="AW341" s="97"/>
      <c r="AX341" s="97"/>
    </row>
    <row r="342" ht="15.75" customHeight="1">
      <c r="A342" s="114" t="s">
        <v>541</v>
      </c>
      <c r="B342" s="165" t="s">
        <v>3080</v>
      </c>
      <c r="C342" s="76" t="s">
        <v>4597</v>
      </c>
      <c r="D342" s="76" t="s">
        <v>4598</v>
      </c>
      <c r="E342" s="117" t="s">
        <v>4599</v>
      </c>
      <c r="F342" s="76"/>
      <c r="G342" s="76" t="s">
        <v>4600</v>
      </c>
      <c r="H342" s="76" t="s">
        <v>4601</v>
      </c>
      <c r="I342" s="118"/>
      <c r="J342" s="120"/>
      <c r="K342" s="118"/>
      <c r="L342" s="118"/>
      <c r="M342" s="118"/>
      <c r="N342" s="118"/>
      <c r="O342" s="118"/>
      <c r="P342" s="118"/>
      <c r="Q342" s="118" t="s">
        <v>184</v>
      </c>
      <c r="R342" s="118"/>
      <c r="S342" s="118"/>
      <c r="T342" s="118"/>
      <c r="U342" s="118"/>
      <c r="V342" s="118"/>
      <c r="W342" s="118"/>
      <c r="X342" s="118"/>
      <c r="Y342" s="118"/>
      <c r="Z342" s="118"/>
      <c r="AA342" s="118"/>
      <c r="AB342" s="118"/>
      <c r="AC342" s="118"/>
      <c r="AD342" s="84"/>
      <c r="AE342" s="84"/>
      <c r="AF342" s="84"/>
      <c r="AG342" s="84"/>
      <c r="AH342" s="84"/>
      <c r="AI342" s="84"/>
      <c r="AJ342" s="84"/>
      <c r="AK342" s="84"/>
      <c r="AL342" s="84"/>
      <c r="AM342" s="84"/>
      <c r="AN342" s="84"/>
      <c r="AO342" s="97"/>
      <c r="AP342" s="97"/>
      <c r="AQ342" s="97"/>
      <c r="AR342" s="97"/>
      <c r="AS342" s="97"/>
      <c r="AT342" s="97"/>
      <c r="AU342" s="97"/>
      <c r="AV342" s="97"/>
      <c r="AW342" s="97"/>
      <c r="AX342" s="97"/>
    </row>
    <row r="343" ht="15.75" customHeight="1">
      <c r="A343" s="170" t="s">
        <v>238</v>
      </c>
      <c r="B343" s="171" t="s">
        <v>3084</v>
      </c>
      <c r="C343" s="76" t="s">
        <v>4610</v>
      </c>
      <c r="D343" s="76" t="s">
        <v>4611</v>
      </c>
      <c r="E343" s="117" t="s">
        <v>4612</v>
      </c>
      <c r="F343" s="76"/>
      <c r="G343" s="76"/>
      <c r="H343" s="76"/>
      <c r="I343" s="209"/>
      <c r="J343" s="209"/>
      <c r="K343" s="210" t="s">
        <v>1526</v>
      </c>
      <c r="L343" s="210" t="s">
        <v>4615</v>
      </c>
      <c r="M343" s="209"/>
      <c r="N343" s="209"/>
      <c r="O343" s="209" t="s">
        <v>4618</v>
      </c>
      <c r="P343" s="209"/>
      <c r="Q343" s="209" t="s">
        <v>184</v>
      </c>
      <c r="R343" s="209"/>
      <c r="S343" s="209"/>
      <c r="T343" s="209"/>
      <c r="U343" s="209"/>
      <c r="V343" s="209"/>
      <c r="W343" s="209"/>
      <c r="X343" s="209"/>
      <c r="Y343" s="209"/>
      <c r="Z343" s="209"/>
      <c r="AA343" s="209"/>
      <c r="AB343" s="209"/>
      <c r="AC343" s="209"/>
      <c r="AD343" s="84"/>
      <c r="AE343" s="84"/>
      <c r="AF343" s="84"/>
      <c r="AG343" s="84"/>
      <c r="AH343" s="84"/>
      <c r="AI343" s="84"/>
      <c r="AJ343" s="84"/>
      <c r="AK343" s="84"/>
      <c r="AL343" s="84"/>
      <c r="AM343" s="84"/>
      <c r="AN343" s="84"/>
      <c r="AO343" s="97"/>
      <c r="AP343" s="97"/>
      <c r="AQ343" s="97"/>
      <c r="AR343" s="97"/>
      <c r="AS343" s="97"/>
      <c r="AT343" s="97"/>
      <c r="AU343" s="97"/>
      <c r="AV343" s="97"/>
      <c r="AW343" s="97"/>
      <c r="AX343" s="97"/>
    </row>
    <row r="344" ht="15.75" customHeight="1">
      <c r="A344" s="167" t="s">
        <v>807</v>
      </c>
      <c r="B344" s="168" t="s">
        <v>3125</v>
      </c>
      <c r="C344" s="168" t="s">
        <v>3126</v>
      </c>
      <c r="D344" s="169"/>
      <c r="E344" s="169"/>
      <c r="F344" s="205"/>
      <c r="G344" s="205"/>
      <c r="H344" s="205"/>
      <c r="I344" s="205"/>
      <c r="J344" s="205"/>
      <c r="K344" s="205"/>
      <c r="L344" s="205"/>
      <c r="M344" s="207"/>
      <c r="N344" s="207"/>
      <c r="O344" s="207" t="s">
        <v>4618</v>
      </c>
      <c r="P344" s="205"/>
      <c r="Q344" s="205"/>
      <c r="R344" s="205"/>
      <c r="S344" s="205"/>
      <c r="T344" s="205"/>
      <c r="U344" s="168" t="s">
        <v>4624</v>
      </c>
      <c r="V344" s="205"/>
      <c r="W344" s="205"/>
      <c r="X344" s="205"/>
      <c r="Y344" s="205"/>
      <c r="Z344" s="205"/>
      <c r="AA344" s="205"/>
      <c r="AB344" s="205"/>
      <c r="AC344" s="205"/>
      <c r="AD344" s="84"/>
      <c r="AE344" s="84"/>
      <c r="AF344" s="84"/>
      <c r="AG344" s="84"/>
      <c r="AH344" s="84"/>
      <c r="AI344" s="84"/>
      <c r="AJ344" s="84"/>
      <c r="AK344" s="84"/>
      <c r="AL344" s="84"/>
      <c r="AM344" s="84"/>
      <c r="AN344" s="84"/>
      <c r="AO344" s="97"/>
      <c r="AP344" s="97"/>
      <c r="AQ344" s="97"/>
      <c r="AR344" s="97"/>
      <c r="AS344" s="97"/>
      <c r="AT344" s="97"/>
      <c r="AU344" s="97"/>
      <c r="AV344" s="97"/>
      <c r="AW344" s="97"/>
      <c r="AX344" s="97"/>
    </row>
    <row r="345" ht="15.75" customHeight="1">
      <c r="A345" s="131" t="s">
        <v>115</v>
      </c>
      <c r="B345" s="132" t="s">
        <v>3130</v>
      </c>
      <c r="C345" s="133" t="s">
        <v>3131</v>
      </c>
      <c r="D345" s="133"/>
      <c r="E345" s="133"/>
      <c r="F345" s="134"/>
      <c r="G345" s="134"/>
      <c r="H345" s="134"/>
      <c r="I345" s="134"/>
      <c r="J345" s="134"/>
      <c r="K345" s="134"/>
      <c r="L345" s="134"/>
      <c r="M345" s="134"/>
      <c r="N345" s="134"/>
      <c r="O345" s="134"/>
      <c r="P345" s="134"/>
      <c r="Q345" s="134"/>
      <c r="R345" s="134"/>
      <c r="S345" s="134"/>
      <c r="T345" s="149" t="s">
        <v>1471</v>
      </c>
      <c r="U345" s="134"/>
      <c r="V345" s="134"/>
      <c r="W345" s="134"/>
      <c r="X345" s="134"/>
      <c r="Y345" s="134"/>
      <c r="Z345" s="134"/>
      <c r="AA345" s="134"/>
      <c r="AB345" s="134"/>
      <c r="AC345" s="134"/>
      <c r="AD345" s="97"/>
      <c r="AE345" s="97"/>
      <c r="AF345" s="97"/>
      <c r="AG345" s="97"/>
      <c r="AH345" s="97"/>
      <c r="AI345" s="97"/>
      <c r="AJ345" s="97"/>
      <c r="AK345" s="97"/>
      <c r="AL345" s="84"/>
      <c r="AM345" s="84"/>
      <c r="AN345" s="84"/>
      <c r="AO345" s="97"/>
      <c r="AP345" s="97"/>
      <c r="AQ345" s="97"/>
      <c r="AR345" s="97"/>
      <c r="AS345" s="97"/>
      <c r="AT345" s="97"/>
      <c r="AU345" s="97"/>
      <c r="AV345" s="97"/>
      <c r="AW345" s="97"/>
      <c r="AX345" s="97"/>
    </row>
    <row r="346" ht="15.75" customHeight="1">
      <c r="A346" s="131" t="s">
        <v>115</v>
      </c>
      <c r="B346" s="132" t="s">
        <v>3138</v>
      </c>
      <c r="C346" s="133"/>
      <c r="D346" s="133"/>
      <c r="E346" s="133"/>
      <c r="F346" s="134"/>
      <c r="G346" s="134"/>
      <c r="H346" s="134"/>
      <c r="I346" s="134"/>
      <c r="J346" s="134"/>
      <c r="K346" s="134"/>
      <c r="L346" s="134"/>
      <c r="M346" s="134"/>
      <c r="N346" s="134"/>
      <c r="O346" s="134"/>
      <c r="P346" s="134"/>
      <c r="Q346" s="134"/>
      <c r="R346" s="134"/>
      <c r="S346" s="134"/>
      <c r="T346" s="149" t="s">
        <v>4642</v>
      </c>
      <c r="U346" s="134"/>
      <c r="V346" s="134"/>
      <c r="W346" s="134"/>
      <c r="X346" s="134"/>
      <c r="Y346" s="134"/>
      <c r="Z346" s="134"/>
      <c r="AA346" s="134"/>
      <c r="AB346" s="134"/>
      <c r="AC346" s="134"/>
      <c r="AD346" s="97"/>
      <c r="AE346" s="97"/>
      <c r="AF346" s="97"/>
      <c r="AG346" s="97"/>
      <c r="AH346" s="97"/>
      <c r="AI346" s="97"/>
      <c r="AJ346" s="97"/>
      <c r="AK346" s="97"/>
      <c r="AL346" s="84"/>
      <c r="AM346" s="84"/>
      <c r="AN346" s="84"/>
      <c r="AO346" s="97"/>
      <c r="AP346" s="97"/>
      <c r="AQ346" s="97"/>
      <c r="AR346" s="97"/>
      <c r="AS346" s="97"/>
      <c r="AT346" s="97"/>
      <c r="AU346" s="97"/>
      <c r="AV346" s="97"/>
      <c r="AW346" s="97"/>
      <c r="AX346" s="97"/>
    </row>
    <row r="347" ht="15.75" customHeight="1">
      <c r="A347" s="131" t="s">
        <v>115</v>
      </c>
      <c r="B347" s="132" t="s">
        <v>3142</v>
      </c>
      <c r="C347" s="133"/>
      <c r="D347" s="133"/>
      <c r="E347" s="133"/>
      <c r="F347" s="134"/>
      <c r="G347" s="134"/>
      <c r="H347" s="134"/>
      <c r="I347" s="134"/>
      <c r="J347" s="134"/>
      <c r="K347" s="134"/>
      <c r="L347" s="134"/>
      <c r="M347" s="134"/>
      <c r="N347" s="134"/>
      <c r="O347" s="134"/>
      <c r="P347" s="134"/>
      <c r="Q347" s="134"/>
      <c r="R347" s="134"/>
      <c r="S347" s="134"/>
      <c r="T347" s="149" t="s">
        <v>4651</v>
      </c>
      <c r="U347" s="134"/>
      <c r="V347" s="134"/>
      <c r="W347" s="134"/>
      <c r="X347" s="134"/>
      <c r="Y347" s="134"/>
      <c r="Z347" s="134"/>
      <c r="AA347" s="134"/>
      <c r="AB347" s="134"/>
      <c r="AC347" s="134"/>
      <c r="AD347" s="97"/>
      <c r="AE347" s="97"/>
      <c r="AF347" s="97"/>
      <c r="AG347" s="97"/>
      <c r="AH347" s="97"/>
      <c r="AI347" s="97"/>
      <c r="AJ347" s="97"/>
      <c r="AK347" s="97"/>
      <c r="AL347" s="84"/>
      <c r="AM347" s="84"/>
      <c r="AN347" s="84"/>
      <c r="AO347" s="97"/>
      <c r="AP347" s="97"/>
      <c r="AQ347" s="97"/>
      <c r="AR347" s="97"/>
      <c r="AS347" s="97"/>
      <c r="AT347" s="97"/>
      <c r="AU347" s="97"/>
      <c r="AV347" s="97"/>
      <c r="AW347" s="97"/>
      <c r="AX347" s="97"/>
    </row>
    <row r="348" ht="15.75" customHeight="1">
      <c r="A348" s="131" t="s">
        <v>115</v>
      </c>
      <c r="B348" s="132" t="s">
        <v>3149</v>
      </c>
      <c r="C348" s="133"/>
      <c r="D348" s="133"/>
      <c r="E348" s="133"/>
      <c r="F348" s="134"/>
      <c r="G348" s="134"/>
      <c r="H348" s="134"/>
      <c r="I348" s="134"/>
      <c r="J348" s="134"/>
      <c r="K348" s="134"/>
      <c r="L348" s="134"/>
      <c r="M348" s="134"/>
      <c r="N348" s="134"/>
      <c r="O348" s="134"/>
      <c r="P348" s="134"/>
      <c r="Q348" s="134"/>
      <c r="R348" s="134"/>
      <c r="S348" s="134"/>
      <c r="T348" s="149" t="s">
        <v>4662</v>
      </c>
      <c r="U348" s="134"/>
      <c r="V348" s="134"/>
      <c r="W348" s="134"/>
      <c r="X348" s="134"/>
      <c r="Y348" s="134"/>
      <c r="Z348" s="134"/>
      <c r="AA348" s="134"/>
      <c r="AB348" s="134"/>
      <c r="AC348" s="134"/>
      <c r="AD348" s="97"/>
      <c r="AE348" s="97"/>
      <c r="AF348" s="97"/>
      <c r="AG348" s="97"/>
      <c r="AH348" s="97"/>
      <c r="AI348" s="97"/>
      <c r="AJ348" s="97"/>
      <c r="AK348" s="97"/>
      <c r="AL348" s="84"/>
      <c r="AM348" s="84"/>
      <c r="AN348" s="84"/>
      <c r="AO348" s="97"/>
      <c r="AP348" s="97"/>
      <c r="AQ348" s="97"/>
      <c r="AR348" s="97"/>
      <c r="AS348" s="97"/>
      <c r="AT348" s="97"/>
      <c r="AU348" s="97"/>
      <c r="AV348" s="97"/>
      <c r="AW348" s="97"/>
      <c r="AX348" s="97"/>
    </row>
    <row r="349" ht="15.75" customHeight="1">
      <c r="A349" s="150" t="s">
        <v>161</v>
      </c>
      <c r="B349" s="82" t="s">
        <v>3153</v>
      </c>
      <c r="C349" s="82" t="s">
        <v>3154</v>
      </c>
      <c r="D349" s="83"/>
      <c r="E349" s="83"/>
      <c r="F349" s="84"/>
      <c r="G349" s="84"/>
      <c r="H349" s="84"/>
      <c r="I349" s="84"/>
      <c r="J349" s="86" t="s">
        <v>1811</v>
      </c>
      <c r="K349" s="84"/>
      <c r="L349" s="84"/>
      <c r="M349" s="86"/>
      <c r="N349" s="86"/>
      <c r="O349" s="86"/>
      <c r="P349" s="84"/>
      <c r="Q349" s="84"/>
      <c r="R349" s="84"/>
      <c r="S349" s="84"/>
      <c r="T349" s="84"/>
      <c r="U349" s="84"/>
      <c r="V349" s="84"/>
      <c r="W349" s="84"/>
      <c r="X349" s="84"/>
      <c r="Y349" s="84"/>
      <c r="Z349" s="84"/>
      <c r="AA349" s="84"/>
      <c r="AB349" s="84"/>
      <c r="AC349" s="84"/>
      <c r="AD349" s="97"/>
      <c r="AE349" s="97"/>
      <c r="AF349" s="97"/>
      <c r="AG349" s="97"/>
      <c r="AH349" s="97"/>
      <c r="AI349" s="97"/>
      <c r="AJ349" s="97"/>
      <c r="AK349" s="97"/>
      <c r="AL349" s="84"/>
      <c r="AM349" s="84"/>
      <c r="AN349" s="84"/>
      <c r="AO349" s="97"/>
      <c r="AP349" s="97"/>
      <c r="AQ349" s="97"/>
      <c r="AR349" s="97"/>
      <c r="AS349" s="97"/>
      <c r="AT349" s="97"/>
      <c r="AU349" s="97"/>
      <c r="AV349" s="97"/>
      <c r="AW349" s="97"/>
      <c r="AX349" s="97"/>
    </row>
    <row r="350" ht="15.75" customHeight="1">
      <c r="A350" s="162" t="s">
        <v>217</v>
      </c>
      <c r="B350" s="166" t="s">
        <v>3161</v>
      </c>
      <c r="C350" s="76" t="s">
        <v>4674</v>
      </c>
      <c r="D350" s="76" t="s">
        <v>4675</v>
      </c>
      <c r="E350" s="117" t="s">
        <v>4676</v>
      </c>
      <c r="F350" s="76"/>
      <c r="G350" s="76"/>
      <c r="H350" s="76"/>
      <c r="I350" s="182"/>
      <c r="J350" s="183"/>
      <c r="K350" s="182"/>
      <c r="L350" s="182"/>
      <c r="M350" s="182"/>
      <c r="N350" s="182"/>
      <c r="O350" s="182"/>
      <c r="P350" s="182"/>
      <c r="Q350" s="182" t="s">
        <v>184</v>
      </c>
      <c r="R350" s="182"/>
      <c r="S350" s="182"/>
      <c r="T350" s="182"/>
      <c r="U350" s="182"/>
      <c r="V350" s="182"/>
      <c r="W350" s="182"/>
      <c r="X350" s="182"/>
      <c r="Y350" s="182"/>
      <c r="Z350" s="182"/>
      <c r="AA350" s="182"/>
      <c r="AB350" s="182"/>
      <c r="AC350" s="182"/>
      <c r="AD350" s="97"/>
      <c r="AE350" s="97"/>
      <c r="AF350" s="97"/>
      <c r="AG350" s="97"/>
      <c r="AH350" s="97"/>
      <c r="AI350" s="97"/>
      <c r="AJ350" s="97"/>
      <c r="AK350" s="97"/>
      <c r="AL350" s="84"/>
      <c r="AM350" s="84"/>
      <c r="AN350" s="84"/>
      <c r="AO350" s="97"/>
      <c r="AP350" s="97"/>
      <c r="AQ350" s="97"/>
      <c r="AR350" s="97"/>
      <c r="AS350" s="97"/>
      <c r="AT350" s="97"/>
      <c r="AU350" s="97"/>
      <c r="AV350" s="97"/>
      <c r="AW350" s="97"/>
      <c r="AX350" s="97"/>
    </row>
    <row r="351" ht="15.75" customHeight="1">
      <c r="A351" s="162" t="s">
        <v>217</v>
      </c>
      <c r="B351" s="166" t="s">
        <v>3165</v>
      </c>
      <c r="C351" s="76" t="s">
        <v>4683</v>
      </c>
      <c r="D351" s="76" t="s">
        <v>4684</v>
      </c>
      <c r="E351" s="117" t="s">
        <v>4685</v>
      </c>
      <c r="F351" s="76"/>
      <c r="G351" s="76"/>
      <c r="H351" s="76"/>
      <c r="I351" s="182"/>
      <c r="J351" s="183"/>
      <c r="K351" s="182"/>
      <c r="L351" s="182"/>
      <c r="M351" s="182"/>
      <c r="N351" s="182"/>
      <c r="O351" s="182"/>
      <c r="P351" s="182"/>
      <c r="Q351" s="182" t="s">
        <v>184</v>
      </c>
      <c r="R351" s="182"/>
      <c r="S351" s="182"/>
      <c r="T351" s="182"/>
      <c r="U351" s="182"/>
      <c r="V351" s="182"/>
      <c r="W351" s="182"/>
      <c r="X351" s="182"/>
      <c r="Y351" s="182"/>
      <c r="Z351" s="182"/>
      <c r="AA351" s="182"/>
      <c r="AB351" s="182"/>
      <c r="AC351" s="182"/>
      <c r="AD351" s="97"/>
      <c r="AE351" s="97"/>
      <c r="AF351" s="97"/>
      <c r="AG351" s="97"/>
      <c r="AH351" s="97"/>
      <c r="AI351" s="97"/>
      <c r="AJ351" s="97"/>
      <c r="AK351" s="97"/>
      <c r="AL351" s="84"/>
      <c r="AM351" s="84"/>
      <c r="AN351" s="84"/>
      <c r="AO351" s="97"/>
      <c r="AP351" s="97"/>
      <c r="AQ351" s="97"/>
      <c r="AR351" s="97"/>
      <c r="AS351" s="97"/>
      <c r="AT351" s="97"/>
      <c r="AU351" s="97"/>
      <c r="AV351" s="97"/>
      <c r="AW351" s="97"/>
      <c r="AX351" s="97"/>
    </row>
    <row r="352" ht="15.75" customHeight="1">
      <c r="A352" s="150" t="s">
        <v>343</v>
      </c>
      <c r="B352" s="83" t="s">
        <v>3153</v>
      </c>
      <c r="C352" s="83"/>
      <c r="D352" s="83"/>
      <c r="E352" s="83"/>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97"/>
      <c r="AE352" s="97"/>
      <c r="AF352" s="97"/>
      <c r="AG352" s="97"/>
      <c r="AH352" s="97"/>
      <c r="AI352" s="97"/>
      <c r="AJ352" s="97"/>
      <c r="AK352" s="97"/>
      <c r="AL352" s="84"/>
      <c r="AM352" s="84"/>
      <c r="AN352" s="84"/>
      <c r="AO352" s="97"/>
      <c r="AP352" s="97"/>
      <c r="AQ352" s="97"/>
      <c r="AR352" s="97"/>
      <c r="AS352" s="97"/>
      <c r="AT352" s="97"/>
      <c r="AU352" s="97"/>
      <c r="AV352" s="97"/>
      <c r="AW352" s="97"/>
      <c r="AX352" s="97"/>
    </row>
    <row r="353" ht="15.75" customHeight="1">
      <c r="A353" s="131" t="s">
        <v>115</v>
      </c>
      <c r="B353" s="132" t="s">
        <v>3173</v>
      </c>
      <c r="C353" s="133"/>
      <c r="D353" s="133"/>
      <c r="E353" s="133"/>
      <c r="F353" s="134"/>
      <c r="G353" s="134"/>
      <c r="H353" s="134"/>
      <c r="I353" s="134"/>
      <c r="J353" s="134"/>
      <c r="K353" s="134"/>
      <c r="L353" s="134"/>
      <c r="M353" s="134"/>
      <c r="N353" s="134"/>
      <c r="O353" s="134"/>
      <c r="P353" s="134"/>
      <c r="Q353" s="134"/>
      <c r="R353" s="134"/>
      <c r="S353" s="134"/>
      <c r="T353" s="149" t="s">
        <v>4707</v>
      </c>
      <c r="U353" s="134"/>
      <c r="V353" s="134"/>
      <c r="W353" s="134"/>
      <c r="X353" s="134"/>
      <c r="Y353" s="134"/>
      <c r="Z353" s="134"/>
      <c r="AA353" s="134"/>
      <c r="AB353" s="134"/>
      <c r="AC353" s="134"/>
      <c r="AD353" s="97"/>
      <c r="AE353" s="97"/>
      <c r="AF353" s="97"/>
      <c r="AG353" s="97"/>
      <c r="AH353" s="97"/>
      <c r="AI353" s="97"/>
      <c r="AJ353" s="97"/>
      <c r="AK353" s="97"/>
      <c r="AL353" s="84"/>
      <c r="AM353" s="84"/>
      <c r="AN353" s="84"/>
      <c r="AO353" s="97"/>
      <c r="AP353" s="97"/>
      <c r="AQ353" s="97"/>
      <c r="AR353" s="97"/>
      <c r="AS353" s="97"/>
      <c r="AT353" s="97"/>
      <c r="AU353" s="97"/>
      <c r="AV353" s="97"/>
      <c r="AW353" s="97"/>
      <c r="AX353" s="97"/>
    </row>
    <row r="354" ht="15.75" customHeight="1">
      <c r="A354" s="114" t="s">
        <v>3178</v>
      </c>
      <c r="B354" s="165" t="s">
        <v>3179</v>
      </c>
      <c r="C354" s="76" t="s">
        <v>4712</v>
      </c>
      <c r="D354" s="76" t="s">
        <v>4713</v>
      </c>
      <c r="E354" s="117" t="s">
        <v>4714</v>
      </c>
      <c r="F354" s="76" t="s">
        <v>1746</v>
      </c>
      <c r="G354" s="76" t="s">
        <v>4716</v>
      </c>
      <c r="H354" s="76" t="s">
        <v>1748</v>
      </c>
      <c r="I354" s="118"/>
      <c r="J354" s="120"/>
      <c r="K354" s="118"/>
      <c r="L354" s="118"/>
      <c r="M354" s="118"/>
      <c r="N354" s="118"/>
      <c r="O354" s="118"/>
      <c r="P354" s="118"/>
      <c r="Q354" s="118" t="s">
        <v>184</v>
      </c>
      <c r="R354" s="118"/>
      <c r="S354" s="118"/>
      <c r="T354" s="118"/>
      <c r="U354" s="118"/>
      <c r="V354" s="118"/>
      <c r="W354" s="118"/>
      <c r="X354" s="118"/>
      <c r="Y354" s="118"/>
      <c r="Z354" s="118"/>
      <c r="AA354" s="118"/>
      <c r="AB354" s="118"/>
      <c r="AC354" s="118"/>
      <c r="AD354" s="97"/>
      <c r="AE354" s="97"/>
      <c r="AF354" s="97"/>
      <c r="AG354" s="97"/>
      <c r="AH354" s="97"/>
      <c r="AI354" s="97"/>
      <c r="AJ354" s="97"/>
      <c r="AK354" s="97"/>
      <c r="AL354" s="84"/>
      <c r="AM354" s="84"/>
      <c r="AN354" s="84"/>
      <c r="AO354" s="97"/>
      <c r="AP354" s="97"/>
      <c r="AQ354" s="97"/>
      <c r="AR354" s="97"/>
      <c r="AS354" s="97"/>
      <c r="AT354" s="97"/>
      <c r="AU354" s="97"/>
      <c r="AV354" s="97"/>
      <c r="AW354" s="97"/>
      <c r="AX354" s="97"/>
    </row>
    <row r="355" ht="15.75" customHeight="1">
      <c r="A355" s="114" t="s">
        <v>3189</v>
      </c>
      <c r="B355" s="165" t="s">
        <v>3190</v>
      </c>
      <c r="C355" s="76" t="s">
        <v>4721</v>
      </c>
      <c r="D355" s="76" t="s">
        <v>4722</v>
      </c>
      <c r="E355" s="117" t="s">
        <v>4723</v>
      </c>
      <c r="F355" s="76"/>
      <c r="G355" s="76"/>
      <c r="H355" s="76"/>
      <c r="I355" s="118"/>
      <c r="J355" s="120"/>
      <c r="K355" s="118"/>
      <c r="L355" s="118"/>
      <c r="M355" s="118"/>
      <c r="N355" s="118"/>
      <c r="O355" s="118"/>
      <c r="P355" s="118"/>
      <c r="Q355" s="118" t="s">
        <v>184</v>
      </c>
      <c r="R355" s="118"/>
      <c r="S355" s="118"/>
      <c r="T355" s="118"/>
      <c r="U355" s="118"/>
      <c r="V355" s="118"/>
      <c r="W355" s="118"/>
      <c r="X355" s="118"/>
      <c r="Y355" s="118"/>
      <c r="Z355" s="118"/>
      <c r="AA355" s="118"/>
      <c r="AB355" s="118"/>
      <c r="AC355" s="118"/>
      <c r="AD355" s="97"/>
      <c r="AE355" s="97"/>
      <c r="AF355" s="97"/>
      <c r="AG355" s="97"/>
      <c r="AH355" s="97"/>
      <c r="AI355" s="97"/>
      <c r="AJ355" s="97"/>
      <c r="AK355" s="97"/>
      <c r="AL355" s="84"/>
      <c r="AM355" s="84"/>
      <c r="AN355" s="84"/>
      <c r="AO355" s="97"/>
      <c r="AP355" s="97"/>
      <c r="AQ355" s="97"/>
      <c r="AR355" s="97"/>
      <c r="AS355" s="97"/>
      <c r="AT355" s="97"/>
      <c r="AU355" s="97"/>
      <c r="AV355" s="97"/>
      <c r="AW355" s="97"/>
      <c r="AX355" s="97"/>
    </row>
    <row r="356" ht="15.75" customHeight="1">
      <c r="A356" s="170" t="s">
        <v>238</v>
      </c>
      <c r="B356" s="171" t="s">
        <v>3193</v>
      </c>
      <c r="C356" s="76" t="s">
        <v>4732</v>
      </c>
      <c r="D356" s="76" t="s">
        <v>4733</v>
      </c>
      <c r="E356" s="117" t="s">
        <v>4735</v>
      </c>
      <c r="F356" s="76"/>
      <c r="G356" s="76"/>
      <c r="H356" s="76"/>
      <c r="I356" s="209"/>
      <c r="J356" s="209"/>
      <c r="K356" s="210" t="s">
        <v>4737</v>
      </c>
      <c r="L356" s="210"/>
      <c r="M356" s="209"/>
      <c r="N356" s="209"/>
      <c r="O356" s="209"/>
      <c r="P356" s="209"/>
      <c r="Q356" s="209" t="s">
        <v>184</v>
      </c>
      <c r="R356" s="209"/>
      <c r="S356" s="209"/>
      <c r="T356" s="209"/>
      <c r="U356" s="209"/>
      <c r="V356" s="209"/>
      <c r="W356" s="209"/>
      <c r="X356" s="209"/>
      <c r="Y356" s="209"/>
      <c r="Z356" s="209"/>
      <c r="AA356" s="209"/>
      <c r="AB356" s="209"/>
      <c r="AC356" s="209"/>
      <c r="AD356" s="97"/>
      <c r="AE356" s="97"/>
      <c r="AF356" s="97"/>
      <c r="AG356" s="97"/>
      <c r="AH356" s="97"/>
      <c r="AI356" s="97"/>
      <c r="AJ356" s="97"/>
      <c r="AK356" s="97"/>
      <c r="AL356" s="84"/>
      <c r="AM356" s="84"/>
      <c r="AN356" s="84"/>
      <c r="AO356" s="97"/>
      <c r="AP356" s="97"/>
      <c r="AQ356" s="97"/>
      <c r="AR356" s="97"/>
      <c r="AS356" s="97"/>
      <c r="AT356" s="97"/>
      <c r="AU356" s="97"/>
      <c r="AV356" s="97"/>
      <c r="AW356" s="97"/>
      <c r="AX356" s="97"/>
    </row>
    <row r="357" ht="15.75" customHeight="1">
      <c r="A357" s="167" t="s">
        <v>842</v>
      </c>
      <c r="B357" s="169" t="s">
        <v>3125</v>
      </c>
      <c r="C357" s="169" t="s">
        <v>3126</v>
      </c>
      <c r="D357" s="169"/>
      <c r="E357" s="169"/>
      <c r="F357" s="205"/>
      <c r="G357" s="205"/>
      <c r="H357" s="205"/>
      <c r="I357" s="205"/>
      <c r="J357" s="205"/>
      <c r="K357" s="205"/>
      <c r="L357" s="205"/>
      <c r="M357" s="205"/>
      <c r="N357" s="205"/>
      <c r="O357" s="205"/>
      <c r="P357" s="205"/>
      <c r="Q357" s="205"/>
      <c r="R357" s="205"/>
      <c r="S357" s="205"/>
      <c r="T357" s="205"/>
      <c r="U357" s="205"/>
      <c r="V357" s="205"/>
      <c r="W357" s="205"/>
      <c r="X357" s="205"/>
      <c r="Y357" s="205"/>
      <c r="Z357" s="205"/>
      <c r="AA357" s="205"/>
      <c r="AB357" s="205"/>
      <c r="AC357" s="205"/>
      <c r="AD357" s="84"/>
      <c r="AE357" s="84"/>
      <c r="AF357" s="84"/>
      <c r="AG357" s="84"/>
      <c r="AH357" s="84"/>
      <c r="AI357" s="84"/>
      <c r="AJ357" s="84"/>
      <c r="AK357" s="84"/>
      <c r="AL357" s="84"/>
      <c r="AM357" s="84"/>
      <c r="AN357" s="84"/>
      <c r="AO357" s="97"/>
      <c r="AP357" s="97"/>
      <c r="AQ357" s="97"/>
      <c r="AR357" s="97"/>
      <c r="AS357" s="97"/>
      <c r="AT357" s="97"/>
      <c r="AU357" s="97"/>
      <c r="AV357" s="97"/>
      <c r="AW357" s="97"/>
      <c r="AX357" s="97"/>
    </row>
    <row r="358" ht="15.75" customHeight="1">
      <c r="A358" s="80" t="s">
        <v>150</v>
      </c>
      <c r="B358" s="164" t="s">
        <v>3204</v>
      </c>
      <c r="C358" s="82"/>
      <c r="D358" s="83"/>
      <c r="E358" s="83"/>
      <c r="F358" s="84"/>
      <c r="G358" s="84"/>
      <c r="H358" s="84"/>
      <c r="I358" s="84"/>
      <c r="J358" s="86"/>
      <c r="K358" s="84"/>
      <c r="L358" s="84"/>
      <c r="M358" s="86"/>
      <c r="N358" s="86"/>
      <c r="O358" s="91"/>
      <c r="P358" s="84"/>
      <c r="Q358" s="84"/>
      <c r="R358" s="84"/>
      <c r="S358" s="84"/>
      <c r="T358" s="94" t="s">
        <v>156</v>
      </c>
      <c r="U358" s="84"/>
      <c r="V358" s="84"/>
      <c r="W358" s="84"/>
      <c r="X358" s="84"/>
      <c r="Y358" s="84"/>
      <c r="Z358" s="84"/>
      <c r="AA358" s="84"/>
      <c r="AB358" s="84"/>
      <c r="AC358" s="84"/>
      <c r="AD358" s="97"/>
      <c r="AE358" s="97"/>
      <c r="AF358" s="97"/>
      <c r="AG358" s="97"/>
      <c r="AH358" s="97"/>
      <c r="AI358" s="97"/>
      <c r="AJ358" s="97"/>
      <c r="AK358" s="97"/>
      <c r="AL358" s="97"/>
      <c r="AM358" s="97"/>
      <c r="AN358" s="97"/>
      <c r="AO358" s="97"/>
      <c r="AP358" s="97"/>
      <c r="AQ358" s="97"/>
      <c r="AR358" s="97"/>
      <c r="AS358" s="97"/>
      <c r="AT358" s="97"/>
      <c r="AU358" s="97"/>
      <c r="AV358" s="97"/>
      <c r="AW358" s="97"/>
      <c r="AX358" s="97"/>
    </row>
    <row r="359" ht="15.75" customHeight="1">
      <c r="A359" s="80" t="s">
        <v>115</v>
      </c>
      <c r="B359" s="81" t="s">
        <v>3214</v>
      </c>
      <c r="C359" s="82"/>
      <c r="D359" s="83"/>
      <c r="E359" s="83"/>
      <c r="F359" s="84"/>
      <c r="G359" s="84"/>
      <c r="H359" s="84"/>
      <c r="I359" s="86"/>
      <c r="J359" s="86"/>
      <c r="K359" s="84"/>
      <c r="L359" s="86"/>
      <c r="M359" s="86"/>
      <c r="N359" s="86"/>
      <c r="O359" s="86"/>
      <c r="P359" s="84"/>
      <c r="Q359" s="84"/>
      <c r="R359" s="84"/>
      <c r="S359" s="84"/>
      <c r="T359" s="80" t="s">
        <v>4767</v>
      </c>
      <c r="U359" s="84"/>
      <c r="V359" s="84"/>
      <c r="W359" s="84"/>
      <c r="X359" s="84"/>
      <c r="Y359" s="84"/>
      <c r="Z359" s="84"/>
      <c r="AA359" s="84"/>
      <c r="AB359" s="84"/>
      <c r="AC359" s="84"/>
      <c r="AD359" s="97"/>
      <c r="AE359" s="97"/>
      <c r="AF359" s="97"/>
      <c r="AG359" s="97"/>
      <c r="AH359" s="97"/>
      <c r="AI359" s="97"/>
      <c r="AJ359" s="97"/>
      <c r="AK359" s="97"/>
      <c r="AL359" s="97"/>
      <c r="AM359" s="97"/>
      <c r="AN359" s="97"/>
      <c r="AO359" s="97"/>
      <c r="AP359" s="97"/>
      <c r="AQ359" s="97"/>
      <c r="AR359" s="97"/>
      <c r="AS359" s="97"/>
      <c r="AT359" s="97"/>
      <c r="AU359" s="97"/>
      <c r="AV359" s="97"/>
      <c r="AW359" s="97"/>
      <c r="AX359" s="97"/>
    </row>
    <row r="360">
      <c r="C360" s="141"/>
      <c r="D360" s="141"/>
      <c r="E360" s="261"/>
      <c r="T360" s="283"/>
    </row>
    <row r="361" ht="15.75" customHeight="1">
      <c r="A361" s="131" t="s">
        <v>115</v>
      </c>
      <c r="B361" s="142" t="s">
        <v>3221</v>
      </c>
      <c r="C361" s="133"/>
      <c r="D361" s="133"/>
      <c r="E361" s="133"/>
      <c r="F361" s="134"/>
      <c r="G361" s="134"/>
      <c r="H361" s="134"/>
      <c r="I361" s="134"/>
      <c r="J361" s="134"/>
      <c r="K361" s="134"/>
      <c r="L361" s="134"/>
      <c r="M361" s="134"/>
      <c r="N361" s="134"/>
      <c r="O361" s="134"/>
      <c r="P361" s="134"/>
      <c r="Q361" s="134"/>
      <c r="R361" s="134"/>
      <c r="S361" s="134"/>
      <c r="T361" s="149" t="s">
        <v>4776</v>
      </c>
      <c r="U361" s="134"/>
      <c r="V361" s="134"/>
      <c r="W361" s="134"/>
      <c r="X361" s="134"/>
      <c r="Y361" s="134"/>
      <c r="Z361" s="134"/>
      <c r="AA361" s="134"/>
      <c r="AB361" s="134"/>
      <c r="AC361" s="134"/>
      <c r="AD361" s="176"/>
      <c r="AE361" s="176"/>
      <c r="AF361" s="176"/>
      <c r="AG361" s="176"/>
      <c r="AH361" s="176"/>
      <c r="AI361" s="176"/>
      <c r="AJ361" s="176"/>
      <c r="AK361" s="176"/>
      <c r="AL361" s="176"/>
      <c r="AM361" s="176"/>
      <c r="AN361" s="176"/>
      <c r="AO361" s="97"/>
      <c r="AP361" s="97"/>
      <c r="AQ361" s="97"/>
      <c r="AR361" s="97"/>
      <c r="AS361" s="97"/>
      <c r="AT361" s="97"/>
      <c r="AU361" s="97"/>
      <c r="AV361" s="97"/>
      <c r="AW361" s="97"/>
      <c r="AX361" s="97"/>
    </row>
    <row r="362" ht="15.75" customHeight="1">
      <c r="A362" s="152" t="s">
        <v>44</v>
      </c>
      <c r="B362" s="77" t="s">
        <v>3228</v>
      </c>
      <c r="C362" s="76" t="s">
        <v>4780</v>
      </c>
      <c r="D362" s="76" t="s">
        <v>4781</v>
      </c>
      <c r="E362" s="117" t="s">
        <v>4783</v>
      </c>
      <c r="F362" s="76"/>
      <c r="G362" s="76"/>
      <c r="H362" s="76"/>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97"/>
      <c r="AP362" s="97"/>
      <c r="AQ362" s="97"/>
      <c r="AR362" s="97"/>
      <c r="AS362" s="97"/>
      <c r="AT362" s="97"/>
      <c r="AU362" s="97"/>
      <c r="AV362" s="97"/>
      <c r="AW362" s="97"/>
      <c r="AX362" s="97"/>
    </row>
    <row r="363">
      <c r="C363" s="141"/>
      <c r="D363" s="141"/>
      <c r="E363" s="261"/>
      <c r="T363" s="283"/>
    </row>
    <row r="364" ht="15.75" customHeight="1">
      <c r="A364" s="167" t="s">
        <v>807</v>
      </c>
      <c r="B364" s="168" t="s">
        <v>3245</v>
      </c>
      <c r="C364" s="168" t="s">
        <v>3246</v>
      </c>
      <c r="D364" s="169"/>
      <c r="E364" s="169"/>
      <c r="F364" s="205"/>
      <c r="G364" s="205"/>
      <c r="H364" s="205"/>
      <c r="I364" s="205"/>
      <c r="J364" s="205"/>
      <c r="K364" s="205"/>
      <c r="L364" s="205"/>
      <c r="M364" s="207"/>
      <c r="N364" s="207"/>
      <c r="O364" s="207"/>
      <c r="P364" s="205"/>
      <c r="Q364" s="205"/>
      <c r="R364" s="205"/>
      <c r="S364" s="205"/>
      <c r="T364" s="205"/>
      <c r="U364" s="207" t="s">
        <v>4791</v>
      </c>
      <c r="V364" s="205"/>
      <c r="W364" s="205"/>
      <c r="X364" s="205"/>
      <c r="Y364" s="205"/>
      <c r="Z364" s="205"/>
      <c r="AA364" s="205"/>
      <c r="AB364" s="205"/>
      <c r="AC364" s="205"/>
      <c r="AD364" s="205"/>
      <c r="AE364" s="205"/>
      <c r="AF364" s="205"/>
      <c r="AG364" s="205"/>
      <c r="AH364" s="205"/>
      <c r="AI364" s="205"/>
      <c r="AJ364" s="205"/>
      <c r="AK364" s="205"/>
      <c r="AL364" s="205"/>
      <c r="AM364" s="205"/>
      <c r="AN364" s="205"/>
      <c r="AO364" s="97"/>
      <c r="AP364" s="97"/>
      <c r="AQ364" s="97"/>
      <c r="AR364" s="97"/>
      <c r="AS364" s="97"/>
      <c r="AT364" s="97"/>
      <c r="AU364" s="97"/>
      <c r="AV364" s="97"/>
      <c r="AW364" s="97"/>
      <c r="AX364" s="97"/>
    </row>
    <row r="365" ht="15.75" customHeight="1">
      <c r="A365" s="80" t="s">
        <v>150</v>
      </c>
      <c r="B365" s="81" t="s">
        <v>3250</v>
      </c>
      <c r="C365" s="82"/>
      <c r="D365" s="83"/>
      <c r="E365" s="83"/>
      <c r="F365" s="84"/>
      <c r="G365" s="84"/>
      <c r="H365" s="84"/>
      <c r="I365" s="84"/>
      <c r="J365" s="86"/>
      <c r="K365" s="84"/>
      <c r="L365" s="84"/>
      <c r="M365" s="86"/>
      <c r="N365" s="86"/>
      <c r="O365" s="91"/>
      <c r="P365" s="84"/>
      <c r="Q365" s="84"/>
      <c r="R365" s="84"/>
      <c r="S365" s="84"/>
      <c r="T365" s="94" t="s">
        <v>156</v>
      </c>
      <c r="U365" s="84"/>
      <c r="V365" s="84"/>
      <c r="W365" s="84"/>
      <c r="X365" s="84"/>
      <c r="Y365" s="84"/>
      <c r="Z365" s="84"/>
      <c r="AA365" s="84"/>
      <c r="AB365" s="84"/>
      <c r="AC365" s="84"/>
      <c r="AD365" s="97"/>
      <c r="AE365" s="97"/>
      <c r="AF365" s="97"/>
      <c r="AG365" s="97"/>
      <c r="AH365" s="97"/>
      <c r="AI365" s="97"/>
      <c r="AJ365" s="97"/>
      <c r="AK365" s="97"/>
      <c r="AL365" s="97"/>
      <c r="AM365" s="97"/>
      <c r="AN365" s="97"/>
      <c r="AO365" s="97"/>
      <c r="AP365" s="97"/>
      <c r="AQ365" s="97"/>
      <c r="AR365" s="97"/>
      <c r="AS365" s="97"/>
      <c r="AT365" s="97"/>
      <c r="AU365" s="97"/>
      <c r="AV365" s="97"/>
      <c r="AW365" s="97"/>
      <c r="AX365" s="97"/>
    </row>
    <row r="366" ht="15.75" customHeight="1">
      <c r="A366" s="131" t="s">
        <v>115</v>
      </c>
      <c r="B366" s="132" t="s">
        <v>3257</v>
      </c>
      <c r="C366" s="133"/>
      <c r="D366" s="133"/>
      <c r="E366" s="133"/>
      <c r="F366" s="134"/>
      <c r="G366" s="134"/>
      <c r="H366" s="134"/>
      <c r="I366" s="134"/>
      <c r="J366" s="134"/>
      <c r="K366" s="134"/>
      <c r="L366" s="134"/>
      <c r="M366" s="134"/>
      <c r="N366" s="134"/>
      <c r="O366" s="134"/>
      <c r="P366" s="134"/>
      <c r="Q366" s="134"/>
      <c r="R366" s="134"/>
      <c r="S366" s="134"/>
      <c r="T366" s="149" t="s">
        <v>1471</v>
      </c>
      <c r="U366" s="134"/>
      <c r="V366" s="134"/>
      <c r="W366" s="134"/>
      <c r="X366" s="134"/>
      <c r="Y366" s="134"/>
      <c r="Z366" s="134"/>
      <c r="AA366" s="134"/>
      <c r="AB366" s="134"/>
      <c r="AC366" s="134"/>
      <c r="AD366" s="134"/>
      <c r="AE366" s="134"/>
      <c r="AF366" s="134"/>
      <c r="AG366" s="134"/>
      <c r="AH366" s="134"/>
      <c r="AI366" s="134"/>
      <c r="AJ366" s="134"/>
      <c r="AK366" s="134"/>
      <c r="AL366" s="134"/>
      <c r="AM366" s="134"/>
      <c r="AN366" s="134"/>
      <c r="AO366" s="97"/>
      <c r="AP366" s="97"/>
      <c r="AQ366" s="97"/>
      <c r="AR366" s="97"/>
      <c r="AS366" s="97"/>
      <c r="AT366" s="97"/>
      <c r="AU366" s="97"/>
      <c r="AV366" s="97"/>
      <c r="AW366" s="97"/>
      <c r="AX366" s="97"/>
    </row>
    <row r="367" ht="15.75" customHeight="1">
      <c r="A367" s="131" t="s">
        <v>115</v>
      </c>
      <c r="B367" s="132" t="s">
        <v>3261</v>
      </c>
      <c r="C367" s="133" t="s">
        <v>3262</v>
      </c>
      <c r="D367" s="133"/>
      <c r="E367" s="133"/>
      <c r="F367" s="134"/>
      <c r="G367" s="134"/>
      <c r="H367" s="134"/>
      <c r="I367" s="134"/>
      <c r="J367" s="134"/>
      <c r="K367" s="134"/>
      <c r="L367" s="134"/>
      <c r="M367" s="134"/>
      <c r="N367" s="134"/>
      <c r="O367" s="134"/>
      <c r="P367" s="134"/>
      <c r="Q367" s="134"/>
      <c r="R367" s="134"/>
      <c r="S367" s="134"/>
      <c r="T367" s="268" t="s">
        <v>4809</v>
      </c>
      <c r="U367" s="134"/>
      <c r="V367" s="134"/>
      <c r="W367" s="134"/>
      <c r="X367" s="134"/>
      <c r="Y367" s="134"/>
      <c r="Z367" s="134"/>
      <c r="AA367" s="134"/>
      <c r="AB367" s="134"/>
      <c r="AC367" s="134"/>
      <c r="AD367" s="134"/>
      <c r="AE367" s="134"/>
      <c r="AF367" s="134"/>
      <c r="AG367" s="134"/>
      <c r="AH367" s="134"/>
      <c r="AI367" s="134"/>
      <c r="AJ367" s="134"/>
      <c r="AK367" s="134"/>
      <c r="AL367" s="134"/>
      <c r="AM367" s="134"/>
      <c r="AN367" s="134"/>
      <c r="AO367" s="97"/>
      <c r="AP367" s="97"/>
      <c r="AQ367" s="97"/>
      <c r="AR367" s="97"/>
      <c r="AS367" s="97"/>
      <c r="AT367" s="97"/>
      <c r="AU367" s="97"/>
      <c r="AV367" s="97"/>
      <c r="AW367" s="97"/>
      <c r="AX367" s="97"/>
    </row>
    <row r="368" ht="15.75" customHeight="1">
      <c r="A368" s="131" t="s">
        <v>115</v>
      </c>
      <c r="B368" s="132" t="s">
        <v>3272</v>
      </c>
      <c r="C368" s="133" t="s">
        <v>3273</v>
      </c>
      <c r="D368" s="133"/>
      <c r="E368" s="133"/>
      <c r="F368" s="134"/>
      <c r="G368" s="134"/>
      <c r="H368" s="134"/>
      <c r="I368" s="134"/>
      <c r="J368" s="134"/>
      <c r="K368" s="134"/>
      <c r="L368" s="134"/>
      <c r="M368" s="134"/>
      <c r="N368" s="134"/>
      <c r="O368" s="134"/>
      <c r="P368" s="134"/>
      <c r="Q368" s="134"/>
      <c r="R368" s="134"/>
      <c r="S368" s="134"/>
      <c r="T368" s="151" t="s">
        <v>4818</v>
      </c>
      <c r="U368" s="134"/>
      <c r="V368" s="134"/>
      <c r="W368" s="134"/>
      <c r="X368" s="134"/>
      <c r="Y368" s="134"/>
      <c r="Z368" s="134"/>
      <c r="AA368" s="134"/>
      <c r="AB368" s="134"/>
      <c r="AC368" s="134"/>
      <c r="AD368" s="134"/>
      <c r="AE368" s="134"/>
      <c r="AF368" s="134"/>
      <c r="AG368" s="134"/>
      <c r="AH368" s="134"/>
      <c r="AI368" s="134"/>
      <c r="AJ368" s="134"/>
      <c r="AK368" s="134"/>
      <c r="AL368" s="134"/>
      <c r="AM368" s="134"/>
      <c r="AN368" s="134"/>
      <c r="AO368" s="97"/>
      <c r="AP368" s="97"/>
      <c r="AQ368" s="97"/>
      <c r="AR368" s="97"/>
      <c r="AS368" s="97"/>
      <c r="AT368" s="97"/>
      <c r="AU368" s="97"/>
      <c r="AV368" s="97"/>
      <c r="AW368" s="97"/>
      <c r="AX368" s="97"/>
    </row>
    <row r="369" ht="15.75" customHeight="1">
      <c r="A369" s="131" t="s">
        <v>115</v>
      </c>
      <c r="B369" s="132" t="s">
        <v>3277</v>
      </c>
      <c r="C369" s="133" t="s">
        <v>3278</v>
      </c>
      <c r="D369" s="133"/>
      <c r="E369" s="133"/>
      <c r="F369" s="134"/>
      <c r="G369" s="134"/>
      <c r="H369" s="134"/>
      <c r="I369" s="134"/>
      <c r="J369" s="134"/>
      <c r="K369" s="134"/>
      <c r="L369" s="149"/>
      <c r="M369" s="134"/>
      <c r="N369" s="134"/>
      <c r="O369" s="134"/>
      <c r="P369" s="134"/>
      <c r="Q369" s="134"/>
      <c r="R369" s="134"/>
      <c r="S369" s="134"/>
      <c r="T369" s="151" t="s">
        <v>4821</v>
      </c>
      <c r="U369" s="134"/>
      <c r="V369" s="134"/>
      <c r="W369" s="134"/>
      <c r="X369" s="134"/>
      <c r="Y369" s="134"/>
      <c r="Z369" s="134"/>
      <c r="AA369" s="134"/>
      <c r="AB369" s="134"/>
      <c r="AC369" s="134"/>
      <c r="AD369" s="134"/>
      <c r="AE369" s="134"/>
      <c r="AF369" s="134"/>
      <c r="AG369" s="134"/>
      <c r="AH369" s="134"/>
      <c r="AI369" s="134"/>
      <c r="AJ369" s="134"/>
      <c r="AK369" s="134"/>
      <c r="AL369" s="134"/>
      <c r="AM369" s="134"/>
      <c r="AN369" s="134"/>
      <c r="AO369" s="97"/>
      <c r="AP369" s="97"/>
      <c r="AQ369" s="97"/>
      <c r="AR369" s="97"/>
      <c r="AS369" s="97"/>
      <c r="AT369" s="97"/>
      <c r="AU369" s="97"/>
      <c r="AV369" s="97"/>
      <c r="AW369" s="97"/>
      <c r="AX369" s="97"/>
    </row>
    <row r="370" ht="15.75" customHeight="1">
      <c r="A370" s="131" t="s">
        <v>115</v>
      </c>
      <c r="B370" s="132" t="s">
        <v>3284</v>
      </c>
      <c r="C370" s="133"/>
      <c r="D370" s="133"/>
      <c r="E370" s="133"/>
      <c r="F370" s="134"/>
      <c r="G370" s="134"/>
      <c r="H370" s="134"/>
      <c r="I370" s="134"/>
      <c r="J370" s="134"/>
      <c r="K370" s="134"/>
      <c r="L370" s="134"/>
      <c r="M370" s="134"/>
      <c r="N370" s="134"/>
      <c r="O370" s="133" t="s">
        <v>4824</v>
      </c>
      <c r="P370" s="134"/>
      <c r="Q370" s="134"/>
      <c r="R370" s="134"/>
      <c r="S370" s="134"/>
      <c r="T370" s="149" t="s">
        <v>4825</v>
      </c>
      <c r="U370" s="134"/>
      <c r="V370" s="134"/>
      <c r="W370" s="134"/>
      <c r="X370" s="134"/>
      <c r="Y370" s="134"/>
      <c r="Z370" s="134"/>
      <c r="AA370" s="134"/>
      <c r="AB370" s="134"/>
      <c r="AC370" s="134"/>
      <c r="AD370" s="176"/>
      <c r="AE370" s="176"/>
      <c r="AF370" s="176"/>
      <c r="AG370" s="176"/>
      <c r="AH370" s="176"/>
      <c r="AI370" s="176"/>
      <c r="AJ370" s="176"/>
      <c r="AK370" s="176"/>
      <c r="AL370" s="176"/>
      <c r="AM370" s="176"/>
      <c r="AN370" s="176"/>
      <c r="AO370" s="97"/>
      <c r="AP370" s="97"/>
      <c r="AQ370" s="97"/>
      <c r="AR370" s="97"/>
      <c r="AS370" s="97"/>
      <c r="AT370" s="97"/>
      <c r="AU370" s="97"/>
      <c r="AV370" s="97"/>
      <c r="AW370" s="97"/>
      <c r="AX370" s="97"/>
    </row>
    <row r="371" ht="15.75" customHeight="1">
      <c r="A371" s="131" t="s">
        <v>115</v>
      </c>
      <c r="B371" s="132" t="s">
        <v>3289</v>
      </c>
      <c r="C371" s="133" t="s">
        <v>3291</v>
      </c>
      <c r="D371" s="133"/>
      <c r="E371" s="133"/>
      <c r="F371" s="134"/>
      <c r="G371" s="134"/>
      <c r="H371" s="134"/>
      <c r="I371" s="134"/>
      <c r="J371" s="134"/>
      <c r="K371" s="134"/>
      <c r="L371" s="134"/>
      <c r="M371" s="134"/>
      <c r="N371" s="134"/>
      <c r="O371" s="133" t="s">
        <v>4824</v>
      </c>
      <c r="P371" s="134"/>
      <c r="Q371" s="134"/>
      <c r="R371" s="134"/>
      <c r="S371" s="134"/>
      <c r="T371" s="149" t="s">
        <v>4831</v>
      </c>
      <c r="U371" s="134"/>
      <c r="V371" s="134"/>
      <c r="W371" s="134"/>
      <c r="X371" s="134"/>
      <c r="Y371" s="134"/>
      <c r="Z371" s="134"/>
      <c r="AA371" s="134"/>
      <c r="AB371" s="134"/>
      <c r="AC371" s="134"/>
      <c r="AD371" s="176"/>
      <c r="AE371" s="176"/>
      <c r="AF371" s="176"/>
      <c r="AG371" s="176"/>
      <c r="AH371" s="176"/>
      <c r="AI371" s="176"/>
      <c r="AJ371" s="176"/>
      <c r="AK371" s="176"/>
      <c r="AL371" s="176"/>
      <c r="AM371" s="176"/>
      <c r="AN371" s="176"/>
      <c r="AO371" s="97"/>
      <c r="AP371" s="97"/>
      <c r="AQ371" s="97"/>
      <c r="AR371" s="97"/>
      <c r="AS371" s="97"/>
      <c r="AT371" s="97"/>
      <c r="AU371" s="97"/>
      <c r="AV371" s="97"/>
      <c r="AW371" s="97"/>
      <c r="AX371" s="97"/>
    </row>
    <row r="372" ht="15.75" customHeight="1">
      <c r="A372" s="131" t="s">
        <v>115</v>
      </c>
      <c r="B372" s="132" t="s">
        <v>3299</v>
      </c>
      <c r="C372" s="133" t="s">
        <v>3300</v>
      </c>
      <c r="D372" s="133"/>
      <c r="E372" s="133"/>
      <c r="F372" s="134"/>
      <c r="G372" s="134"/>
      <c r="H372" s="134"/>
      <c r="I372" s="134"/>
      <c r="J372" s="134"/>
      <c r="K372" s="134"/>
      <c r="L372" s="134"/>
      <c r="M372" s="134"/>
      <c r="N372" s="134"/>
      <c r="O372" s="133" t="s">
        <v>4824</v>
      </c>
      <c r="P372" s="134"/>
      <c r="Q372" s="134"/>
      <c r="R372" s="134"/>
      <c r="S372" s="134"/>
      <c r="T372" s="151" t="s">
        <v>4834</v>
      </c>
      <c r="U372" s="134"/>
      <c r="V372" s="134"/>
      <c r="W372" s="134"/>
      <c r="X372" s="134"/>
      <c r="Y372" s="134"/>
      <c r="Z372" s="134"/>
      <c r="AA372" s="134"/>
      <c r="AB372" s="134"/>
      <c r="AC372" s="134"/>
      <c r="AD372" s="176"/>
      <c r="AE372" s="176"/>
      <c r="AF372" s="176"/>
      <c r="AG372" s="176"/>
      <c r="AH372" s="176"/>
      <c r="AI372" s="176"/>
      <c r="AJ372" s="176"/>
      <c r="AK372" s="176"/>
      <c r="AL372" s="176"/>
      <c r="AM372" s="176"/>
      <c r="AN372" s="176"/>
      <c r="AO372" s="97"/>
      <c r="AP372" s="97"/>
      <c r="AQ372" s="97"/>
      <c r="AR372" s="97"/>
      <c r="AS372" s="97"/>
      <c r="AT372" s="97"/>
      <c r="AU372" s="97"/>
      <c r="AV372" s="97"/>
      <c r="AW372" s="97"/>
      <c r="AX372" s="97"/>
    </row>
    <row r="373" ht="15.75" customHeight="1">
      <c r="A373" s="131" t="s">
        <v>115</v>
      </c>
      <c r="B373" s="132" t="s">
        <v>3304</v>
      </c>
      <c r="C373" s="133" t="s">
        <v>3305</v>
      </c>
      <c r="D373" s="133"/>
      <c r="E373" s="133"/>
      <c r="F373" s="134"/>
      <c r="G373" s="134"/>
      <c r="H373" s="134"/>
      <c r="I373" s="134"/>
      <c r="J373" s="134"/>
      <c r="K373" s="134"/>
      <c r="L373" s="134"/>
      <c r="M373" s="134"/>
      <c r="N373" s="134"/>
      <c r="O373" s="133" t="s">
        <v>4824</v>
      </c>
      <c r="P373" s="134"/>
      <c r="Q373" s="134"/>
      <c r="R373" s="134"/>
      <c r="S373" s="134"/>
      <c r="T373" s="151" t="s">
        <v>4837</v>
      </c>
      <c r="U373" s="134"/>
      <c r="V373" s="134"/>
      <c r="W373" s="134"/>
      <c r="X373" s="134"/>
      <c r="Y373" s="134"/>
      <c r="Z373" s="134"/>
      <c r="AA373" s="134"/>
      <c r="AB373" s="134"/>
      <c r="AC373" s="134"/>
      <c r="AD373" s="176"/>
      <c r="AE373" s="176"/>
      <c r="AF373" s="176"/>
      <c r="AG373" s="176"/>
      <c r="AH373" s="176"/>
      <c r="AI373" s="176"/>
      <c r="AJ373" s="176"/>
      <c r="AK373" s="176"/>
      <c r="AL373" s="176"/>
      <c r="AM373" s="176"/>
      <c r="AN373" s="176"/>
      <c r="AO373" s="97"/>
      <c r="AP373" s="97"/>
      <c r="AQ373" s="97"/>
      <c r="AR373" s="97"/>
      <c r="AS373" s="97"/>
      <c r="AT373" s="97"/>
      <c r="AU373" s="97"/>
      <c r="AV373" s="97"/>
      <c r="AW373" s="97"/>
      <c r="AX373" s="97"/>
    </row>
    <row r="374" ht="15.75" customHeight="1">
      <c r="A374" s="131" t="s">
        <v>115</v>
      </c>
      <c r="B374" s="132" t="s">
        <v>3311</v>
      </c>
      <c r="C374" s="133"/>
      <c r="D374" s="133"/>
      <c r="E374" s="133"/>
      <c r="F374" s="134"/>
      <c r="G374" s="134"/>
      <c r="H374" s="134"/>
      <c r="I374" s="134"/>
      <c r="J374" s="134"/>
      <c r="K374" s="134"/>
      <c r="L374" s="134"/>
      <c r="M374" s="134"/>
      <c r="N374" s="134"/>
      <c r="O374" s="134"/>
      <c r="P374" s="134"/>
      <c r="Q374" s="134"/>
      <c r="R374" s="134"/>
      <c r="S374" s="134"/>
      <c r="T374" s="149" t="s">
        <v>4841</v>
      </c>
      <c r="U374" s="134"/>
      <c r="V374" s="134"/>
      <c r="W374" s="134"/>
      <c r="X374" s="134"/>
      <c r="Y374" s="134"/>
      <c r="Z374" s="134"/>
      <c r="AA374" s="134"/>
      <c r="AB374" s="134"/>
      <c r="AC374" s="134"/>
      <c r="AD374" s="176"/>
      <c r="AE374" s="176"/>
      <c r="AF374" s="176"/>
      <c r="AG374" s="176"/>
      <c r="AH374" s="176"/>
      <c r="AI374" s="176"/>
      <c r="AJ374" s="176"/>
      <c r="AK374" s="176"/>
      <c r="AL374" s="176"/>
      <c r="AM374" s="176"/>
      <c r="AN374" s="176"/>
      <c r="AO374" s="97"/>
      <c r="AP374" s="97"/>
      <c r="AQ374" s="97"/>
      <c r="AR374" s="97"/>
      <c r="AS374" s="97"/>
      <c r="AT374" s="97"/>
      <c r="AU374" s="97"/>
      <c r="AV374" s="97"/>
      <c r="AW374" s="97"/>
      <c r="AX374" s="97"/>
    </row>
    <row r="375" ht="15.75" customHeight="1">
      <c r="A375" s="131" t="s">
        <v>115</v>
      </c>
      <c r="B375" s="132" t="s">
        <v>3316</v>
      </c>
      <c r="C375" s="133"/>
      <c r="D375" s="133"/>
      <c r="E375" s="133"/>
      <c r="F375" s="134"/>
      <c r="G375" s="134"/>
      <c r="H375" s="134"/>
      <c r="I375" s="134"/>
      <c r="J375" s="134"/>
      <c r="K375" s="134"/>
      <c r="L375" s="134"/>
      <c r="M375" s="134"/>
      <c r="N375" s="134"/>
      <c r="O375" s="134"/>
      <c r="P375" s="134"/>
      <c r="Q375" s="134"/>
      <c r="R375" s="134"/>
      <c r="S375" s="134"/>
      <c r="T375" s="149" t="s">
        <v>4844</v>
      </c>
      <c r="U375" s="134"/>
      <c r="V375" s="134"/>
      <c r="W375" s="134"/>
      <c r="X375" s="134"/>
      <c r="Y375" s="134"/>
      <c r="Z375" s="134"/>
      <c r="AA375" s="134"/>
      <c r="AB375" s="134"/>
      <c r="AC375" s="134"/>
      <c r="AD375" s="176"/>
      <c r="AE375" s="176"/>
      <c r="AF375" s="176"/>
      <c r="AG375" s="176"/>
      <c r="AH375" s="176"/>
      <c r="AI375" s="176"/>
      <c r="AJ375" s="176"/>
      <c r="AK375" s="176"/>
      <c r="AL375" s="176"/>
      <c r="AM375" s="176"/>
      <c r="AN375" s="176"/>
      <c r="AO375" s="97"/>
      <c r="AP375" s="97"/>
      <c r="AQ375" s="97"/>
      <c r="AR375" s="97"/>
      <c r="AS375" s="97"/>
      <c r="AT375" s="97"/>
      <c r="AU375" s="97"/>
      <c r="AV375" s="97"/>
      <c r="AW375" s="97"/>
      <c r="AX375" s="97"/>
    </row>
    <row r="376" ht="15.75" customHeight="1">
      <c r="A376" s="131" t="s">
        <v>115</v>
      </c>
      <c r="B376" s="132" t="s">
        <v>3325</v>
      </c>
      <c r="C376" s="133"/>
      <c r="D376" s="133"/>
      <c r="E376" s="133"/>
      <c r="F376" s="134"/>
      <c r="G376" s="134"/>
      <c r="H376" s="134"/>
      <c r="I376" s="134"/>
      <c r="J376" s="134"/>
      <c r="K376" s="134"/>
      <c r="L376" s="134"/>
      <c r="M376" s="134"/>
      <c r="N376" s="134"/>
      <c r="O376" s="134"/>
      <c r="P376" s="134"/>
      <c r="Q376" s="134"/>
      <c r="R376" s="134"/>
      <c r="S376" s="134"/>
      <c r="T376" s="149" t="s">
        <v>4847</v>
      </c>
      <c r="U376" s="134"/>
      <c r="V376" s="134"/>
      <c r="W376" s="134"/>
      <c r="X376" s="134"/>
      <c r="Y376" s="134"/>
      <c r="Z376" s="134"/>
      <c r="AA376" s="134"/>
      <c r="AB376" s="134"/>
      <c r="AC376" s="134"/>
      <c r="AD376" s="176"/>
      <c r="AE376" s="176"/>
      <c r="AF376" s="176"/>
      <c r="AG376" s="176"/>
      <c r="AH376" s="176"/>
      <c r="AI376" s="176"/>
      <c r="AJ376" s="176"/>
      <c r="AK376" s="176"/>
      <c r="AL376" s="176"/>
      <c r="AM376" s="176"/>
      <c r="AN376" s="176"/>
      <c r="AO376" s="97"/>
      <c r="AP376" s="97"/>
      <c r="AQ376" s="97"/>
      <c r="AR376" s="97"/>
      <c r="AS376" s="97"/>
      <c r="AT376" s="97"/>
      <c r="AU376" s="97"/>
      <c r="AV376" s="97"/>
      <c r="AW376" s="97"/>
      <c r="AX376" s="97"/>
    </row>
    <row r="377" ht="15.75" customHeight="1">
      <c r="A377" s="152" t="s">
        <v>44</v>
      </c>
      <c r="B377" s="77" t="s">
        <v>3329</v>
      </c>
      <c r="C377" s="76" t="s">
        <v>4850</v>
      </c>
      <c r="D377" s="76" t="s">
        <v>4850</v>
      </c>
      <c r="E377" s="117" t="s">
        <v>4850</v>
      </c>
      <c r="F377" s="76"/>
      <c r="G377" s="76"/>
      <c r="H377" s="76"/>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97"/>
      <c r="AP377" s="97"/>
      <c r="AQ377" s="97"/>
      <c r="AR377" s="97"/>
      <c r="AS377" s="97"/>
      <c r="AT377" s="97"/>
      <c r="AU377" s="97"/>
      <c r="AV377" s="97"/>
      <c r="AW377" s="97"/>
      <c r="AX377" s="97"/>
    </row>
    <row r="378" ht="15.75" customHeight="1">
      <c r="A378" s="114" t="s">
        <v>680</v>
      </c>
      <c r="B378" s="165" t="s">
        <v>3336</v>
      </c>
      <c r="C378" s="76" t="s">
        <v>4857</v>
      </c>
      <c r="D378" s="76" t="s">
        <v>4858</v>
      </c>
      <c r="E378" s="117" t="s">
        <v>4859</v>
      </c>
      <c r="F378" s="76"/>
      <c r="G378" s="76"/>
      <c r="H378" s="76"/>
      <c r="I378" s="118"/>
      <c r="J378" s="120"/>
      <c r="K378" s="118"/>
      <c r="L378" s="118"/>
      <c r="M378" s="118"/>
      <c r="N378" s="118"/>
      <c r="O378" s="121" t="s">
        <v>4824</v>
      </c>
      <c r="P378" s="118"/>
      <c r="Q378" s="118" t="s">
        <v>184</v>
      </c>
      <c r="R378" s="118"/>
      <c r="S378" s="118"/>
      <c r="T378" s="118"/>
      <c r="U378" s="118"/>
      <c r="V378" s="118"/>
      <c r="W378" s="118"/>
      <c r="X378" s="118"/>
      <c r="Y378" s="118"/>
      <c r="Z378" s="118"/>
      <c r="AA378" s="118"/>
      <c r="AB378" s="118"/>
      <c r="AC378" s="118"/>
      <c r="AD378" s="97"/>
      <c r="AE378" s="97"/>
      <c r="AF378" s="97"/>
      <c r="AG378" s="97"/>
      <c r="AH378" s="97"/>
      <c r="AI378" s="97"/>
      <c r="AJ378" s="97"/>
      <c r="AK378" s="97"/>
      <c r="AL378" s="84"/>
      <c r="AM378" s="84"/>
      <c r="AN378" s="84"/>
      <c r="AO378" s="97"/>
      <c r="AP378" s="97"/>
      <c r="AQ378" s="97"/>
      <c r="AR378" s="97"/>
      <c r="AS378" s="97"/>
      <c r="AT378" s="97"/>
      <c r="AU378" s="97"/>
      <c r="AV378" s="97"/>
      <c r="AW378" s="97"/>
      <c r="AX378" s="97"/>
    </row>
    <row r="379" ht="15.75" customHeight="1">
      <c r="A379" s="121" t="s">
        <v>707</v>
      </c>
      <c r="B379" s="157" t="s">
        <v>3369</v>
      </c>
      <c r="C379" s="76" t="s">
        <v>4870</v>
      </c>
      <c r="D379" s="76" t="s">
        <v>4872</v>
      </c>
      <c r="E379" s="117" t="s">
        <v>4873</v>
      </c>
      <c r="F379" s="76"/>
      <c r="G379" s="76"/>
      <c r="H379" s="76"/>
      <c r="I379" s="118"/>
      <c r="J379" s="120"/>
      <c r="K379" s="118"/>
      <c r="L379" s="118"/>
      <c r="M379" s="118"/>
      <c r="N379" s="118"/>
      <c r="O379" s="121" t="s">
        <v>4878</v>
      </c>
      <c r="P379" s="118"/>
      <c r="Q379" s="121" t="s">
        <v>184</v>
      </c>
      <c r="R379" s="118"/>
      <c r="S379" s="118"/>
      <c r="T379" s="118"/>
      <c r="U379" s="118"/>
      <c r="V379" s="118"/>
      <c r="W379" s="118"/>
      <c r="X379" s="118"/>
      <c r="Y379" s="121" t="s">
        <v>4879</v>
      </c>
      <c r="Z379" s="118"/>
      <c r="AA379" s="118"/>
      <c r="AB379" s="118"/>
      <c r="AC379" s="118"/>
      <c r="AD379" s="118"/>
      <c r="AE379" s="118"/>
      <c r="AF379" s="118"/>
      <c r="AG379" s="118"/>
      <c r="AH379" s="118"/>
      <c r="AI379" s="118"/>
      <c r="AJ379" s="118"/>
      <c r="AK379" s="118"/>
      <c r="AL379" s="118"/>
      <c r="AM379" s="118"/>
      <c r="AN379" s="118"/>
      <c r="AO379" s="97"/>
      <c r="AP379" s="97"/>
      <c r="AQ379" s="97"/>
      <c r="AR379" s="97"/>
      <c r="AS379" s="97"/>
      <c r="AT379" s="97"/>
      <c r="AU379" s="97"/>
      <c r="AV379" s="97"/>
      <c r="AW379" s="97"/>
      <c r="AX379" s="97"/>
    </row>
    <row r="380" ht="15.75" customHeight="1">
      <c r="A380" s="121" t="s">
        <v>217</v>
      </c>
      <c r="B380" s="157" t="s">
        <v>3379</v>
      </c>
      <c r="C380" s="76" t="s">
        <v>4884</v>
      </c>
      <c r="D380" s="76" t="s">
        <v>4885</v>
      </c>
      <c r="E380" s="117" t="s">
        <v>4886</v>
      </c>
      <c r="F380" s="76"/>
      <c r="G380" s="76"/>
      <c r="H380" s="76"/>
      <c r="I380" s="118"/>
      <c r="J380" s="120"/>
      <c r="K380" s="118"/>
      <c r="L380" s="118"/>
      <c r="M380" s="118"/>
      <c r="N380" s="118"/>
      <c r="O380" s="121" t="s">
        <v>4887</v>
      </c>
      <c r="P380" s="118"/>
      <c r="Q380" s="121" t="s">
        <v>184</v>
      </c>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97"/>
      <c r="AP380" s="97"/>
      <c r="AQ380" s="97"/>
      <c r="AR380" s="97"/>
      <c r="AS380" s="97"/>
      <c r="AT380" s="97"/>
      <c r="AU380" s="97"/>
      <c r="AV380" s="97"/>
      <c r="AW380" s="97"/>
      <c r="AX380" s="97"/>
    </row>
    <row r="381" ht="15.75" customHeight="1">
      <c r="A381" s="114" t="s">
        <v>541</v>
      </c>
      <c r="B381" s="165" t="s">
        <v>3380</v>
      </c>
      <c r="C381" s="76" t="s">
        <v>4896</v>
      </c>
      <c r="D381" s="76" t="s">
        <v>4897</v>
      </c>
      <c r="E381" s="117" t="s">
        <v>4898</v>
      </c>
      <c r="F381" s="76"/>
      <c r="G381" s="76" t="s">
        <v>4600</v>
      </c>
      <c r="H381" s="76" t="s">
        <v>4601</v>
      </c>
      <c r="I381" s="118"/>
      <c r="J381" s="120"/>
      <c r="K381" s="118"/>
      <c r="L381" s="118"/>
      <c r="M381" s="118"/>
      <c r="N381" s="118"/>
      <c r="O381" s="121" t="s">
        <v>4903</v>
      </c>
      <c r="P381" s="118"/>
      <c r="Q381" s="118" t="s">
        <v>184</v>
      </c>
      <c r="R381" s="118"/>
      <c r="S381" s="118"/>
      <c r="T381" s="118"/>
      <c r="U381" s="118"/>
      <c r="V381" s="118"/>
      <c r="W381" s="118"/>
      <c r="X381" s="118"/>
      <c r="Y381" s="118"/>
      <c r="Z381" s="118"/>
      <c r="AA381" s="118"/>
      <c r="AB381" s="118"/>
      <c r="AC381" s="118"/>
      <c r="AD381" s="118"/>
      <c r="AE381" s="118"/>
      <c r="AF381" s="118"/>
      <c r="AG381" s="118"/>
      <c r="AH381" s="118"/>
      <c r="AI381" s="118"/>
      <c r="AJ381" s="118"/>
      <c r="AK381" s="118"/>
      <c r="AL381" s="118"/>
      <c r="AM381" s="118"/>
      <c r="AN381" s="118"/>
      <c r="AO381" s="97"/>
      <c r="AP381" s="97"/>
      <c r="AQ381" s="97"/>
      <c r="AR381" s="97"/>
      <c r="AS381" s="97"/>
      <c r="AT381" s="97"/>
      <c r="AU381" s="97"/>
      <c r="AV381" s="97"/>
      <c r="AW381" s="97"/>
      <c r="AX381" s="97"/>
    </row>
    <row r="382" ht="15.75" customHeight="1">
      <c r="A382" s="114" t="s">
        <v>3387</v>
      </c>
      <c r="B382" s="165" t="s">
        <v>3388</v>
      </c>
      <c r="C382" s="76" t="s">
        <v>4909</v>
      </c>
      <c r="D382" s="76" t="s">
        <v>4911</v>
      </c>
      <c r="E382" s="117" t="s">
        <v>4913</v>
      </c>
      <c r="F382" s="76"/>
      <c r="G382" s="76"/>
      <c r="H382" s="76"/>
      <c r="I382" s="118"/>
      <c r="J382" s="120"/>
      <c r="K382" s="118"/>
      <c r="L382" s="118"/>
      <c r="M382" s="118"/>
      <c r="N382" s="118"/>
      <c r="O382" s="121" t="s">
        <v>4915</v>
      </c>
      <c r="P382" s="118"/>
      <c r="Q382" s="118" t="s">
        <v>184</v>
      </c>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97"/>
      <c r="AP382" s="97"/>
      <c r="AQ382" s="97"/>
      <c r="AR382" s="97"/>
      <c r="AS382" s="97"/>
      <c r="AT382" s="97"/>
      <c r="AU382" s="97"/>
      <c r="AV382" s="97"/>
      <c r="AW382" s="97"/>
      <c r="AX382" s="97"/>
    </row>
    <row r="383" ht="15.75" customHeight="1">
      <c r="A383" s="162" t="s">
        <v>217</v>
      </c>
      <c r="B383" s="166" t="s">
        <v>3392</v>
      </c>
      <c r="C383" s="76" t="s">
        <v>4920</v>
      </c>
      <c r="D383" s="76" t="s">
        <v>4922</v>
      </c>
      <c r="E383" s="117" t="s">
        <v>4924</v>
      </c>
      <c r="F383" s="76"/>
      <c r="G383" s="76"/>
      <c r="H383" s="76"/>
      <c r="I383" s="182"/>
      <c r="J383" s="183"/>
      <c r="K383" s="182"/>
      <c r="L383" s="182"/>
      <c r="M383" s="182"/>
      <c r="N383" s="182"/>
      <c r="O383" s="182" t="s">
        <v>4927</v>
      </c>
      <c r="P383" s="182"/>
      <c r="Q383" s="182" t="s">
        <v>184</v>
      </c>
      <c r="R383" s="182"/>
      <c r="S383" s="182"/>
      <c r="T383" s="182"/>
      <c r="U383" s="182"/>
      <c r="V383" s="182"/>
      <c r="W383" s="182"/>
      <c r="X383" s="182"/>
      <c r="Y383" s="182"/>
      <c r="Z383" s="182"/>
      <c r="AA383" s="182"/>
      <c r="AB383" s="182"/>
      <c r="AC383" s="182"/>
      <c r="AD383" s="118"/>
      <c r="AE383" s="118"/>
      <c r="AF383" s="118"/>
      <c r="AG383" s="118"/>
      <c r="AH383" s="118"/>
      <c r="AI383" s="118"/>
      <c r="AJ383" s="118"/>
      <c r="AK383" s="118"/>
      <c r="AL383" s="118"/>
      <c r="AM383" s="118"/>
      <c r="AN383" s="118"/>
      <c r="AO383" s="97"/>
      <c r="AP383" s="97"/>
      <c r="AQ383" s="97"/>
      <c r="AR383" s="97"/>
      <c r="AS383" s="97"/>
      <c r="AT383" s="97"/>
      <c r="AU383" s="97"/>
      <c r="AV383" s="97"/>
      <c r="AW383" s="97"/>
      <c r="AX383" s="97"/>
    </row>
    <row r="384" ht="15.75" customHeight="1">
      <c r="A384" s="114" t="s">
        <v>3178</v>
      </c>
      <c r="B384" s="165" t="s">
        <v>4936</v>
      </c>
      <c r="C384" s="165" t="s">
        <v>4937</v>
      </c>
      <c r="D384" s="165" t="s">
        <v>4938</v>
      </c>
      <c r="E384" s="165" t="s">
        <v>4940</v>
      </c>
      <c r="F384" s="287"/>
      <c r="G384" s="287"/>
      <c r="H384" s="287"/>
      <c r="I384" s="288"/>
      <c r="J384" s="289"/>
      <c r="K384" s="288"/>
      <c r="L384" s="288"/>
      <c r="M384" s="288"/>
      <c r="N384" s="288"/>
      <c r="O384" s="118" t="s">
        <v>4944</v>
      </c>
      <c r="P384" s="288"/>
      <c r="Q384" s="118" t="s">
        <v>184</v>
      </c>
      <c r="R384" s="288"/>
      <c r="S384" s="288"/>
      <c r="T384" s="288"/>
      <c r="U384" s="288"/>
      <c r="V384" s="288"/>
      <c r="W384" s="288"/>
      <c r="X384" s="288"/>
      <c r="Y384" s="288"/>
      <c r="Z384" s="288"/>
      <c r="AA384" s="288"/>
      <c r="AB384" s="288"/>
      <c r="AC384" s="288"/>
      <c r="AD384" s="288"/>
      <c r="AE384" s="288"/>
      <c r="AF384" s="288"/>
      <c r="AG384" s="288"/>
      <c r="AH384" s="288"/>
      <c r="AI384" s="288"/>
      <c r="AJ384" s="288"/>
      <c r="AK384" s="288"/>
      <c r="AL384" s="288"/>
      <c r="AM384" s="288"/>
      <c r="AN384" s="288"/>
      <c r="AO384" s="144"/>
      <c r="AP384" s="144"/>
      <c r="AQ384" s="144"/>
      <c r="AR384" s="144"/>
      <c r="AS384" s="144"/>
      <c r="AT384" s="144"/>
      <c r="AU384" s="144"/>
      <c r="AV384" s="144"/>
      <c r="AW384" s="144"/>
      <c r="AX384" s="144"/>
    </row>
    <row r="385" ht="15.75" customHeight="1">
      <c r="A385" s="162" t="s">
        <v>217</v>
      </c>
      <c r="B385" s="166" t="s">
        <v>3399</v>
      </c>
      <c r="C385" s="76" t="s">
        <v>4952</v>
      </c>
      <c r="D385" s="76" t="s">
        <v>4953</v>
      </c>
      <c r="E385" s="117" t="s">
        <v>4953</v>
      </c>
      <c r="F385" s="76"/>
      <c r="G385" s="76"/>
      <c r="H385" s="76"/>
      <c r="I385" s="182"/>
      <c r="J385" s="183"/>
      <c r="K385" s="182"/>
      <c r="L385" s="182"/>
      <c r="M385" s="182"/>
      <c r="N385" s="182"/>
      <c r="O385" s="182" t="s">
        <v>4944</v>
      </c>
      <c r="P385" s="182"/>
      <c r="Q385" s="182" t="s">
        <v>184</v>
      </c>
      <c r="R385" s="182"/>
      <c r="S385" s="182"/>
      <c r="T385" s="182"/>
      <c r="U385" s="182"/>
      <c r="V385" s="182"/>
      <c r="W385" s="182"/>
      <c r="X385" s="182"/>
      <c r="Y385" s="182"/>
      <c r="Z385" s="182"/>
      <c r="AA385" s="182"/>
      <c r="AB385" s="182"/>
      <c r="AC385" s="182"/>
      <c r="AD385" s="118"/>
      <c r="AE385" s="118"/>
      <c r="AF385" s="118"/>
      <c r="AG385" s="118"/>
      <c r="AH385" s="118"/>
      <c r="AI385" s="118"/>
      <c r="AJ385" s="118"/>
      <c r="AK385" s="118"/>
      <c r="AL385" s="118"/>
      <c r="AM385" s="118"/>
      <c r="AN385" s="118"/>
      <c r="AO385" s="97"/>
      <c r="AP385" s="97"/>
      <c r="AQ385" s="97"/>
      <c r="AR385" s="97"/>
      <c r="AS385" s="97"/>
      <c r="AT385" s="97"/>
      <c r="AU385" s="97"/>
      <c r="AV385" s="97"/>
      <c r="AW385" s="97"/>
      <c r="AX385" s="97"/>
    </row>
    <row r="386" ht="15.75" customHeight="1">
      <c r="A386" s="114" t="s">
        <v>541</v>
      </c>
      <c r="B386" s="165" t="s">
        <v>3412</v>
      </c>
      <c r="C386" s="76" t="s">
        <v>4955</v>
      </c>
      <c r="D386" s="76" t="s">
        <v>4956</v>
      </c>
      <c r="E386" s="117" t="s">
        <v>4958</v>
      </c>
      <c r="F386" s="76"/>
      <c r="G386" s="76"/>
      <c r="H386" s="76"/>
      <c r="I386" s="118"/>
      <c r="J386" s="120"/>
      <c r="K386" s="118"/>
      <c r="L386" s="118"/>
      <c r="M386" s="118"/>
      <c r="N386" s="118"/>
      <c r="O386" s="121" t="s">
        <v>4962</v>
      </c>
      <c r="P386" s="118"/>
      <c r="Q386" s="118" t="s">
        <v>184</v>
      </c>
      <c r="R386" s="118"/>
      <c r="S386" s="118"/>
      <c r="T386" s="118"/>
      <c r="U386" s="118"/>
      <c r="V386" s="118"/>
      <c r="W386" s="118"/>
      <c r="X386" s="118"/>
      <c r="Y386" s="118"/>
      <c r="Z386" s="118"/>
      <c r="AA386" s="118"/>
      <c r="AB386" s="118"/>
      <c r="AC386" s="118"/>
      <c r="AD386" s="97"/>
      <c r="AE386" s="97"/>
      <c r="AF386" s="97"/>
      <c r="AG386" s="97"/>
      <c r="AH386" s="97"/>
      <c r="AI386" s="97"/>
      <c r="AJ386" s="97"/>
      <c r="AK386" s="97"/>
      <c r="AL386" s="84"/>
      <c r="AM386" s="84"/>
      <c r="AN386" s="84"/>
      <c r="AO386" s="97"/>
      <c r="AP386" s="97"/>
      <c r="AQ386" s="97"/>
      <c r="AR386" s="97"/>
      <c r="AS386" s="97"/>
      <c r="AT386" s="97"/>
      <c r="AU386" s="97"/>
      <c r="AV386" s="97"/>
      <c r="AW386" s="97"/>
      <c r="AX386" s="97"/>
    </row>
    <row r="387" ht="15.75" customHeight="1">
      <c r="A387" s="114" t="s">
        <v>680</v>
      </c>
      <c r="B387" s="165" t="s">
        <v>3419</v>
      </c>
      <c r="C387" s="76" t="s">
        <v>4971</v>
      </c>
      <c r="D387" s="76" t="s">
        <v>4972</v>
      </c>
      <c r="E387" s="117" t="s">
        <v>4973</v>
      </c>
      <c r="F387" s="76"/>
      <c r="G387" s="76"/>
      <c r="H387" s="76"/>
      <c r="I387" s="118"/>
      <c r="J387" s="120"/>
      <c r="K387" s="118"/>
      <c r="L387" s="118"/>
      <c r="M387" s="118"/>
      <c r="N387" s="118"/>
      <c r="O387" s="121" t="s">
        <v>4974</v>
      </c>
      <c r="P387" s="118"/>
      <c r="Q387" s="118" t="s">
        <v>184</v>
      </c>
      <c r="R387" s="118"/>
      <c r="S387" s="118"/>
      <c r="T387" s="118"/>
      <c r="U387" s="118"/>
      <c r="V387" s="118"/>
      <c r="W387" s="118"/>
      <c r="X387" s="118"/>
      <c r="Y387" s="118"/>
      <c r="Z387" s="118"/>
      <c r="AA387" s="118"/>
      <c r="AB387" s="118"/>
      <c r="AC387" s="118"/>
      <c r="AD387" s="97"/>
      <c r="AE387" s="97"/>
      <c r="AF387" s="97"/>
      <c r="AG387" s="97"/>
      <c r="AH387" s="97"/>
      <c r="AI387" s="97"/>
      <c r="AJ387" s="97"/>
      <c r="AK387" s="97"/>
      <c r="AL387" s="84"/>
      <c r="AM387" s="84"/>
      <c r="AN387" s="84"/>
      <c r="AO387" s="97"/>
      <c r="AP387" s="97"/>
      <c r="AQ387" s="97"/>
      <c r="AR387" s="97"/>
      <c r="AS387" s="97"/>
      <c r="AT387" s="97"/>
      <c r="AU387" s="97"/>
      <c r="AV387" s="97"/>
      <c r="AW387" s="97"/>
      <c r="AX387" s="97"/>
    </row>
    <row r="388" ht="15.75" customHeight="1">
      <c r="A388" s="114" t="s">
        <v>703</v>
      </c>
      <c r="B388" s="165" t="s">
        <v>3420</v>
      </c>
      <c r="C388" s="76" t="s">
        <v>4979</v>
      </c>
      <c r="D388" s="76" t="s">
        <v>4980</v>
      </c>
      <c r="E388" s="117" t="s">
        <v>4981</v>
      </c>
      <c r="F388" s="76"/>
      <c r="G388" s="76"/>
      <c r="H388" s="76"/>
      <c r="I388" s="118"/>
      <c r="J388" s="120"/>
      <c r="K388" s="118"/>
      <c r="L388" s="118"/>
      <c r="M388" s="118"/>
      <c r="N388" s="118"/>
      <c r="O388" s="118" t="s">
        <v>4984</v>
      </c>
      <c r="P388" s="118"/>
      <c r="Q388" s="118" t="s">
        <v>184</v>
      </c>
      <c r="R388" s="118"/>
      <c r="S388" s="118"/>
      <c r="T388" s="118"/>
      <c r="U388" s="118"/>
      <c r="V388" s="118"/>
      <c r="W388" s="118"/>
      <c r="X388" s="118"/>
      <c r="Y388" s="118"/>
      <c r="Z388" s="118"/>
      <c r="AA388" s="118"/>
      <c r="AB388" s="118"/>
      <c r="AC388" s="118"/>
      <c r="AD388" s="97"/>
      <c r="AE388" s="97"/>
      <c r="AF388" s="97"/>
      <c r="AG388" s="97"/>
      <c r="AH388" s="97"/>
      <c r="AI388" s="97"/>
      <c r="AJ388" s="97"/>
      <c r="AK388" s="97"/>
      <c r="AL388" s="84"/>
      <c r="AM388" s="84"/>
      <c r="AN388" s="84"/>
      <c r="AO388" s="97"/>
      <c r="AP388" s="97"/>
      <c r="AQ388" s="97"/>
      <c r="AR388" s="97"/>
      <c r="AS388" s="97"/>
      <c r="AT388" s="97"/>
      <c r="AU388" s="97"/>
      <c r="AV388" s="97"/>
      <c r="AW388" s="97"/>
      <c r="AX388" s="97"/>
    </row>
    <row r="389" ht="15.75" customHeight="1">
      <c r="A389" s="114" t="s">
        <v>3422</v>
      </c>
      <c r="B389" s="165" t="s">
        <v>3423</v>
      </c>
      <c r="C389" s="76" t="s">
        <v>4990</v>
      </c>
      <c r="D389" s="76" t="s">
        <v>4991</v>
      </c>
      <c r="E389" s="117" t="s">
        <v>4992</v>
      </c>
      <c r="F389" s="76" t="s">
        <v>1746</v>
      </c>
      <c r="G389" s="76" t="s">
        <v>4716</v>
      </c>
      <c r="H389" s="76" t="s">
        <v>1748</v>
      </c>
      <c r="I389" s="118"/>
      <c r="J389" s="120"/>
      <c r="K389" s="118"/>
      <c r="L389" s="118"/>
      <c r="M389" s="118"/>
      <c r="N389" s="118"/>
      <c r="O389" s="118" t="s">
        <v>4997</v>
      </c>
      <c r="P389" s="118"/>
      <c r="Q389" s="118" t="s">
        <v>184</v>
      </c>
      <c r="R389" s="118"/>
      <c r="S389" s="118"/>
      <c r="T389" s="118"/>
      <c r="U389" s="118"/>
      <c r="V389" s="118"/>
      <c r="W389" s="118"/>
      <c r="X389" s="118"/>
      <c r="Y389" s="121" t="s">
        <v>4998</v>
      </c>
      <c r="Z389" s="118"/>
      <c r="AA389" s="118"/>
      <c r="AB389" s="118"/>
      <c r="AC389" s="118"/>
      <c r="AD389" s="97"/>
      <c r="AE389" s="97"/>
      <c r="AF389" s="97"/>
      <c r="AG389" s="97"/>
      <c r="AH389" s="97"/>
      <c r="AI389" s="97"/>
      <c r="AJ389" s="97"/>
      <c r="AK389" s="97"/>
      <c r="AL389" s="84"/>
      <c r="AM389" s="84"/>
      <c r="AN389" s="84"/>
      <c r="AO389" s="97"/>
      <c r="AP389" s="97"/>
      <c r="AQ389" s="97"/>
      <c r="AR389" s="97"/>
      <c r="AS389" s="97"/>
      <c r="AT389" s="97"/>
      <c r="AU389" s="97"/>
      <c r="AV389" s="97"/>
      <c r="AW389" s="97"/>
      <c r="AX389" s="97"/>
    </row>
    <row r="390" ht="15.75" customHeight="1">
      <c r="A390" s="162" t="s">
        <v>217</v>
      </c>
      <c r="B390" s="166" t="s">
        <v>3426</v>
      </c>
      <c r="C390" s="76" t="s">
        <v>3439</v>
      </c>
      <c r="D390" s="76" t="s">
        <v>3441</v>
      </c>
      <c r="E390" s="117" t="s">
        <v>3442</v>
      </c>
      <c r="F390" s="76"/>
      <c r="G390" s="76"/>
      <c r="H390" s="76"/>
      <c r="I390" s="182"/>
      <c r="J390" s="183"/>
      <c r="K390" s="182"/>
      <c r="L390" s="182"/>
      <c r="M390" s="182"/>
      <c r="N390" s="182"/>
      <c r="O390" s="182" t="s">
        <v>5005</v>
      </c>
      <c r="P390" s="182"/>
      <c r="Q390" s="182" t="s">
        <v>184</v>
      </c>
      <c r="R390" s="182"/>
      <c r="S390" s="182"/>
      <c r="T390" s="182"/>
      <c r="U390" s="182"/>
      <c r="V390" s="182"/>
      <c r="W390" s="182"/>
      <c r="X390" s="182"/>
      <c r="Y390" s="182"/>
      <c r="Z390" s="182"/>
      <c r="AA390" s="182"/>
      <c r="AB390" s="182"/>
      <c r="AC390" s="182"/>
      <c r="AD390" s="97"/>
      <c r="AE390" s="97"/>
      <c r="AF390" s="97"/>
      <c r="AG390" s="97"/>
      <c r="AH390" s="97"/>
      <c r="AI390" s="97"/>
      <c r="AJ390" s="97"/>
      <c r="AK390" s="97"/>
      <c r="AL390" s="84"/>
      <c r="AM390" s="84"/>
      <c r="AN390" s="84"/>
      <c r="AO390" s="97"/>
      <c r="AP390" s="97"/>
      <c r="AQ390" s="97"/>
      <c r="AR390" s="97"/>
      <c r="AS390" s="97"/>
      <c r="AT390" s="97"/>
      <c r="AU390" s="97"/>
      <c r="AV390" s="97"/>
      <c r="AW390" s="97"/>
      <c r="AX390" s="97"/>
    </row>
    <row r="391" ht="15.75" customHeight="1">
      <c r="A391" s="114" t="s">
        <v>727</v>
      </c>
      <c r="B391" s="165" t="s">
        <v>3430</v>
      </c>
      <c r="C391" s="76" t="s">
        <v>5012</v>
      </c>
      <c r="D391" s="76" t="s">
        <v>5013</v>
      </c>
      <c r="E391" s="117" t="s">
        <v>5014</v>
      </c>
      <c r="F391" s="76"/>
      <c r="G391" s="76"/>
      <c r="H391" s="76"/>
      <c r="I391" s="118"/>
      <c r="J391" s="120" t="s">
        <v>5015</v>
      </c>
      <c r="K391" s="118"/>
      <c r="L391" s="118"/>
      <c r="M391" s="118"/>
      <c r="N391" s="118"/>
      <c r="O391" s="121" t="s">
        <v>5020</v>
      </c>
      <c r="P391" s="118"/>
      <c r="Q391" s="118" t="s">
        <v>184</v>
      </c>
      <c r="R391" s="118"/>
      <c r="S391" s="118"/>
      <c r="T391" s="118"/>
      <c r="U391" s="118"/>
      <c r="V391" s="118"/>
      <c r="W391" s="118"/>
      <c r="X391" s="118"/>
      <c r="Y391" s="118"/>
      <c r="Z391" s="118"/>
      <c r="AA391" s="118"/>
      <c r="AB391" s="118"/>
      <c r="AC391" s="118"/>
      <c r="AD391" s="118"/>
      <c r="AE391" s="118"/>
      <c r="AF391" s="118"/>
      <c r="AG391" s="118"/>
      <c r="AH391" s="118"/>
      <c r="AI391" s="118"/>
      <c r="AJ391" s="118"/>
      <c r="AK391" s="118"/>
      <c r="AL391" s="118"/>
      <c r="AM391" s="118"/>
      <c r="AN391" s="118"/>
      <c r="AO391" s="97"/>
      <c r="AP391" s="97"/>
      <c r="AQ391" s="97"/>
      <c r="AR391" s="97"/>
      <c r="AS391" s="97"/>
      <c r="AT391" s="97"/>
      <c r="AU391" s="97"/>
      <c r="AV391" s="97"/>
      <c r="AW391" s="97"/>
      <c r="AX391" s="97"/>
    </row>
    <row r="392" ht="15.75" customHeight="1">
      <c r="A392" s="80" t="s">
        <v>217</v>
      </c>
      <c r="B392" s="157" t="s">
        <v>3438</v>
      </c>
      <c r="C392" s="76" t="s">
        <v>5029</v>
      </c>
      <c r="D392" s="76" t="s">
        <v>5030</v>
      </c>
      <c r="E392" s="117" t="s">
        <v>5032</v>
      </c>
      <c r="F392" s="76"/>
      <c r="G392" s="76"/>
      <c r="H392" s="76"/>
      <c r="I392" s="84"/>
      <c r="J392" s="86"/>
      <c r="K392" s="84"/>
      <c r="L392" s="84"/>
      <c r="M392" s="86"/>
      <c r="N392" s="86"/>
      <c r="O392" s="91" t="s">
        <v>5036</v>
      </c>
      <c r="P392" s="84"/>
      <c r="Q392" s="80" t="s">
        <v>184</v>
      </c>
      <c r="R392" s="84"/>
      <c r="S392" s="84"/>
      <c r="T392" s="84"/>
      <c r="U392" s="84"/>
      <c r="V392" s="84"/>
      <c r="W392" s="84"/>
      <c r="X392" s="84"/>
      <c r="Y392" s="84"/>
      <c r="Z392" s="84"/>
      <c r="AA392" s="84"/>
      <c r="AB392" s="84"/>
      <c r="AC392" s="84"/>
      <c r="AD392" s="118"/>
      <c r="AE392" s="118"/>
      <c r="AF392" s="118"/>
      <c r="AG392" s="118"/>
      <c r="AH392" s="118"/>
      <c r="AI392" s="118"/>
      <c r="AJ392" s="118"/>
      <c r="AK392" s="118"/>
      <c r="AL392" s="118"/>
      <c r="AM392" s="118"/>
      <c r="AN392" s="118"/>
      <c r="AO392" s="97"/>
      <c r="AP392" s="97"/>
      <c r="AQ392" s="97"/>
      <c r="AR392" s="97"/>
      <c r="AS392" s="97"/>
      <c r="AT392" s="97"/>
      <c r="AU392" s="97"/>
      <c r="AV392" s="97"/>
      <c r="AW392" s="97"/>
      <c r="AX392" s="97"/>
    </row>
    <row r="393" ht="15.75" customHeight="1">
      <c r="A393" s="150" t="s">
        <v>161</v>
      </c>
      <c r="B393" s="82" t="s">
        <v>3444</v>
      </c>
      <c r="C393" s="82"/>
      <c r="D393" s="83"/>
      <c r="E393" s="83"/>
      <c r="F393" s="84"/>
      <c r="G393" s="84"/>
      <c r="H393" s="84"/>
      <c r="I393" s="84"/>
      <c r="J393" s="86"/>
      <c r="K393" s="84"/>
      <c r="L393" s="84"/>
      <c r="M393" s="86"/>
      <c r="N393" s="86"/>
      <c r="O393" s="91" t="s">
        <v>5042</v>
      </c>
      <c r="P393" s="84"/>
      <c r="Q393" s="84"/>
      <c r="R393" s="84"/>
      <c r="S393" s="84"/>
      <c r="T393" s="84"/>
      <c r="U393" s="84"/>
      <c r="V393" s="84"/>
      <c r="W393" s="84"/>
      <c r="X393" s="84"/>
      <c r="Y393" s="84"/>
      <c r="Z393" s="84"/>
      <c r="AA393" s="84"/>
      <c r="AB393" s="84"/>
      <c r="AC393" s="84"/>
      <c r="AD393" s="118"/>
      <c r="AE393" s="118"/>
      <c r="AF393" s="118"/>
      <c r="AG393" s="118"/>
      <c r="AH393" s="118"/>
      <c r="AI393" s="118"/>
      <c r="AJ393" s="118"/>
      <c r="AK393" s="118"/>
      <c r="AL393" s="118"/>
      <c r="AM393" s="118"/>
      <c r="AN393" s="118"/>
      <c r="AO393" s="97"/>
      <c r="AP393" s="97"/>
      <c r="AQ393" s="97"/>
      <c r="AR393" s="97"/>
      <c r="AS393" s="97"/>
      <c r="AT393" s="97"/>
      <c r="AU393" s="97"/>
      <c r="AV393" s="97"/>
      <c r="AW393" s="97"/>
      <c r="AX393" s="97"/>
    </row>
    <row r="394" ht="15.75" customHeight="1">
      <c r="A394" s="114" t="s">
        <v>541</v>
      </c>
      <c r="B394" s="165" t="s">
        <v>3448</v>
      </c>
      <c r="C394" s="76" t="s">
        <v>5048</v>
      </c>
      <c r="D394" s="76" t="s">
        <v>5049</v>
      </c>
      <c r="E394" s="117" t="s">
        <v>5050</v>
      </c>
      <c r="F394" s="76"/>
      <c r="G394" s="76"/>
      <c r="H394" s="76"/>
      <c r="I394" s="118"/>
      <c r="J394" s="120"/>
      <c r="K394" s="118"/>
      <c r="L394" s="118"/>
      <c r="M394" s="118"/>
      <c r="N394" s="118"/>
      <c r="O394" s="121" t="s">
        <v>5051</v>
      </c>
      <c r="P394" s="118"/>
      <c r="Q394" s="118" t="s">
        <v>184</v>
      </c>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97"/>
      <c r="AP394" s="97"/>
      <c r="AQ394" s="97"/>
      <c r="AR394" s="97"/>
      <c r="AS394" s="97"/>
      <c r="AT394" s="97"/>
      <c r="AU394" s="97"/>
      <c r="AV394" s="97"/>
      <c r="AW394" s="97"/>
      <c r="AX394" s="97"/>
    </row>
    <row r="395" ht="15.75" customHeight="1">
      <c r="A395" s="121" t="s">
        <v>916</v>
      </c>
      <c r="B395" s="165" t="s">
        <v>3467</v>
      </c>
      <c r="C395" s="76" t="s">
        <v>5053</v>
      </c>
      <c r="D395" s="76" t="s">
        <v>5054</v>
      </c>
      <c r="E395" s="117" t="s">
        <v>5055</v>
      </c>
      <c r="F395" s="76"/>
      <c r="G395" s="76"/>
      <c r="H395" s="76"/>
      <c r="I395" s="118"/>
      <c r="J395" s="120"/>
      <c r="K395" s="118"/>
      <c r="L395" s="118"/>
      <c r="M395" s="118"/>
      <c r="N395" s="118"/>
      <c r="O395" s="118" t="s">
        <v>5056</v>
      </c>
      <c r="P395" s="118"/>
      <c r="Q395" s="118" t="s">
        <v>184</v>
      </c>
      <c r="R395" s="118"/>
      <c r="S395" s="118"/>
      <c r="T395" s="118"/>
      <c r="U395" s="118"/>
      <c r="V395" s="118"/>
      <c r="W395" s="118"/>
      <c r="X395" s="118"/>
      <c r="Y395" s="118"/>
      <c r="Z395" s="118"/>
      <c r="AA395" s="118"/>
      <c r="AB395" s="118"/>
      <c r="AC395" s="118"/>
      <c r="AD395" s="176"/>
      <c r="AE395" s="176"/>
      <c r="AF395" s="176"/>
      <c r="AG395" s="176"/>
      <c r="AH395" s="176"/>
      <c r="AI395" s="176"/>
      <c r="AJ395" s="176"/>
      <c r="AK395" s="176"/>
      <c r="AL395" s="176"/>
      <c r="AM395" s="176"/>
      <c r="AN395" s="176"/>
      <c r="AO395" s="97"/>
      <c r="AP395" s="97"/>
      <c r="AQ395" s="97"/>
      <c r="AR395" s="97"/>
      <c r="AS395" s="97"/>
      <c r="AT395" s="97"/>
      <c r="AU395" s="97"/>
      <c r="AV395" s="97"/>
      <c r="AW395" s="97"/>
      <c r="AX395" s="97"/>
    </row>
    <row r="396" ht="15.75" customHeight="1">
      <c r="A396" s="162" t="s">
        <v>217</v>
      </c>
      <c r="B396" s="166" t="s">
        <v>3474</v>
      </c>
      <c r="C396" s="76" t="s">
        <v>5061</v>
      </c>
      <c r="D396" s="76" t="s">
        <v>5062</v>
      </c>
      <c r="E396" s="117" t="s">
        <v>5063</v>
      </c>
      <c r="F396" s="76"/>
      <c r="G396" s="76"/>
      <c r="H396" s="76"/>
      <c r="I396" s="182"/>
      <c r="J396" s="183"/>
      <c r="K396" s="182"/>
      <c r="L396" s="182"/>
      <c r="M396" s="182"/>
      <c r="N396" s="182"/>
      <c r="O396" s="184" t="s">
        <v>5064</v>
      </c>
      <c r="P396" s="182"/>
      <c r="Q396" s="182"/>
      <c r="R396" s="182"/>
      <c r="S396" s="182"/>
      <c r="T396" s="182"/>
      <c r="U396" s="182"/>
      <c r="V396" s="182"/>
      <c r="W396" s="182"/>
      <c r="X396" s="182"/>
      <c r="Y396" s="182"/>
      <c r="Z396" s="182"/>
      <c r="AA396" s="182"/>
      <c r="AB396" s="182"/>
      <c r="AC396" s="182"/>
      <c r="AD396" s="176"/>
      <c r="AE396" s="176"/>
      <c r="AF396" s="176"/>
      <c r="AG396" s="176"/>
      <c r="AH396" s="176"/>
      <c r="AI396" s="176"/>
      <c r="AJ396" s="176"/>
      <c r="AK396" s="176"/>
      <c r="AL396" s="176"/>
      <c r="AM396" s="176"/>
      <c r="AN396" s="176"/>
      <c r="AO396" s="97"/>
      <c r="AP396" s="97"/>
      <c r="AQ396" s="97"/>
      <c r="AR396" s="97"/>
      <c r="AS396" s="97"/>
      <c r="AT396" s="97"/>
      <c r="AU396" s="97"/>
      <c r="AV396" s="97"/>
      <c r="AW396" s="97"/>
      <c r="AX396" s="97"/>
    </row>
    <row r="397" ht="15.75" customHeight="1">
      <c r="A397" s="114" t="s">
        <v>541</v>
      </c>
      <c r="B397" s="165" t="s">
        <v>3497</v>
      </c>
      <c r="C397" s="76" t="s">
        <v>5073</v>
      </c>
      <c r="D397" s="76" t="s">
        <v>5074</v>
      </c>
      <c r="E397" s="117" t="s">
        <v>5075</v>
      </c>
      <c r="F397" s="76"/>
      <c r="G397" s="76"/>
      <c r="H397" s="76"/>
      <c r="I397" s="118"/>
      <c r="J397" s="120"/>
      <c r="K397" s="118"/>
      <c r="L397" s="118"/>
      <c r="M397" s="118"/>
      <c r="N397" s="118"/>
      <c r="O397" s="118" t="s">
        <v>5080</v>
      </c>
      <c r="P397" s="118"/>
      <c r="Q397" s="118" t="s">
        <v>184</v>
      </c>
      <c r="R397" s="118"/>
      <c r="S397" s="118"/>
      <c r="T397" s="118"/>
      <c r="U397" s="118"/>
      <c r="V397" s="118"/>
      <c r="W397" s="118"/>
      <c r="X397" s="118"/>
      <c r="Y397" s="118"/>
      <c r="Z397" s="118"/>
      <c r="AA397" s="118"/>
      <c r="AB397" s="118"/>
      <c r="AC397" s="118"/>
      <c r="AD397" s="97"/>
      <c r="AE397" s="97"/>
      <c r="AF397" s="97"/>
      <c r="AG397" s="97"/>
      <c r="AH397" s="97"/>
      <c r="AI397" s="97"/>
      <c r="AJ397" s="97"/>
      <c r="AK397" s="97"/>
      <c r="AL397" s="84"/>
      <c r="AM397" s="84"/>
      <c r="AN397" s="84"/>
      <c r="AO397" s="97"/>
      <c r="AP397" s="97"/>
      <c r="AQ397" s="97"/>
      <c r="AR397" s="97"/>
      <c r="AS397" s="97"/>
      <c r="AT397" s="97"/>
      <c r="AU397" s="97"/>
      <c r="AV397" s="97"/>
      <c r="AW397" s="97"/>
      <c r="AX397" s="97"/>
    </row>
    <row r="398" ht="15.75" customHeight="1">
      <c r="A398" s="170" t="s">
        <v>238</v>
      </c>
      <c r="B398" s="171" t="s">
        <v>3507</v>
      </c>
      <c r="C398" s="76" t="s">
        <v>5086</v>
      </c>
      <c r="D398" s="76" t="s">
        <v>5087</v>
      </c>
      <c r="E398" s="117" t="s">
        <v>5088</v>
      </c>
      <c r="F398" s="76"/>
      <c r="G398" s="76"/>
      <c r="H398" s="76"/>
      <c r="I398" s="209"/>
      <c r="J398" s="209"/>
      <c r="K398" s="210" t="s">
        <v>2607</v>
      </c>
      <c r="L398" s="210"/>
      <c r="M398" s="209"/>
      <c r="N398" s="209"/>
      <c r="O398" s="209" t="s">
        <v>5089</v>
      </c>
      <c r="P398" s="209"/>
      <c r="Q398" s="209" t="s">
        <v>184</v>
      </c>
      <c r="R398" s="209"/>
      <c r="S398" s="209"/>
      <c r="T398" s="209"/>
      <c r="U398" s="209"/>
      <c r="V398" s="209"/>
      <c r="W398" s="209"/>
      <c r="X398" s="209"/>
      <c r="Y398" s="209"/>
      <c r="Z398" s="209"/>
      <c r="AA398" s="209"/>
      <c r="AB398" s="209"/>
      <c r="AC398" s="209"/>
      <c r="AD398" s="97"/>
      <c r="AE398" s="97"/>
      <c r="AF398" s="97"/>
      <c r="AG398" s="97"/>
      <c r="AH398" s="97"/>
      <c r="AI398" s="97"/>
      <c r="AJ398" s="97"/>
      <c r="AK398" s="97"/>
      <c r="AL398" s="84"/>
      <c r="AM398" s="84"/>
      <c r="AN398" s="84"/>
      <c r="AO398" s="97"/>
      <c r="AP398" s="97"/>
      <c r="AQ398" s="97"/>
      <c r="AR398" s="97"/>
      <c r="AS398" s="97"/>
      <c r="AT398" s="97"/>
      <c r="AU398" s="97"/>
      <c r="AV398" s="97"/>
      <c r="AW398" s="97"/>
      <c r="AX398" s="97"/>
    </row>
    <row r="399" ht="15.75" customHeight="1">
      <c r="A399" s="114" t="s">
        <v>3515</v>
      </c>
      <c r="B399" s="165" t="s">
        <v>3516</v>
      </c>
      <c r="C399" s="76" t="s">
        <v>5094</v>
      </c>
      <c r="D399" s="76" t="s">
        <v>5095</v>
      </c>
      <c r="E399" s="117" t="s">
        <v>5097</v>
      </c>
      <c r="F399" s="76" t="s">
        <v>1746</v>
      </c>
      <c r="G399" s="76" t="s">
        <v>4716</v>
      </c>
      <c r="H399" s="76" t="s">
        <v>1748</v>
      </c>
      <c r="I399" s="118"/>
      <c r="J399" s="120"/>
      <c r="K399" s="118"/>
      <c r="L399" s="118"/>
      <c r="M399" s="118"/>
      <c r="N399" s="118"/>
      <c r="O399" s="118" t="s">
        <v>5098</v>
      </c>
      <c r="P399" s="121" t="s">
        <v>184</v>
      </c>
      <c r="Q399" s="118" t="s">
        <v>184</v>
      </c>
      <c r="R399" s="118"/>
      <c r="S399" s="118"/>
      <c r="T399" s="118"/>
      <c r="U399" s="118"/>
      <c r="V399" s="118"/>
      <c r="W399" s="118"/>
      <c r="X399" s="118"/>
      <c r="Y399" s="118"/>
      <c r="Z399" s="118"/>
      <c r="AA399" s="118"/>
      <c r="AB399" s="118"/>
      <c r="AC399" s="118"/>
      <c r="AD399" s="97"/>
      <c r="AE399" s="97"/>
      <c r="AF399" s="97"/>
      <c r="AG399" s="97"/>
      <c r="AH399" s="97"/>
      <c r="AI399" s="97"/>
      <c r="AJ399" s="97"/>
      <c r="AK399" s="97"/>
      <c r="AL399" s="84"/>
      <c r="AM399" s="84"/>
      <c r="AN399" s="84"/>
      <c r="AO399" s="97"/>
      <c r="AP399" s="97"/>
      <c r="AQ399" s="97"/>
      <c r="AR399" s="97"/>
      <c r="AS399" s="97"/>
      <c r="AT399" s="97"/>
      <c r="AU399" s="97"/>
      <c r="AV399" s="97"/>
      <c r="AW399" s="97"/>
      <c r="AX399" s="97"/>
    </row>
    <row r="400" ht="15.75" customHeight="1">
      <c r="A400" s="114" t="s">
        <v>541</v>
      </c>
      <c r="B400" s="165" t="s">
        <v>3535</v>
      </c>
      <c r="C400" s="76" t="s">
        <v>5100</v>
      </c>
      <c r="D400" s="76" t="s">
        <v>5101</v>
      </c>
      <c r="E400" s="117" t="s">
        <v>5103</v>
      </c>
      <c r="F400" s="76"/>
      <c r="G400" s="76"/>
      <c r="H400" s="76"/>
      <c r="I400" s="118"/>
      <c r="J400" s="120"/>
      <c r="K400" s="118"/>
      <c r="L400" s="118"/>
      <c r="M400" s="118"/>
      <c r="N400" s="118"/>
      <c r="O400" s="121" t="s">
        <v>5104</v>
      </c>
      <c r="P400" s="118"/>
      <c r="Q400" s="118" t="s">
        <v>184</v>
      </c>
      <c r="R400" s="118"/>
      <c r="S400" s="118"/>
      <c r="T400" s="118"/>
      <c r="U400" s="118"/>
      <c r="V400" s="118"/>
      <c r="W400" s="118"/>
      <c r="X400" s="118"/>
      <c r="Y400" s="118"/>
      <c r="Z400" s="118"/>
      <c r="AA400" s="118"/>
      <c r="AB400" s="118"/>
      <c r="AC400" s="118"/>
      <c r="AD400" s="118"/>
      <c r="AE400" s="118"/>
      <c r="AF400" s="118"/>
      <c r="AG400" s="118"/>
      <c r="AH400" s="118"/>
      <c r="AI400" s="118"/>
      <c r="AJ400" s="118"/>
      <c r="AK400" s="118"/>
      <c r="AL400" s="118"/>
      <c r="AM400" s="118"/>
      <c r="AN400" s="118"/>
      <c r="AO400" s="97"/>
      <c r="AP400" s="97"/>
      <c r="AQ400" s="97"/>
      <c r="AR400" s="97"/>
      <c r="AS400" s="97"/>
      <c r="AT400" s="97"/>
      <c r="AU400" s="97"/>
      <c r="AV400" s="97"/>
      <c r="AW400" s="97"/>
      <c r="AX400" s="97"/>
    </row>
    <row r="401" ht="15.75" customHeight="1">
      <c r="A401" s="114" t="s">
        <v>3542</v>
      </c>
      <c r="B401" s="165" t="s">
        <v>3543</v>
      </c>
      <c r="C401" s="76" t="s">
        <v>5107</v>
      </c>
      <c r="D401" s="76" t="s">
        <v>5108</v>
      </c>
      <c r="E401" s="117" t="s">
        <v>5109</v>
      </c>
      <c r="F401" s="76"/>
      <c r="G401" s="76"/>
      <c r="H401" s="76"/>
      <c r="I401" s="118"/>
      <c r="J401" s="120"/>
      <c r="K401" s="118"/>
      <c r="L401" s="118"/>
      <c r="M401" s="118"/>
      <c r="N401" s="118"/>
      <c r="O401" s="118" t="s">
        <v>5111</v>
      </c>
      <c r="P401" s="118"/>
      <c r="Q401" s="118" t="s">
        <v>184</v>
      </c>
      <c r="R401" s="118"/>
      <c r="S401" s="118"/>
      <c r="T401" s="118"/>
      <c r="U401" s="118"/>
      <c r="V401" s="118"/>
      <c r="W401" s="118"/>
      <c r="X401" s="118"/>
      <c r="Y401" s="118"/>
      <c r="Z401" s="118"/>
      <c r="AA401" s="118"/>
      <c r="AB401" s="118"/>
      <c r="AC401" s="118"/>
      <c r="AD401" s="118"/>
      <c r="AE401" s="118"/>
      <c r="AF401" s="118"/>
      <c r="AG401" s="118"/>
      <c r="AH401" s="118"/>
      <c r="AI401" s="118"/>
      <c r="AJ401" s="118"/>
      <c r="AK401" s="118"/>
      <c r="AL401" s="118"/>
      <c r="AM401" s="118"/>
      <c r="AN401" s="118"/>
      <c r="AO401" s="97"/>
      <c r="AP401" s="97"/>
      <c r="AQ401" s="97"/>
      <c r="AR401" s="97"/>
      <c r="AS401" s="97"/>
      <c r="AT401" s="97"/>
      <c r="AU401" s="97"/>
      <c r="AV401" s="97"/>
      <c r="AW401" s="97"/>
      <c r="AX401" s="97"/>
    </row>
    <row r="402" ht="15.75" customHeight="1">
      <c r="A402" s="170" t="s">
        <v>238</v>
      </c>
      <c r="B402" s="171" t="s">
        <v>3549</v>
      </c>
      <c r="C402" s="76" t="s">
        <v>5113</v>
      </c>
      <c r="D402" s="76" t="s">
        <v>5114</v>
      </c>
      <c r="E402" s="117" t="s">
        <v>5115</v>
      </c>
      <c r="F402" s="76"/>
      <c r="G402" s="76"/>
      <c r="H402" s="76"/>
      <c r="I402" s="209"/>
      <c r="J402" s="209"/>
      <c r="K402" s="210" t="s">
        <v>5118</v>
      </c>
      <c r="L402" s="210"/>
      <c r="M402" s="209"/>
      <c r="N402" s="209"/>
      <c r="O402" s="209" t="s">
        <v>5120</v>
      </c>
      <c r="P402" s="209"/>
      <c r="Q402" s="209" t="s">
        <v>184</v>
      </c>
      <c r="R402" s="209"/>
      <c r="S402" s="209"/>
      <c r="T402" s="209"/>
      <c r="U402" s="209"/>
      <c r="V402" s="209"/>
      <c r="W402" s="209"/>
      <c r="X402" s="209"/>
      <c r="Y402" s="209"/>
      <c r="Z402" s="209"/>
      <c r="AA402" s="209"/>
      <c r="AB402" s="209"/>
      <c r="AC402" s="209"/>
      <c r="AD402" s="97"/>
      <c r="AE402" s="97"/>
      <c r="AF402" s="97"/>
      <c r="AG402" s="97"/>
      <c r="AH402" s="97"/>
      <c r="AI402" s="97"/>
      <c r="AJ402" s="97"/>
      <c r="AK402" s="97"/>
      <c r="AL402" s="209"/>
      <c r="AM402" s="209"/>
      <c r="AN402" s="209"/>
      <c r="AO402" s="97"/>
      <c r="AP402" s="97"/>
      <c r="AQ402" s="97"/>
      <c r="AR402" s="97"/>
      <c r="AS402" s="97"/>
      <c r="AT402" s="97"/>
      <c r="AU402" s="97"/>
      <c r="AV402" s="97"/>
      <c r="AW402" s="97"/>
      <c r="AX402" s="97"/>
    </row>
    <row r="403" ht="15.75" customHeight="1">
      <c r="A403" s="170" t="s">
        <v>238</v>
      </c>
      <c r="B403" s="171" t="s">
        <v>3558</v>
      </c>
      <c r="C403" s="76" t="s">
        <v>5128</v>
      </c>
      <c r="D403" s="76" t="s">
        <v>5129</v>
      </c>
      <c r="E403" s="117" t="s">
        <v>5130</v>
      </c>
      <c r="F403" s="76"/>
      <c r="G403" s="76"/>
      <c r="H403" s="76"/>
      <c r="I403" s="209"/>
      <c r="J403" s="209"/>
      <c r="K403" s="210" t="s">
        <v>5135</v>
      </c>
      <c r="L403" s="210" t="s">
        <v>5136</v>
      </c>
      <c r="M403" s="209"/>
      <c r="N403" s="209"/>
      <c r="O403" s="209" t="s">
        <v>5111</v>
      </c>
      <c r="P403" s="209"/>
      <c r="Q403" s="209" t="s">
        <v>184</v>
      </c>
      <c r="R403" s="209"/>
      <c r="S403" s="209"/>
      <c r="T403" s="209"/>
      <c r="U403" s="209"/>
      <c r="V403" s="209"/>
      <c r="W403" s="209"/>
      <c r="X403" s="209"/>
      <c r="Y403" s="209"/>
      <c r="Z403" s="209"/>
      <c r="AA403" s="209"/>
      <c r="AB403" s="209"/>
      <c r="AC403" s="209"/>
      <c r="AD403" s="209"/>
      <c r="AE403" s="209"/>
      <c r="AF403" s="209"/>
      <c r="AG403" s="209"/>
      <c r="AH403" s="209"/>
      <c r="AI403" s="209"/>
      <c r="AJ403" s="209"/>
      <c r="AK403" s="209"/>
      <c r="AL403" s="209"/>
      <c r="AM403" s="209"/>
      <c r="AN403" s="209"/>
      <c r="AO403" s="97"/>
      <c r="AP403" s="97"/>
      <c r="AQ403" s="97"/>
      <c r="AR403" s="97"/>
      <c r="AS403" s="97"/>
      <c r="AT403" s="97"/>
      <c r="AU403" s="97"/>
      <c r="AV403" s="97"/>
      <c r="AW403" s="97"/>
      <c r="AX403" s="97"/>
    </row>
    <row r="404" ht="15.75" customHeight="1">
      <c r="A404" s="170" t="s">
        <v>238</v>
      </c>
      <c r="B404" s="171" t="s">
        <v>3564</v>
      </c>
      <c r="C404" s="76" t="s">
        <v>5140</v>
      </c>
      <c r="D404" s="76" t="s">
        <v>5141</v>
      </c>
      <c r="E404" s="117" t="s">
        <v>5143</v>
      </c>
      <c r="F404" s="76"/>
      <c r="G404" s="76"/>
      <c r="H404" s="76"/>
      <c r="I404" s="209"/>
      <c r="J404" s="209"/>
      <c r="K404" s="210" t="s">
        <v>5135</v>
      </c>
      <c r="L404" s="210" t="s">
        <v>5136</v>
      </c>
      <c r="M404" s="209"/>
      <c r="N404" s="209"/>
      <c r="O404" s="209" t="s">
        <v>5111</v>
      </c>
      <c r="P404" s="209"/>
      <c r="Q404" s="209" t="s">
        <v>184</v>
      </c>
      <c r="R404" s="209"/>
      <c r="S404" s="209"/>
      <c r="T404" s="209"/>
      <c r="U404" s="209"/>
      <c r="V404" s="209"/>
      <c r="W404" s="209"/>
      <c r="X404" s="209"/>
      <c r="Y404" s="209"/>
      <c r="Z404" s="209"/>
      <c r="AA404" s="209"/>
      <c r="AB404" s="209"/>
      <c r="AC404" s="209"/>
      <c r="AD404" s="209"/>
      <c r="AE404" s="209"/>
      <c r="AF404" s="209"/>
      <c r="AG404" s="209"/>
      <c r="AH404" s="209"/>
      <c r="AI404" s="209"/>
      <c r="AJ404" s="209"/>
      <c r="AK404" s="209"/>
      <c r="AL404" s="209"/>
      <c r="AM404" s="209"/>
      <c r="AN404" s="209"/>
      <c r="AO404" s="97"/>
      <c r="AP404" s="97"/>
      <c r="AQ404" s="97"/>
      <c r="AR404" s="97"/>
      <c r="AS404" s="97"/>
      <c r="AT404" s="97"/>
      <c r="AU404" s="97"/>
      <c r="AV404" s="97"/>
      <c r="AW404" s="97"/>
      <c r="AX404" s="97"/>
    </row>
    <row r="405" ht="15.75" customHeight="1">
      <c r="A405" s="114" t="s">
        <v>680</v>
      </c>
      <c r="B405" s="165" t="s">
        <v>3578</v>
      </c>
      <c r="C405" s="76" t="s">
        <v>5149</v>
      </c>
      <c r="D405" s="76" t="s">
        <v>5150</v>
      </c>
      <c r="E405" s="117" t="s">
        <v>5151</v>
      </c>
      <c r="F405" s="76"/>
      <c r="G405" s="76"/>
      <c r="H405" s="76"/>
      <c r="I405" s="118"/>
      <c r="J405" s="120"/>
      <c r="K405" s="118"/>
      <c r="L405" s="118"/>
      <c r="M405" s="118"/>
      <c r="N405" s="118"/>
      <c r="O405" s="118" t="s">
        <v>5154</v>
      </c>
      <c r="P405" s="118"/>
      <c r="Q405" s="118" t="s">
        <v>184</v>
      </c>
      <c r="R405" s="118"/>
      <c r="S405" s="118"/>
      <c r="T405" s="118"/>
      <c r="U405" s="118"/>
      <c r="V405" s="118"/>
      <c r="W405" s="118"/>
      <c r="X405" s="118"/>
      <c r="Y405" s="118"/>
      <c r="Z405" s="118"/>
      <c r="AA405" s="118"/>
      <c r="AB405" s="118"/>
      <c r="AC405" s="118"/>
      <c r="AD405" s="97"/>
      <c r="AE405" s="97"/>
      <c r="AF405" s="97"/>
      <c r="AG405" s="97"/>
      <c r="AH405" s="97"/>
      <c r="AI405" s="97"/>
      <c r="AJ405" s="97"/>
      <c r="AK405" s="97"/>
      <c r="AL405" s="84"/>
      <c r="AM405" s="84"/>
      <c r="AN405" s="84"/>
      <c r="AO405" s="97"/>
      <c r="AP405" s="97"/>
      <c r="AQ405" s="97"/>
      <c r="AR405" s="97"/>
      <c r="AS405" s="97"/>
      <c r="AT405" s="97"/>
      <c r="AU405" s="97"/>
      <c r="AV405" s="97"/>
      <c r="AW405" s="97"/>
      <c r="AX405" s="97"/>
    </row>
    <row r="406" ht="15.75" customHeight="1">
      <c r="A406" s="170" t="s">
        <v>238</v>
      </c>
      <c r="B406" s="171" t="s">
        <v>3586</v>
      </c>
      <c r="C406" s="76" t="s">
        <v>5155</v>
      </c>
      <c r="D406" s="76" t="s">
        <v>5156</v>
      </c>
      <c r="E406" s="117" t="s">
        <v>5157</v>
      </c>
      <c r="F406" s="76"/>
      <c r="G406" s="76"/>
      <c r="H406" s="76"/>
      <c r="I406" s="209"/>
      <c r="J406" s="209"/>
      <c r="K406" s="210" t="s">
        <v>5159</v>
      </c>
      <c r="L406" s="210"/>
      <c r="M406" s="209"/>
      <c r="N406" s="209"/>
      <c r="O406" s="209" t="s">
        <v>5160</v>
      </c>
      <c r="P406" s="209"/>
      <c r="Q406" s="209" t="s">
        <v>184</v>
      </c>
      <c r="R406" s="209"/>
      <c r="S406" s="209"/>
      <c r="T406" s="209"/>
      <c r="U406" s="209"/>
      <c r="V406" s="209"/>
      <c r="W406" s="209"/>
      <c r="X406" s="209"/>
      <c r="Y406" s="209"/>
      <c r="Z406" s="209"/>
      <c r="AA406" s="209"/>
      <c r="AB406" s="209"/>
      <c r="AC406" s="209"/>
      <c r="AD406" s="97"/>
      <c r="AE406" s="97"/>
      <c r="AF406" s="97"/>
      <c r="AG406" s="97"/>
      <c r="AH406" s="97"/>
      <c r="AI406" s="97"/>
      <c r="AJ406" s="97"/>
      <c r="AK406" s="97"/>
      <c r="AL406" s="84"/>
      <c r="AM406" s="84"/>
      <c r="AN406" s="84"/>
      <c r="AO406" s="97"/>
      <c r="AP406" s="97"/>
      <c r="AQ406" s="97"/>
      <c r="AR406" s="97"/>
      <c r="AS406" s="97"/>
      <c r="AT406" s="97"/>
      <c r="AU406" s="97"/>
      <c r="AV406" s="97"/>
      <c r="AW406" s="97"/>
      <c r="AX406" s="97"/>
    </row>
    <row r="407" ht="15.75" customHeight="1">
      <c r="A407" s="150" t="s">
        <v>343</v>
      </c>
      <c r="B407" s="82" t="s">
        <v>3444</v>
      </c>
      <c r="C407" s="83"/>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97"/>
      <c r="AE407" s="97"/>
      <c r="AF407" s="97"/>
      <c r="AG407" s="97"/>
      <c r="AH407" s="97"/>
      <c r="AI407" s="97"/>
      <c r="AJ407" s="97"/>
      <c r="AK407" s="97"/>
      <c r="AL407" s="97"/>
      <c r="AM407" s="97"/>
      <c r="AN407" s="97"/>
      <c r="AO407" s="97"/>
      <c r="AP407" s="97"/>
      <c r="AQ407" s="97"/>
      <c r="AR407" s="97"/>
      <c r="AS407" s="97"/>
      <c r="AT407" s="97"/>
      <c r="AU407" s="97"/>
      <c r="AV407" s="97"/>
      <c r="AW407" s="97"/>
      <c r="AX407" s="97"/>
    </row>
    <row r="408" ht="15.75" customHeight="1">
      <c r="A408" s="255"/>
      <c r="B408" s="203"/>
      <c r="C408" s="204"/>
      <c r="D408" s="204"/>
      <c r="E408" s="204"/>
      <c r="F408" s="97"/>
      <c r="G408" s="97"/>
      <c r="H408" s="97"/>
      <c r="I408" s="97"/>
      <c r="J408" s="97"/>
      <c r="K408" s="97"/>
      <c r="L408" s="97"/>
      <c r="M408" s="97"/>
      <c r="N408" s="97"/>
      <c r="O408" s="97"/>
      <c r="P408" s="97"/>
      <c r="Q408" s="97"/>
      <c r="R408" s="97"/>
      <c r="S408" s="97"/>
      <c r="T408" s="97"/>
      <c r="U408" s="255"/>
      <c r="V408" s="97"/>
      <c r="W408" s="97"/>
      <c r="X408" s="97"/>
      <c r="Y408" s="97"/>
      <c r="Z408" s="97"/>
      <c r="AA408" s="97"/>
      <c r="AB408" s="97"/>
      <c r="AC408" s="97"/>
      <c r="AD408" s="97"/>
      <c r="AE408" s="97"/>
      <c r="AF408" s="97"/>
      <c r="AG408" s="97"/>
      <c r="AH408" s="97"/>
      <c r="AI408" s="97"/>
      <c r="AJ408" s="97"/>
      <c r="AK408" s="97"/>
      <c r="AL408" s="97"/>
      <c r="AM408" s="97"/>
      <c r="AN408" s="97"/>
      <c r="AO408" s="97"/>
      <c r="AP408" s="97"/>
      <c r="AQ408" s="97"/>
      <c r="AR408" s="97"/>
      <c r="AS408" s="97"/>
      <c r="AT408" s="97"/>
      <c r="AU408" s="97"/>
      <c r="AV408" s="97"/>
      <c r="AW408" s="97"/>
      <c r="AX408" s="97"/>
    </row>
    <row r="409" ht="15.75" customHeight="1">
      <c r="A409" s="256" t="s">
        <v>161</v>
      </c>
      <c r="B409" s="248" t="s">
        <v>3626</v>
      </c>
      <c r="C409" s="168" t="s">
        <v>3627</v>
      </c>
      <c r="D409" s="168"/>
      <c r="E409" s="168"/>
      <c r="F409" s="205"/>
      <c r="G409" s="205"/>
      <c r="H409" s="205"/>
      <c r="I409" s="205"/>
      <c r="J409" s="205"/>
      <c r="K409" s="205"/>
      <c r="L409" s="205"/>
      <c r="M409" s="207"/>
      <c r="N409" s="207"/>
      <c r="O409" s="248" t="s">
        <v>5171</v>
      </c>
      <c r="P409" s="205"/>
      <c r="Q409" s="205"/>
      <c r="R409" s="205"/>
      <c r="S409" s="205"/>
      <c r="T409" s="205"/>
      <c r="U409" s="248"/>
      <c r="V409" s="205"/>
      <c r="W409" s="205"/>
      <c r="X409" s="205"/>
      <c r="Y409" s="205"/>
      <c r="Z409" s="205"/>
      <c r="AA409" s="205"/>
      <c r="AB409" s="205"/>
      <c r="AC409" s="205"/>
      <c r="AD409" s="97"/>
      <c r="AE409" s="97"/>
      <c r="AF409" s="97"/>
      <c r="AG409" s="97"/>
      <c r="AH409" s="97"/>
      <c r="AI409" s="97"/>
      <c r="AJ409" s="97"/>
      <c r="AK409" s="97"/>
      <c r="AL409" s="97"/>
      <c r="AM409" s="97"/>
      <c r="AN409" s="97"/>
      <c r="AO409" s="97"/>
      <c r="AP409" s="97"/>
      <c r="AQ409" s="97"/>
      <c r="AR409" s="97"/>
      <c r="AS409" s="97"/>
      <c r="AT409" s="97"/>
      <c r="AU409" s="97"/>
      <c r="AV409" s="97"/>
      <c r="AW409" s="97"/>
      <c r="AX409" s="97"/>
    </row>
    <row r="410" ht="15.75" customHeight="1">
      <c r="A410" s="239" t="s">
        <v>44</v>
      </c>
      <c r="B410" s="218" t="s">
        <v>3632</v>
      </c>
      <c r="C410" s="76" t="s">
        <v>5179</v>
      </c>
      <c r="D410" s="76" t="s">
        <v>5180</v>
      </c>
      <c r="E410" s="117" t="s">
        <v>5181</v>
      </c>
      <c r="F410" s="76"/>
      <c r="G410" s="76"/>
      <c r="H410" s="76"/>
      <c r="I410" s="209"/>
      <c r="J410" s="209"/>
      <c r="K410" s="210"/>
      <c r="L410" s="210"/>
      <c r="M410" s="209"/>
      <c r="N410" s="209"/>
      <c r="O410" s="209"/>
      <c r="P410" s="209"/>
      <c r="Q410" s="209"/>
      <c r="R410" s="209"/>
      <c r="S410" s="209"/>
      <c r="T410" s="209"/>
      <c r="U410" s="209"/>
      <c r="V410" s="209"/>
      <c r="W410" s="209"/>
      <c r="X410" s="209"/>
      <c r="Y410" s="209"/>
      <c r="Z410" s="209"/>
      <c r="AA410" s="209"/>
      <c r="AB410" s="209"/>
      <c r="AC410" s="209"/>
      <c r="AD410" s="97"/>
      <c r="AE410" s="97"/>
      <c r="AF410" s="97"/>
      <c r="AG410" s="97"/>
      <c r="AH410" s="97"/>
      <c r="AI410" s="97"/>
      <c r="AJ410" s="97"/>
      <c r="AK410" s="97"/>
      <c r="AL410" s="97"/>
      <c r="AM410" s="97"/>
      <c r="AN410" s="97"/>
      <c r="AO410" s="97"/>
      <c r="AP410" s="97"/>
      <c r="AQ410" s="97"/>
      <c r="AR410" s="97"/>
      <c r="AS410" s="97"/>
      <c r="AT410" s="97"/>
      <c r="AU410" s="97"/>
      <c r="AV410" s="97"/>
      <c r="AW410" s="97"/>
      <c r="AX410" s="97"/>
    </row>
    <row r="411" ht="15.75" customHeight="1">
      <c r="A411" s="239" t="s">
        <v>680</v>
      </c>
      <c r="B411" s="218" t="s">
        <v>3645</v>
      </c>
      <c r="C411" s="76" t="s">
        <v>5186</v>
      </c>
      <c r="D411" s="76" t="s">
        <v>5187</v>
      </c>
      <c r="E411" s="117" t="s">
        <v>5189</v>
      </c>
      <c r="F411" s="76" t="s">
        <v>5190</v>
      </c>
      <c r="G411" s="76" t="s">
        <v>5191</v>
      </c>
      <c r="H411" s="76"/>
      <c r="I411" s="209"/>
      <c r="J411" s="209"/>
      <c r="K411" s="210"/>
      <c r="L411" s="210"/>
      <c r="M411" s="209"/>
      <c r="N411" s="209"/>
      <c r="O411" s="209"/>
      <c r="P411" s="209"/>
      <c r="Q411" s="209" t="s">
        <v>184</v>
      </c>
      <c r="R411" s="209"/>
      <c r="S411" s="209"/>
      <c r="T411" s="209"/>
      <c r="U411" s="209"/>
      <c r="V411" s="209"/>
      <c r="W411" s="209"/>
      <c r="X411" s="209"/>
      <c r="Y411" s="209"/>
      <c r="Z411" s="209"/>
      <c r="AA411" s="209"/>
      <c r="AB411" s="209"/>
      <c r="AC411" s="209"/>
      <c r="AD411" s="97"/>
      <c r="AE411" s="97"/>
      <c r="AF411" s="97"/>
      <c r="AG411" s="97"/>
      <c r="AH411" s="97"/>
      <c r="AI411" s="97"/>
      <c r="AJ411" s="97"/>
      <c r="AK411" s="97"/>
      <c r="AL411" s="97"/>
      <c r="AM411" s="97"/>
      <c r="AN411" s="97"/>
      <c r="AO411" s="97"/>
      <c r="AP411" s="97"/>
      <c r="AQ411" s="97"/>
      <c r="AR411" s="97"/>
      <c r="AS411" s="97"/>
      <c r="AT411" s="97"/>
      <c r="AU411" s="97"/>
      <c r="AV411" s="97"/>
      <c r="AW411" s="97"/>
      <c r="AX411" s="97"/>
    </row>
    <row r="412" ht="15.75" customHeight="1">
      <c r="A412" s="114" t="s">
        <v>3649</v>
      </c>
      <c r="B412" s="122" t="s">
        <v>3650</v>
      </c>
      <c r="C412" s="76" t="s">
        <v>5198</v>
      </c>
      <c r="D412" s="76" t="s">
        <v>5199</v>
      </c>
      <c r="E412" s="117" t="s">
        <v>5200</v>
      </c>
      <c r="F412" s="76" t="s">
        <v>1746</v>
      </c>
      <c r="G412" s="76" t="s">
        <v>4716</v>
      </c>
      <c r="H412" s="76" t="s">
        <v>1748</v>
      </c>
      <c r="I412" s="118"/>
      <c r="J412" s="120"/>
      <c r="K412" s="118" t="s">
        <v>5201</v>
      </c>
      <c r="L412" s="118"/>
      <c r="M412" s="118"/>
      <c r="N412" s="118"/>
      <c r="O412" s="121" t="s">
        <v>5203</v>
      </c>
      <c r="P412" s="118"/>
      <c r="Q412" s="118" t="s">
        <v>184</v>
      </c>
      <c r="R412" s="118"/>
      <c r="S412" s="118"/>
      <c r="T412" s="118"/>
      <c r="U412" s="118"/>
      <c r="V412" s="118"/>
      <c r="W412" s="118"/>
      <c r="X412" s="118"/>
      <c r="Y412" s="121" t="s">
        <v>5204</v>
      </c>
      <c r="Z412" s="118"/>
      <c r="AA412" s="118"/>
      <c r="AB412" s="118"/>
      <c r="AC412" s="118"/>
      <c r="AD412" s="97"/>
      <c r="AE412" s="97"/>
      <c r="AF412" s="97"/>
      <c r="AG412" s="97"/>
      <c r="AH412" s="97"/>
      <c r="AI412" s="97"/>
      <c r="AJ412" s="97"/>
      <c r="AK412" s="97"/>
      <c r="AL412" s="97"/>
      <c r="AM412" s="97"/>
      <c r="AN412" s="97"/>
      <c r="AO412" s="97"/>
      <c r="AP412" s="97"/>
      <c r="AQ412" s="97"/>
      <c r="AR412" s="97"/>
      <c r="AS412" s="97"/>
      <c r="AT412" s="97"/>
      <c r="AU412" s="97"/>
      <c r="AV412" s="97"/>
      <c r="AW412" s="97"/>
      <c r="AX412" s="97"/>
    </row>
    <row r="413" ht="15.75" customHeight="1">
      <c r="A413" s="162" t="s">
        <v>217</v>
      </c>
      <c r="B413" s="257" t="s">
        <v>3657</v>
      </c>
      <c r="C413" s="76" t="s">
        <v>2219</v>
      </c>
      <c r="D413" s="76" t="s">
        <v>2221</v>
      </c>
      <c r="E413" s="117" t="s">
        <v>2222</v>
      </c>
      <c r="F413" s="76"/>
      <c r="G413" s="76"/>
      <c r="H413" s="76"/>
      <c r="I413" s="182"/>
      <c r="J413" s="183"/>
      <c r="K413" s="182"/>
      <c r="L413" s="182"/>
      <c r="M413" s="182"/>
      <c r="N413" s="182"/>
      <c r="O413" s="184" t="s">
        <v>5216</v>
      </c>
      <c r="P413" s="182"/>
      <c r="Q413" s="182" t="s">
        <v>184</v>
      </c>
      <c r="R413" s="182"/>
      <c r="S413" s="182"/>
      <c r="T413" s="182"/>
      <c r="U413" s="182"/>
      <c r="V413" s="182"/>
      <c r="W413" s="182"/>
      <c r="X413" s="182"/>
      <c r="Y413" s="182"/>
      <c r="Z413" s="182"/>
      <c r="AA413" s="182"/>
      <c r="AB413" s="182"/>
      <c r="AC413" s="182"/>
      <c r="AD413" s="97"/>
      <c r="AE413" s="97"/>
      <c r="AF413" s="97"/>
      <c r="AG413" s="97"/>
      <c r="AH413" s="97"/>
      <c r="AI413" s="97"/>
      <c r="AJ413" s="97"/>
      <c r="AK413" s="97"/>
      <c r="AL413" s="97"/>
      <c r="AM413" s="97"/>
      <c r="AN413" s="97"/>
      <c r="AO413" s="97"/>
      <c r="AP413" s="97"/>
      <c r="AQ413" s="97"/>
      <c r="AR413" s="97"/>
      <c r="AS413" s="97"/>
      <c r="AT413" s="97"/>
      <c r="AU413" s="97"/>
      <c r="AV413" s="97"/>
      <c r="AW413" s="97"/>
      <c r="AX413" s="97"/>
    </row>
    <row r="414" ht="15.75" customHeight="1">
      <c r="A414" s="256" t="s">
        <v>115</v>
      </c>
      <c r="B414" s="248" t="s">
        <v>3661</v>
      </c>
      <c r="C414" s="168"/>
      <c r="D414" s="168"/>
      <c r="E414" s="168"/>
      <c r="F414" s="205"/>
      <c r="G414" s="205"/>
      <c r="H414" s="205"/>
      <c r="I414" s="205"/>
      <c r="J414" s="205"/>
      <c r="K414" s="205"/>
      <c r="L414" s="205"/>
      <c r="M414" s="207"/>
      <c r="N414" s="207"/>
      <c r="O414" s="207"/>
      <c r="P414" s="205"/>
      <c r="Q414" s="205"/>
      <c r="R414" s="205"/>
      <c r="S414" s="205"/>
      <c r="T414" s="256" t="s">
        <v>5231</v>
      </c>
      <c r="U414" s="248"/>
      <c r="V414" s="205"/>
      <c r="W414" s="205"/>
      <c r="X414" s="205"/>
      <c r="Y414" s="205"/>
      <c r="Z414" s="205"/>
      <c r="AA414" s="205"/>
      <c r="AB414" s="205"/>
      <c r="AC414" s="205"/>
      <c r="AD414" s="97"/>
      <c r="AE414" s="97"/>
      <c r="AF414" s="97"/>
      <c r="AG414" s="97"/>
      <c r="AH414" s="97"/>
      <c r="AI414" s="97"/>
      <c r="AJ414" s="97"/>
      <c r="AK414" s="97"/>
      <c r="AL414" s="97"/>
      <c r="AM414" s="97"/>
      <c r="AN414" s="97"/>
      <c r="AO414" s="97"/>
      <c r="AP414" s="97"/>
      <c r="AQ414" s="97"/>
      <c r="AR414" s="97"/>
      <c r="AS414" s="97"/>
      <c r="AT414" s="97"/>
      <c r="AU414" s="97"/>
      <c r="AV414" s="97"/>
      <c r="AW414" s="97"/>
      <c r="AX414" s="97"/>
    </row>
    <row r="415" ht="15.75" customHeight="1">
      <c r="A415" s="256" t="s">
        <v>115</v>
      </c>
      <c r="B415" s="248" t="s">
        <v>3665</v>
      </c>
      <c r="C415" s="168"/>
      <c r="D415" s="168"/>
      <c r="E415" s="168"/>
      <c r="F415" s="205"/>
      <c r="G415" s="205"/>
      <c r="H415" s="205"/>
      <c r="I415" s="205"/>
      <c r="J415" s="205"/>
      <c r="K415" s="205"/>
      <c r="L415" s="205"/>
      <c r="M415" s="207"/>
      <c r="N415" s="207"/>
      <c r="O415" s="207"/>
      <c r="P415" s="205"/>
      <c r="Q415" s="205"/>
      <c r="R415" s="205"/>
      <c r="S415" s="205"/>
      <c r="T415" s="256" t="s">
        <v>5238</v>
      </c>
      <c r="U415" s="248"/>
      <c r="V415" s="205"/>
      <c r="W415" s="205"/>
      <c r="X415" s="205"/>
      <c r="Y415" s="205"/>
      <c r="Z415" s="205"/>
      <c r="AA415" s="205"/>
      <c r="AB415" s="205"/>
      <c r="AC415" s="205"/>
      <c r="AD415" s="97"/>
      <c r="AE415" s="97"/>
      <c r="AF415" s="97"/>
      <c r="AG415" s="97"/>
      <c r="AH415" s="97"/>
      <c r="AI415" s="97"/>
      <c r="AJ415" s="97"/>
      <c r="AK415" s="97"/>
      <c r="AL415" s="97"/>
      <c r="AM415" s="97"/>
      <c r="AN415" s="97"/>
      <c r="AO415" s="97"/>
      <c r="AP415" s="97"/>
      <c r="AQ415" s="97"/>
      <c r="AR415" s="97"/>
      <c r="AS415" s="97"/>
      <c r="AT415" s="97"/>
      <c r="AU415" s="97"/>
      <c r="AV415" s="97"/>
      <c r="AW415" s="97"/>
      <c r="AX415" s="97"/>
    </row>
    <row r="416" ht="15.75" customHeight="1">
      <c r="A416" s="256" t="s">
        <v>115</v>
      </c>
      <c r="B416" s="248" t="s">
        <v>3678</v>
      </c>
      <c r="C416" s="258" t="s">
        <v>3679</v>
      </c>
      <c r="D416" s="168"/>
      <c r="E416" s="168"/>
      <c r="F416" s="205"/>
      <c r="G416" s="205"/>
      <c r="H416" s="205"/>
      <c r="I416" s="205"/>
      <c r="J416" s="205"/>
      <c r="K416" s="205"/>
      <c r="L416" s="205"/>
      <c r="M416" s="207"/>
      <c r="N416" s="207"/>
      <c r="O416" s="207"/>
      <c r="P416" s="205"/>
      <c r="Q416" s="205"/>
      <c r="R416" s="205"/>
      <c r="S416" s="205"/>
      <c r="T416" s="256" t="s">
        <v>5244</v>
      </c>
      <c r="U416" s="248"/>
      <c r="V416" s="205"/>
      <c r="W416" s="205"/>
      <c r="X416" s="205"/>
      <c r="Y416" s="205"/>
      <c r="Z416" s="205"/>
      <c r="AA416" s="205"/>
      <c r="AB416" s="205"/>
      <c r="AC416" s="205"/>
      <c r="AD416" s="97"/>
      <c r="AE416" s="97"/>
      <c r="AF416" s="97"/>
      <c r="AG416" s="97"/>
      <c r="AH416" s="97"/>
      <c r="AI416" s="97"/>
      <c r="AJ416" s="97"/>
      <c r="AK416" s="97"/>
      <c r="AL416" s="97"/>
      <c r="AM416" s="97"/>
      <c r="AN416" s="97"/>
      <c r="AO416" s="97"/>
      <c r="AP416" s="97"/>
      <c r="AQ416" s="97"/>
      <c r="AR416" s="97"/>
      <c r="AS416" s="97"/>
      <c r="AT416" s="97"/>
      <c r="AU416" s="97"/>
      <c r="AV416" s="97"/>
      <c r="AW416" s="97"/>
      <c r="AX416" s="97"/>
    </row>
    <row r="417" ht="15.75" customHeight="1">
      <c r="A417" s="256" t="s">
        <v>115</v>
      </c>
      <c r="B417" s="248" t="s">
        <v>3690</v>
      </c>
      <c r="C417" s="258"/>
      <c r="D417" s="168"/>
      <c r="E417" s="168"/>
      <c r="F417" s="205"/>
      <c r="G417" s="205"/>
      <c r="H417" s="205"/>
      <c r="I417" s="205"/>
      <c r="J417" s="205"/>
      <c r="K417" s="205"/>
      <c r="L417" s="205"/>
      <c r="M417" s="207"/>
      <c r="N417" s="207"/>
      <c r="O417" s="207"/>
      <c r="P417" s="205"/>
      <c r="Q417" s="205"/>
      <c r="R417" s="205"/>
      <c r="S417" s="205"/>
      <c r="T417" s="248" t="s">
        <v>5249</v>
      </c>
      <c r="U417" s="248"/>
      <c r="V417" s="205"/>
      <c r="W417" s="205"/>
      <c r="X417" s="205"/>
      <c r="Y417" s="205"/>
      <c r="Z417" s="205"/>
      <c r="AA417" s="205"/>
      <c r="AB417" s="205"/>
      <c r="AC417" s="205"/>
      <c r="AD417" s="97"/>
      <c r="AE417" s="97"/>
      <c r="AF417" s="97"/>
      <c r="AG417" s="97"/>
      <c r="AH417" s="97"/>
      <c r="AI417" s="97"/>
      <c r="AJ417" s="97"/>
      <c r="AK417" s="97"/>
      <c r="AL417" s="97"/>
      <c r="AM417" s="97"/>
      <c r="AN417" s="97"/>
      <c r="AO417" s="97"/>
      <c r="AP417" s="97"/>
      <c r="AQ417" s="97"/>
      <c r="AR417" s="97"/>
      <c r="AS417" s="97"/>
      <c r="AT417" s="97"/>
      <c r="AU417" s="97"/>
      <c r="AV417" s="97"/>
      <c r="AW417" s="97"/>
      <c r="AX417" s="97"/>
    </row>
    <row r="418" ht="15.75" customHeight="1">
      <c r="A418" s="131" t="s">
        <v>150</v>
      </c>
      <c r="B418" s="164" t="s">
        <v>3697</v>
      </c>
      <c r="C418" s="133"/>
      <c r="D418" s="133"/>
      <c r="E418" s="133"/>
      <c r="F418" s="134"/>
      <c r="G418" s="134"/>
      <c r="H418" s="134"/>
      <c r="I418" s="134"/>
      <c r="J418" s="134"/>
      <c r="K418" s="134"/>
      <c r="L418" s="134"/>
      <c r="M418" s="134"/>
      <c r="N418" s="134"/>
      <c r="O418" s="134"/>
      <c r="P418" s="134"/>
      <c r="Q418" s="134"/>
      <c r="R418" s="134"/>
      <c r="S418" s="134"/>
      <c r="T418" s="291" t="s">
        <v>156</v>
      </c>
      <c r="U418" s="134"/>
      <c r="V418" s="134"/>
      <c r="W418" s="134"/>
      <c r="X418" s="134"/>
      <c r="Y418" s="134"/>
      <c r="Z418" s="134"/>
      <c r="AA418" s="134"/>
      <c r="AB418" s="134"/>
      <c r="AC418" s="134"/>
      <c r="AD418" s="97"/>
      <c r="AE418" s="97"/>
      <c r="AF418" s="97"/>
      <c r="AG418" s="97"/>
      <c r="AH418" s="97"/>
      <c r="AI418" s="97"/>
      <c r="AJ418" s="97"/>
      <c r="AK418" s="97"/>
      <c r="AL418" s="97"/>
      <c r="AM418" s="97"/>
      <c r="AN418" s="97"/>
      <c r="AO418" s="97"/>
      <c r="AP418" s="97"/>
      <c r="AQ418" s="97"/>
      <c r="AR418" s="97"/>
      <c r="AS418" s="97"/>
      <c r="AT418" s="97"/>
      <c r="AU418" s="97"/>
      <c r="AV418" s="97"/>
      <c r="AW418" s="97"/>
      <c r="AX418" s="97"/>
    </row>
    <row r="419" ht="15.75" customHeight="1">
      <c r="A419" s="167" t="s">
        <v>807</v>
      </c>
      <c r="B419" s="248" t="s">
        <v>3701</v>
      </c>
      <c r="C419" s="258" t="s">
        <v>3702</v>
      </c>
      <c r="D419" s="168"/>
      <c r="E419" s="168"/>
      <c r="F419" s="205"/>
      <c r="G419" s="205"/>
      <c r="H419" s="205"/>
      <c r="I419" s="205"/>
      <c r="J419" s="205"/>
      <c r="K419" s="205"/>
      <c r="L419" s="205"/>
      <c r="M419" s="207"/>
      <c r="N419" s="207"/>
      <c r="O419" s="248" t="s">
        <v>5257</v>
      </c>
      <c r="P419" s="205"/>
      <c r="Q419" s="205"/>
      <c r="R419" s="205"/>
      <c r="S419" s="205"/>
      <c r="T419" s="205"/>
      <c r="U419" s="248" t="s">
        <v>5258</v>
      </c>
      <c r="V419" s="205"/>
      <c r="W419" s="205"/>
      <c r="X419" s="205"/>
      <c r="Y419" s="205"/>
      <c r="Z419" s="205"/>
      <c r="AA419" s="205"/>
      <c r="AB419" s="205"/>
      <c r="AC419" s="205"/>
      <c r="AD419" s="97"/>
      <c r="AE419" s="97"/>
      <c r="AF419" s="97"/>
      <c r="AG419" s="97"/>
      <c r="AH419" s="97"/>
      <c r="AI419" s="97"/>
      <c r="AJ419" s="97"/>
      <c r="AK419" s="97"/>
      <c r="AL419" s="97"/>
      <c r="AM419" s="97"/>
      <c r="AN419" s="97"/>
      <c r="AO419" s="97"/>
      <c r="AP419" s="97"/>
      <c r="AQ419" s="97"/>
      <c r="AR419" s="97"/>
      <c r="AS419" s="97"/>
      <c r="AT419" s="97"/>
      <c r="AU419" s="97"/>
      <c r="AV419" s="97"/>
      <c r="AW419" s="97"/>
      <c r="AX419" s="97"/>
    </row>
    <row r="420" ht="15.75" customHeight="1">
      <c r="A420" s="131" t="s">
        <v>115</v>
      </c>
      <c r="B420" s="151" t="s">
        <v>3709</v>
      </c>
      <c r="C420" s="133" t="s">
        <v>3710</v>
      </c>
      <c r="D420" s="133"/>
      <c r="E420" s="133"/>
      <c r="F420" s="134"/>
      <c r="G420" s="134"/>
      <c r="H420" s="134"/>
      <c r="I420" s="134"/>
      <c r="J420" s="134"/>
      <c r="K420" s="134"/>
      <c r="L420" s="134"/>
      <c r="M420" s="134"/>
      <c r="N420" s="134"/>
      <c r="O420" s="134"/>
      <c r="P420" s="134"/>
      <c r="Q420" s="134"/>
      <c r="R420" s="134"/>
      <c r="S420" s="134"/>
      <c r="T420" s="149" t="s">
        <v>1471</v>
      </c>
      <c r="U420" s="134"/>
      <c r="V420" s="134"/>
      <c r="W420" s="134"/>
      <c r="X420" s="134"/>
      <c r="Y420" s="134"/>
      <c r="Z420" s="134"/>
      <c r="AA420" s="134"/>
      <c r="AB420" s="134"/>
      <c r="AC420" s="134"/>
      <c r="AD420" s="97"/>
      <c r="AE420" s="97"/>
      <c r="AF420" s="97"/>
      <c r="AG420" s="97"/>
      <c r="AH420" s="97"/>
      <c r="AI420" s="97"/>
      <c r="AJ420" s="97"/>
      <c r="AK420" s="97"/>
      <c r="AL420" s="97"/>
      <c r="AM420" s="97"/>
      <c r="AN420" s="97"/>
      <c r="AO420" s="97"/>
      <c r="AP420" s="97"/>
      <c r="AQ420" s="97"/>
      <c r="AR420" s="97"/>
      <c r="AS420" s="97"/>
      <c r="AT420" s="97"/>
      <c r="AU420" s="97"/>
      <c r="AV420" s="97"/>
      <c r="AW420" s="97"/>
      <c r="AX420" s="97"/>
    </row>
    <row r="421" ht="15.75" customHeight="1">
      <c r="A421" s="131" t="s">
        <v>115</v>
      </c>
      <c r="B421" s="151" t="s">
        <v>3717</v>
      </c>
      <c r="C421" s="133" t="s">
        <v>3718</v>
      </c>
      <c r="D421" s="133"/>
      <c r="E421" s="133"/>
      <c r="F421" s="134"/>
      <c r="G421" s="134"/>
      <c r="H421" s="134"/>
      <c r="I421" s="134"/>
      <c r="J421" s="134"/>
      <c r="K421" s="134"/>
      <c r="L421" s="134"/>
      <c r="M421" s="134"/>
      <c r="N421" s="134"/>
      <c r="O421" s="134"/>
      <c r="P421" s="134"/>
      <c r="Q421" s="134"/>
      <c r="R421" s="134"/>
      <c r="S421" s="134"/>
      <c r="T421" s="151" t="s">
        <v>5269</v>
      </c>
      <c r="U421" s="134"/>
      <c r="V421" s="134"/>
      <c r="W421" s="134"/>
      <c r="X421" s="134"/>
      <c r="Y421" s="134"/>
      <c r="Z421" s="134"/>
      <c r="AA421" s="134"/>
      <c r="AB421" s="134"/>
      <c r="AC421" s="134"/>
      <c r="AD421" s="97"/>
      <c r="AE421" s="97"/>
      <c r="AF421" s="97"/>
      <c r="AG421" s="97"/>
      <c r="AH421" s="97"/>
      <c r="AI421" s="97"/>
      <c r="AJ421" s="97"/>
      <c r="AK421" s="97"/>
      <c r="AL421" s="97"/>
      <c r="AM421" s="97"/>
      <c r="AN421" s="97"/>
      <c r="AO421" s="97"/>
      <c r="AP421" s="97"/>
      <c r="AQ421" s="97"/>
      <c r="AR421" s="97"/>
      <c r="AS421" s="97"/>
      <c r="AT421" s="97"/>
      <c r="AU421" s="97"/>
      <c r="AV421" s="97"/>
      <c r="AW421" s="97"/>
      <c r="AX421" s="97"/>
    </row>
    <row r="422" ht="15.75" customHeight="1">
      <c r="A422" s="131" t="s">
        <v>115</v>
      </c>
      <c r="B422" s="151" t="s">
        <v>3722</v>
      </c>
      <c r="C422" s="133" t="s">
        <v>3723</v>
      </c>
      <c r="D422" s="133"/>
      <c r="E422" s="133"/>
      <c r="F422" s="134"/>
      <c r="G422" s="134"/>
      <c r="H422" s="134"/>
      <c r="I422" s="134"/>
      <c r="J422" s="134"/>
      <c r="K422" s="134"/>
      <c r="L422" s="134"/>
      <c r="M422" s="134"/>
      <c r="N422" s="134"/>
      <c r="O422" s="134"/>
      <c r="P422" s="134"/>
      <c r="Q422" s="134"/>
      <c r="R422" s="134"/>
      <c r="S422" s="134"/>
      <c r="T422" s="151" t="s">
        <v>5278</v>
      </c>
      <c r="U422" s="134"/>
      <c r="V422" s="134"/>
      <c r="W422" s="134"/>
      <c r="X422" s="134"/>
      <c r="Y422" s="134"/>
      <c r="Z422" s="134"/>
      <c r="AA422" s="134"/>
      <c r="AB422" s="134"/>
      <c r="AC422" s="134"/>
      <c r="AD422" s="97"/>
      <c r="AE422" s="97"/>
      <c r="AF422" s="97"/>
      <c r="AG422" s="97"/>
      <c r="AH422" s="97"/>
      <c r="AI422" s="97"/>
      <c r="AJ422" s="97"/>
      <c r="AK422" s="97"/>
      <c r="AL422" s="97"/>
      <c r="AM422" s="97"/>
      <c r="AN422" s="97"/>
      <c r="AO422" s="97"/>
      <c r="AP422" s="97"/>
      <c r="AQ422" s="97"/>
      <c r="AR422" s="97"/>
      <c r="AS422" s="97"/>
      <c r="AT422" s="97"/>
      <c r="AU422" s="97"/>
      <c r="AV422" s="97"/>
      <c r="AW422" s="97"/>
      <c r="AX422" s="97"/>
    </row>
    <row r="423" ht="15.75" customHeight="1">
      <c r="A423" s="121" t="s">
        <v>3730</v>
      </c>
      <c r="B423" s="122" t="s">
        <v>3731</v>
      </c>
      <c r="C423" s="76" t="s">
        <v>5284</v>
      </c>
      <c r="D423" s="76" t="s">
        <v>5285</v>
      </c>
      <c r="E423" s="117" t="s">
        <v>5286</v>
      </c>
      <c r="F423" s="76"/>
      <c r="G423" s="76"/>
      <c r="H423" s="76"/>
      <c r="I423" s="118"/>
      <c r="J423" s="122" t="s">
        <v>5287</v>
      </c>
      <c r="K423" s="118"/>
      <c r="L423" s="118"/>
      <c r="M423" s="118"/>
      <c r="N423" s="118"/>
      <c r="O423" s="121" t="s">
        <v>5288</v>
      </c>
      <c r="P423" s="118"/>
      <c r="Q423" s="118" t="s">
        <v>184</v>
      </c>
      <c r="R423" s="118"/>
      <c r="S423" s="118"/>
      <c r="T423" s="118"/>
      <c r="U423" s="118"/>
      <c r="V423" s="118"/>
      <c r="W423" s="118"/>
      <c r="X423" s="118"/>
      <c r="Y423" s="118"/>
      <c r="Z423" s="118"/>
      <c r="AA423" s="118"/>
      <c r="AB423" s="118"/>
      <c r="AC423" s="118"/>
      <c r="AD423" s="97"/>
      <c r="AE423" s="97"/>
      <c r="AF423" s="97"/>
      <c r="AG423" s="97"/>
      <c r="AH423" s="97"/>
      <c r="AI423" s="97"/>
      <c r="AJ423" s="97"/>
      <c r="AK423" s="97"/>
      <c r="AL423" s="97"/>
      <c r="AM423" s="97"/>
      <c r="AN423" s="97"/>
      <c r="AO423" s="97"/>
      <c r="AP423" s="97"/>
      <c r="AQ423" s="97"/>
      <c r="AR423" s="97"/>
      <c r="AS423" s="97"/>
      <c r="AT423" s="97"/>
      <c r="AU423" s="97"/>
      <c r="AV423" s="97"/>
      <c r="AW423" s="97"/>
      <c r="AX423" s="97"/>
    </row>
    <row r="424" ht="15.75" customHeight="1">
      <c r="A424" s="162" t="s">
        <v>217</v>
      </c>
      <c r="B424" s="257" t="s">
        <v>3741</v>
      </c>
      <c r="C424" s="76" t="s">
        <v>3755</v>
      </c>
      <c r="D424" s="76" t="s">
        <v>3756</v>
      </c>
      <c r="E424" s="117" t="s">
        <v>3757</v>
      </c>
      <c r="F424" s="76"/>
      <c r="G424" s="76"/>
      <c r="H424" s="76"/>
      <c r="I424" s="182"/>
      <c r="J424" s="183"/>
      <c r="K424" s="182"/>
      <c r="L424" s="182"/>
      <c r="M424" s="182"/>
      <c r="N424" s="182"/>
      <c r="O424" s="184" t="s">
        <v>5298</v>
      </c>
      <c r="P424" s="182"/>
      <c r="Q424" s="239" t="s">
        <v>184</v>
      </c>
      <c r="R424" s="182"/>
      <c r="S424" s="182"/>
      <c r="T424" s="182"/>
      <c r="U424" s="182"/>
      <c r="V424" s="182"/>
      <c r="W424" s="182"/>
      <c r="X424" s="182"/>
      <c r="Y424" s="182"/>
      <c r="Z424" s="182"/>
      <c r="AA424" s="182"/>
      <c r="AB424" s="182"/>
      <c r="AC424" s="182"/>
      <c r="AD424" s="97"/>
      <c r="AE424" s="97"/>
      <c r="AF424" s="97"/>
      <c r="AG424" s="97"/>
      <c r="AH424" s="97"/>
      <c r="AI424" s="97"/>
      <c r="AJ424" s="97"/>
      <c r="AK424" s="97"/>
      <c r="AL424" s="97"/>
      <c r="AM424" s="97"/>
      <c r="AN424" s="97"/>
      <c r="AO424" s="97"/>
      <c r="AP424" s="97"/>
      <c r="AQ424" s="97"/>
      <c r="AR424" s="97"/>
      <c r="AS424" s="97"/>
      <c r="AT424" s="97"/>
      <c r="AU424" s="97"/>
      <c r="AV424" s="97"/>
      <c r="AW424" s="97"/>
      <c r="AX424" s="97"/>
    </row>
    <row r="425" ht="15.75" customHeight="1">
      <c r="A425" s="121" t="s">
        <v>3742</v>
      </c>
      <c r="B425" s="218" t="s">
        <v>3743</v>
      </c>
      <c r="C425" s="76" t="s">
        <v>5302</v>
      </c>
      <c r="D425" s="76" t="s">
        <v>5303</v>
      </c>
      <c r="E425" s="117" t="s">
        <v>5304</v>
      </c>
      <c r="F425" s="76"/>
      <c r="G425" s="76"/>
      <c r="H425" s="76"/>
      <c r="I425" s="209"/>
      <c r="J425" s="209"/>
      <c r="K425" s="210"/>
      <c r="L425" s="210"/>
      <c r="M425" s="209"/>
      <c r="N425" s="209"/>
      <c r="O425" s="239" t="s">
        <v>5306</v>
      </c>
      <c r="P425" s="209"/>
      <c r="Q425" s="182" t="s">
        <v>184</v>
      </c>
      <c r="R425" s="209"/>
      <c r="S425" s="209"/>
      <c r="T425" s="209"/>
      <c r="U425" s="209"/>
      <c r="V425" s="209"/>
      <c r="W425" s="209"/>
      <c r="X425" s="209"/>
      <c r="Y425" s="209"/>
      <c r="Z425" s="209"/>
      <c r="AA425" s="209"/>
      <c r="AB425" s="209"/>
      <c r="AC425" s="209"/>
      <c r="AD425" s="97"/>
      <c r="AE425" s="97"/>
      <c r="AF425" s="97"/>
      <c r="AG425" s="97"/>
      <c r="AH425" s="97"/>
      <c r="AI425" s="97"/>
      <c r="AJ425" s="97"/>
      <c r="AK425" s="97"/>
      <c r="AL425" s="97"/>
      <c r="AM425" s="97"/>
      <c r="AN425" s="97"/>
      <c r="AO425" s="97"/>
      <c r="AP425" s="97"/>
      <c r="AQ425" s="97"/>
      <c r="AR425" s="97"/>
      <c r="AS425" s="97"/>
      <c r="AT425" s="97"/>
      <c r="AU425" s="97"/>
      <c r="AV425" s="97"/>
      <c r="AW425" s="97"/>
      <c r="AX425" s="97"/>
    </row>
    <row r="426" ht="15.75" customHeight="1">
      <c r="A426" s="239" t="s">
        <v>217</v>
      </c>
      <c r="B426" s="218" t="s">
        <v>3754</v>
      </c>
      <c r="C426" s="76" t="s">
        <v>5315</v>
      </c>
      <c r="D426" s="76" t="s">
        <v>5316</v>
      </c>
      <c r="E426" s="117" t="s">
        <v>5317</v>
      </c>
      <c r="F426" s="76"/>
      <c r="G426" s="76"/>
      <c r="H426" s="76"/>
      <c r="I426" s="209"/>
      <c r="J426" s="209"/>
      <c r="K426" s="210"/>
      <c r="L426" s="210"/>
      <c r="M426" s="209"/>
      <c r="N426" s="209"/>
      <c r="O426" s="239" t="s">
        <v>5318</v>
      </c>
      <c r="P426" s="209"/>
      <c r="Q426" s="239" t="s">
        <v>184</v>
      </c>
      <c r="R426" s="209"/>
      <c r="S426" s="209"/>
      <c r="T426" s="209"/>
      <c r="U426" s="209"/>
      <c r="V426" s="209"/>
      <c r="W426" s="209"/>
      <c r="X426" s="209"/>
      <c r="Y426" s="209"/>
      <c r="Z426" s="209"/>
      <c r="AA426" s="209"/>
      <c r="AB426" s="209"/>
      <c r="AC426" s="209"/>
      <c r="AD426" s="97"/>
      <c r="AE426" s="97"/>
      <c r="AF426" s="97"/>
      <c r="AG426" s="97"/>
      <c r="AH426" s="97"/>
      <c r="AI426" s="97"/>
      <c r="AJ426" s="97"/>
      <c r="AK426" s="97"/>
      <c r="AL426" s="97"/>
      <c r="AM426" s="97"/>
      <c r="AN426" s="97"/>
      <c r="AO426" s="97"/>
      <c r="AP426" s="97"/>
      <c r="AQ426" s="97"/>
      <c r="AR426" s="97"/>
      <c r="AS426" s="97"/>
      <c r="AT426" s="97"/>
      <c r="AU426" s="97"/>
      <c r="AV426" s="97"/>
      <c r="AW426" s="97"/>
      <c r="AX426" s="97"/>
    </row>
    <row r="427" ht="15.75" customHeight="1">
      <c r="A427" s="170" t="s">
        <v>238</v>
      </c>
      <c r="B427" s="218" t="s">
        <v>3769</v>
      </c>
      <c r="C427" s="76" t="s">
        <v>5326</v>
      </c>
      <c r="D427" s="76" t="s">
        <v>5327</v>
      </c>
      <c r="E427" s="117" t="s">
        <v>5328</v>
      </c>
      <c r="F427" s="76"/>
      <c r="G427" s="76"/>
      <c r="H427" s="76"/>
      <c r="I427" s="209"/>
      <c r="J427" s="209"/>
      <c r="K427" s="210"/>
      <c r="L427" s="210"/>
      <c r="M427" s="209"/>
      <c r="N427" s="209"/>
      <c r="O427" s="184" t="s">
        <v>5329</v>
      </c>
      <c r="P427" s="209"/>
      <c r="Q427" s="209" t="s">
        <v>184</v>
      </c>
      <c r="R427" s="209"/>
      <c r="S427" s="209"/>
      <c r="T427" s="209"/>
      <c r="U427" s="209"/>
      <c r="V427" s="209"/>
      <c r="W427" s="209"/>
      <c r="X427" s="209"/>
      <c r="Y427" s="209"/>
      <c r="Z427" s="209"/>
      <c r="AA427" s="209"/>
      <c r="AB427" s="209"/>
      <c r="AC427" s="209"/>
      <c r="AD427" s="97"/>
      <c r="AE427" s="97"/>
      <c r="AF427" s="97"/>
      <c r="AG427" s="97"/>
      <c r="AH427" s="97"/>
      <c r="AI427" s="97"/>
      <c r="AJ427" s="97"/>
      <c r="AK427" s="97"/>
      <c r="AL427" s="97"/>
      <c r="AM427" s="97"/>
      <c r="AN427" s="97"/>
      <c r="AO427" s="97"/>
      <c r="AP427" s="97"/>
      <c r="AQ427" s="97"/>
      <c r="AR427" s="97"/>
      <c r="AS427" s="97"/>
      <c r="AT427" s="97"/>
      <c r="AU427" s="97"/>
      <c r="AV427" s="97"/>
      <c r="AW427" s="97"/>
      <c r="AX427" s="97"/>
    </row>
    <row r="428" ht="15.75" customHeight="1">
      <c r="A428" s="167" t="s">
        <v>842</v>
      </c>
      <c r="B428" s="256" t="s">
        <v>3701</v>
      </c>
      <c r="C428" s="169" t="s">
        <v>3777</v>
      </c>
      <c r="D428" s="169"/>
      <c r="E428" s="169"/>
      <c r="F428" s="205"/>
      <c r="G428" s="205"/>
      <c r="H428" s="205"/>
      <c r="I428" s="205"/>
      <c r="J428" s="205"/>
      <c r="K428" s="205"/>
      <c r="L428" s="205"/>
      <c r="M428" s="205"/>
      <c r="N428" s="205"/>
      <c r="O428" s="205"/>
      <c r="P428" s="205"/>
      <c r="Q428" s="205"/>
      <c r="R428" s="205"/>
      <c r="S428" s="205"/>
      <c r="T428" s="205"/>
      <c r="U428" s="205"/>
      <c r="V428" s="205"/>
      <c r="W428" s="205"/>
      <c r="X428" s="205"/>
      <c r="Y428" s="205"/>
      <c r="Z428" s="205"/>
      <c r="AA428" s="205"/>
      <c r="AB428" s="205"/>
      <c r="AC428" s="205"/>
      <c r="AD428" s="97"/>
      <c r="AE428" s="97"/>
      <c r="AF428" s="97"/>
      <c r="AG428" s="97"/>
      <c r="AH428" s="97"/>
      <c r="AI428" s="97"/>
      <c r="AJ428" s="97"/>
      <c r="AK428" s="97"/>
      <c r="AL428" s="97"/>
      <c r="AM428" s="97"/>
      <c r="AN428" s="97"/>
      <c r="AO428" s="97"/>
      <c r="AP428" s="97"/>
      <c r="AQ428" s="97"/>
      <c r="AR428" s="97"/>
      <c r="AS428" s="97"/>
      <c r="AT428" s="97"/>
      <c r="AU428" s="97"/>
      <c r="AV428" s="97"/>
      <c r="AW428" s="97"/>
      <c r="AX428" s="97"/>
    </row>
    <row r="429" ht="15.75" customHeight="1">
      <c r="A429" s="131" t="s">
        <v>150</v>
      </c>
      <c r="B429" s="164" t="s">
        <v>3787</v>
      </c>
      <c r="C429" s="133"/>
      <c r="D429" s="133"/>
      <c r="E429" s="133"/>
      <c r="F429" s="134"/>
      <c r="G429" s="134"/>
      <c r="H429" s="134"/>
      <c r="I429" s="134"/>
      <c r="J429" s="134"/>
      <c r="K429" s="134"/>
      <c r="L429" s="134"/>
      <c r="M429" s="134"/>
      <c r="N429" s="134"/>
      <c r="O429" s="134"/>
      <c r="P429" s="134"/>
      <c r="Q429" s="134"/>
      <c r="R429" s="134"/>
      <c r="S429" s="134"/>
      <c r="T429" s="291" t="s">
        <v>156</v>
      </c>
      <c r="U429" s="134"/>
      <c r="V429" s="134"/>
      <c r="W429" s="134"/>
      <c r="X429" s="134"/>
      <c r="Y429" s="134"/>
      <c r="Z429" s="134"/>
      <c r="AA429" s="134"/>
      <c r="AB429" s="134"/>
      <c r="AC429" s="134"/>
      <c r="AD429" s="97"/>
      <c r="AE429" s="97"/>
      <c r="AF429" s="97"/>
      <c r="AG429" s="97"/>
      <c r="AH429" s="97"/>
      <c r="AI429" s="97"/>
      <c r="AJ429" s="97"/>
      <c r="AK429" s="97"/>
      <c r="AL429" s="97"/>
      <c r="AM429" s="97"/>
      <c r="AN429" s="97"/>
      <c r="AO429" s="97"/>
      <c r="AP429" s="97"/>
      <c r="AQ429" s="97"/>
      <c r="AR429" s="97"/>
      <c r="AS429" s="97"/>
      <c r="AT429" s="97"/>
      <c r="AU429" s="97"/>
      <c r="AV429" s="97"/>
      <c r="AW429" s="97"/>
      <c r="AX429" s="97"/>
    </row>
    <row r="430" ht="15.75" customHeight="1">
      <c r="A430" s="80" t="s">
        <v>115</v>
      </c>
      <c r="B430" s="81" t="s">
        <v>3791</v>
      </c>
      <c r="C430" s="82"/>
      <c r="D430" s="83"/>
      <c r="E430" s="83"/>
      <c r="F430" s="84"/>
      <c r="G430" s="84"/>
      <c r="H430" s="84"/>
      <c r="I430" s="86"/>
      <c r="J430" s="86"/>
      <c r="K430" s="84"/>
      <c r="L430" s="86"/>
      <c r="M430" s="86"/>
      <c r="N430" s="86"/>
      <c r="O430" s="86"/>
      <c r="P430" s="84"/>
      <c r="Q430" s="84"/>
      <c r="R430" s="84"/>
      <c r="S430" s="84"/>
      <c r="T430" s="80" t="s">
        <v>5342</v>
      </c>
      <c r="U430" s="84"/>
      <c r="V430" s="84"/>
      <c r="W430" s="84"/>
      <c r="X430" s="84"/>
      <c r="Y430" s="84"/>
      <c r="Z430" s="84"/>
      <c r="AA430" s="84"/>
      <c r="AB430" s="84"/>
      <c r="AC430" s="84"/>
      <c r="AD430" s="97"/>
      <c r="AE430" s="97"/>
      <c r="AF430" s="97"/>
      <c r="AG430" s="97"/>
      <c r="AH430" s="97"/>
      <c r="AI430" s="97"/>
      <c r="AJ430" s="97"/>
      <c r="AK430" s="97"/>
      <c r="AL430" s="97"/>
      <c r="AM430" s="97"/>
      <c r="AN430" s="97"/>
      <c r="AO430" s="97"/>
      <c r="AP430" s="97"/>
      <c r="AQ430" s="97"/>
      <c r="AR430" s="97"/>
      <c r="AS430" s="97"/>
      <c r="AT430" s="97"/>
      <c r="AU430" s="97"/>
      <c r="AV430" s="97"/>
      <c r="AW430" s="97"/>
      <c r="AX430" s="97"/>
    </row>
    <row r="431" ht="15.75" customHeight="1">
      <c r="A431" s="114" t="s">
        <v>680</v>
      </c>
      <c r="B431" s="165" t="s">
        <v>3807</v>
      </c>
      <c r="C431" s="76" t="s">
        <v>5343</v>
      </c>
      <c r="D431" s="76" t="s">
        <v>5344</v>
      </c>
      <c r="E431" s="117" t="s">
        <v>5345</v>
      </c>
      <c r="F431" s="76"/>
      <c r="G431" s="76"/>
      <c r="H431" s="76"/>
      <c r="I431" s="118"/>
      <c r="J431" s="120"/>
      <c r="K431" s="118"/>
      <c r="L431" s="118"/>
      <c r="M431" s="118"/>
      <c r="N431" s="118"/>
      <c r="O431" s="248" t="s">
        <v>5171</v>
      </c>
      <c r="P431" s="118"/>
      <c r="Q431" s="118" t="s">
        <v>184</v>
      </c>
      <c r="R431" s="118"/>
      <c r="S431" s="118"/>
      <c r="T431" s="118"/>
      <c r="U431" s="118"/>
      <c r="V431" s="118"/>
      <c r="W431" s="118"/>
      <c r="X431" s="118"/>
      <c r="Y431" s="118"/>
      <c r="Z431" s="118"/>
      <c r="AA431" s="118"/>
      <c r="AB431" s="118"/>
      <c r="AC431" s="118"/>
      <c r="AD431" s="97"/>
      <c r="AE431" s="97"/>
      <c r="AF431" s="97"/>
      <c r="AG431" s="97"/>
      <c r="AH431" s="97"/>
      <c r="AI431" s="97"/>
      <c r="AJ431" s="97"/>
      <c r="AK431" s="97"/>
      <c r="AL431" s="97"/>
      <c r="AM431" s="97"/>
      <c r="AN431" s="97"/>
      <c r="AO431" s="97"/>
      <c r="AP431" s="97"/>
      <c r="AQ431" s="97"/>
      <c r="AR431" s="97"/>
      <c r="AS431" s="97"/>
      <c r="AT431" s="97"/>
      <c r="AU431" s="97"/>
      <c r="AV431" s="97"/>
      <c r="AW431" s="97"/>
      <c r="AX431" s="97"/>
    </row>
    <row r="432" ht="15.75" customHeight="1">
      <c r="A432" s="184" t="s">
        <v>3649</v>
      </c>
      <c r="B432" s="163" t="s">
        <v>3819</v>
      </c>
      <c r="C432" s="76" t="s">
        <v>5346</v>
      </c>
      <c r="D432" s="76" t="s">
        <v>5347</v>
      </c>
      <c r="E432" s="117" t="s">
        <v>5348</v>
      </c>
      <c r="F432" s="76"/>
      <c r="G432" s="76"/>
      <c r="H432" s="76"/>
      <c r="I432" s="118"/>
      <c r="J432" s="120"/>
      <c r="K432" s="118" t="s">
        <v>5201</v>
      </c>
      <c r="L432" s="118"/>
      <c r="M432" s="118"/>
      <c r="N432" s="118"/>
      <c r="O432" s="121" t="s">
        <v>5349</v>
      </c>
      <c r="P432" s="118"/>
      <c r="Q432" s="121" t="s">
        <v>184</v>
      </c>
      <c r="R432" s="118"/>
      <c r="S432" s="118"/>
      <c r="T432" s="118"/>
      <c r="U432" s="118"/>
      <c r="V432" s="118"/>
      <c r="W432" s="118"/>
      <c r="X432" s="118"/>
      <c r="Y432" s="121" t="s">
        <v>5204</v>
      </c>
      <c r="Z432" s="118"/>
      <c r="AA432" s="118"/>
      <c r="AB432" s="118"/>
      <c r="AC432" s="118"/>
      <c r="AD432" s="97"/>
      <c r="AE432" s="97"/>
      <c r="AF432" s="97"/>
      <c r="AG432" s="97"/>
      <c r="AH432" s="97"/>
      <c r="AI432" s="97"/>
      <c r="AJ432" s="97"/>
      <c r="AK432" s="97"/>
      <c r="AL432" s="97"/>
      <c r="AM432" s="97"/>
      <c r="AN432" s="97"/>
      <c r="AO432" s="97"/>
      <c r="AP432" s="97"/>
      <c r="AQ432" s="97"/>
      <c r="AR432" s="97"/>
      <c r="AS432" s="97"/>
      <c r="AT432" s="97"/>
      <c r="AU432" s="97"/>
      <c r="AV432" s="97"/>
      <c r="AW432" s="97"/>
      <c r="AX432" s="97"/>
    </row>
    <row r="433" ht="15.75" customHeight="1">
      <c r="A433" s="121" t="s">
        <v>217</v>
      </c>
      <c r="B433" s="163" t="s">
        <v>3827</v>
      </c>
      <c r="C433" s="76" t="s">
        <v>3910</v>
      </c>
      <c r="D433" s="76" t="s">
        <v>3911</v>
      </c>
      <c r="E433" s="117" t="s">
        <v>3912</v>
      </c>
      <c r="F433" s="76"/>
      <c r="G433" s="76"/>
      <c r="H433" s="76"/>
      <c r="I433" s="118"/>
      <c r="J433" s="120"/>
      <c r="K433" s="118"/>
      <c r="L433" s="118"/>
      <c r="M433" s="118"/>
      <c r="N433" s="118"/>
      <c r="O433" s="239" t="s">
        <v>5350</v>
      </c>
      <c r="P433" s="118"/>
      <c r="Q433" s="121" t="s">
        <v>184</v>
      </c>
      <c r="R433" s="118"/>
      <c r="S433" s="118"/>
      <c r="T433" s="118"/>
      <c r="U433" s="121"/>
      <c r="V433" s="118"/>
      <c r="W433" s="118"/>
      <c r="X433" s="118"/>
      <c r="Y433" s="118"/>
      <c r="Z433" s="118"/>
      <c r="AA433" s="118"/>
      <c r="AB433" s="118"/>
      <c r="AC433" s="118"/>
      <c r="AD433" s="97"/>
      <c r="AE433" s="97"/>
      <c r="AF433" s="97"/>
      <c r="AG433" s="97"/>
      <c r="AH433" s="97"/>
      <c r="AI433" s="97"/>
      <c r="AJ433" s="97"/>
      <c r="AK433" s="97"/>
      <c r="AL433" s="97"/>
      <c r="AM433" s="97"/>
      <c r="AN433" s="97"/>
      <c r="AO433" s="97"/>
      <c r="AP433" s="97"/>
      <c r="AQ433" s="97"/>
      <c r="AR433" s="97"/>
      <c r="AS433" s="97"/>
      <c r="AT433" s="97"/>
      <c r="AU433" s="97"/>
      <c r="AV433" s="97"/>
      <c r="AW433" s="97"/>
      <c r="AX433" s="97"/>
    </row>
    <row r="434" ht="15.75" customHeight="1">
      <c r="A434" s="121" t="s">
        <v>807</v>
      </c>
      <c r="B434" s="157" t="s">
        <v>3832</v>
      </c>
      <c r="C434" s="76" t="s">
        <v>3834</v>
      </c>
      <c r="D434" s="76"/>
      <c r="E434" s="117"/>
      <c r="F434" s="118"/>
      <c r="G434" s="118"/>
      <c r="H434" s="118"/>
      <c r="I434" s="118"/>
      <c r="J434" s="120"/>
      <c r="K434" s="118"/>
      <c r="L434" s="118"/>
      <c r="M434" s="118"/>
      <c r="N434" s="118"/>
      <c r="O434" s="121" t="s">
        <v>5349</v>
      </c>
      <c r="P434" s="118"/>
      <c r="Q434" s="118"/>
      <c r="R434" s="118"/>
      <c r="S434" s="118"/>
      <c r="T434" s="118"/>
      <c r="U434" s="121" t="s">
        <v>5351</v>
      </c>
      <c r="V434" s="118"/>
      <c r="W434" s="118"/>
      <c r="X434" s="118"/>
      <c r="Y434" s="118"/>
      <c r="Z434" s="118"/>
      <c r="AA434" s="118"/>
      <c r="AB434" s="118"/>
      <c r="AC434" s="118"/>
      <c r="AD434" s="97"/>
      <c r="AE434" s="97"/>
      <c r="AF434" s="97"/>
      <c r="AG434" s="97"/>
      <c r="AH434" s="97"/>
      <c r="AI434" s="97"/>
      <c r="AJ434" s="97"/>
      <c r="AK434" s="97"/>
      <c r="AL434" s="97"/>
      <c r="AM434" s="97"/>
      <c r="AN434" s="97"/>
      <c r="AO434" s="97"/>
      <c r="AP434" s="97"/>
      <c r="AQ434" s="97"/>
      <c r="AR434" s="97"/>
      <c r="AS434" s="97"/>
      <c r="AT434" s="97"/>
      <c r="AU434" s="97"/>
      <c r="AV434" s="97"/>
      <c r="AW434" s="97"/>
      <c r="AX434" s="97"/>
    </row>
    <row r="435" ht="15.75" customHeight="1">
      <c r="A435" s="121" t="s">
        <v>115</v>
      </c>
      <c r="B435" s="157" t="s">
        <v>3840</v>
      </c>
      <c r="C435" s="76"/>
      <c r="D435" s="76"/>
      <c r="E435" s="117"/>
      <c r="F435" s="118"/>
      <c r="G435" s="118"/>
      <c r="H435" s="118"/>
      <c r="I435" s="118"/>
      <c r="J435" s="120"/>
      <c r="K435" s="118"/>
      <c r="L435" s="118"/>
      <c r="M435" s="118"/>
      <c r="N435" s="118"/>
      <c r="O435" s="121"/>
      <c r="P435" s="118"/>
      <c r="Q435" s="118"/>
      <c r="R435" s="118"/>
      <c r="S435" s="118"/>
      <c r="T435" s="151" t="s">
        <v>1471</v>
      </c>
      <c r="U435" s="118"/>
      <c r="V435" s="118"/>
      <c r="W435" s="118"/>
      <c r="X435" s="118"/>
      <c r="Y435" s="118"/>
      <c r="Z435" s="118"/>
      <c r="AA435" s="118"/>
      <c r="AB435" s="118"/>
      <c r="AC435" s="118"/>
      <c r="AD435" s="97"/>
      <c r="AE435" s="97"/>
      <c r="AF435" s="97"/>
      <c r="AG435" s="97"/>
      <c r="AH435" s="97"/>
      <c r="AI435" s="97"/>
      <c r="AJ435" s="97"/>
      <c r="AK435" s="97"/>
      <c r="AL435" s="97"/>
      <c r="AM435" s="97"/>
      <c r="AN435" s="97"/>
      <c r="AO435" s="97"/>
      <c r="AP435" s="97"/>
      <c r="AQ435" s="97"/>
      <c r="AR435" s="97"/>
      <c r="AS435" s="97"/>
      <c r="AT435" s="97"/>
      <c r="AU435" s="97"/>
      <c r="AV435" s="97"/>
      <c r="AW435" s="97"/>
      <c r="AX435" s="97"/>
    </row>
    <row r="436" ht="15.75" customHeight="1">
      <c r="A436" s="121" t="s">
        <v>115</v>
      </c>
      <c r="B436" s="157" t="s">
        <v>3884</v>
      </c>
      <c r="C436" s="76"/>
      <c r="D436" s="76"/>
      <c r="E436" s="117"/>
      <c r="F436" s="118"/>
      <c r="G436" s="118"/>
      <c r="H436" s="118"/>
      <c r="I436" s="118"/>
      <c r="J436" s="120"/>
      <c r="K436" s="118"/>
      <c r="L436" s="118"/>
      <c r="M436" s="118"/>
      <c r="N436" s="118"/>
      <c r="O436" s="121"/>
      <c r="P436" s="118"/>
      <c r="Q436" s="118"/>
      <c r="R436" s="118"/>
      <c r="S436" s="118"/>
      <c r="T436" s="151" t="s">
        <v>5352</v>
      </c>
      <c r="U436" s="118"/>
      <c r="V436" s="118"/>
      <c r="W436" s="118"/>
      <c r="X436" s="118"/>
      <c r="Y436" s="118"/>
      <c r="Z436" s="118"/>
      <c r="AA436" s="118"/>
      <c r="AB436" s="118"/>
      <c r="AC436" s="118"/>
      <c r="AD436" s="97"/>
      <c r="AE436" s="97"/>
      <c r="AF436" s="97"/>
      <c r="AG436" s="97"/>
      <c r="AH436" s="97"/>
      <c r="AI436" s="97"/>
      <c r="AJ436" s="97"/>
      <c r="AK436" s="97"/>
      <c r="AL436" s="97"/>
      <c r="AM436" s="97"/>
      <c r="AN436" s="97"/>
      <c r="AO436" s="97"/>
      <c r="AP436" s="97"/>
      <c r="AQ436" s="97"/>
      <c r="AR436" s="97"/>
      <c r="AS436" s="97"/>
      <c r="AT436" s="97"/>
      <c r="AU436" s="97"/>
      <c r="AV436" s="97"/>
      <c r="AW436" s="97"/>
      <c r="AX436" s="97"/>
    </row>
    <row r="437" ht="15.75" customHeight="1">
      <c r="A437" s="131" t="s">
        <v>115</v>
      </c>
      <c r="B437" s="151" t="s">
        <v>3892</v>
      </c>
      <c r="C437" s="133" t="s">
        <v>3723</v>
      </c>
      <c r="D437" s="133"/>
      <c r="E437" s="133"/>
      <c r="F437" s="134"/>
      <c r="G437" s="134"/>
      <c r="H437" s="134"/>
      <c r="I437" s="134"/>
      <c r="J437" s="134"/>
      <c r="K437" s="134"/>
      <c r="L437" s="134"/>
      <c r="M437" s="134"/>
      <c r="N437" s="134"/>
      <c r="O437" s="134"/>
      <c r="P437" s="134"/>
      <c r="Q437" s="134"/>
      <c r="R437" s="134"/>
      <c r="S437" s="134"/>
      <c r="T437" s="151" t="s">
        <v>5353</v>
      </c>
      <c r="U437" s="134"/>
      <c r="V437" s="134"/>
      <c r="W437" s="134"/>
      <c r="X437" s="134"/>
      <c r="Y437" s="134"/>
      <c r="Z437" s="134"/>
      <c r="AA437" s="134"/>
      <c r="AB437" s="134"/>
      <c r="AC437" s="134"/>
      <c r="AD437" s="97"/>
      <c r="AE437" s="97"/>
      <c r="AF437" s="97"/>
      <c r="AG437" s="97"/>
      <c r="AH437" s="97"/>
      <c r="AI437" s="97"/>
      <c r="AJ437" s="97"/>
      <c r="AK437" s="97"/>
      <c r="AL437" s="97"/>
      <c r="AM437" s="97"/>
      <c r="AN437" s="97"/>
      <c r="AO437" s="97"/>
      <c r="AP437" s="97"/>
      <c r="AQ437" s="97"/>
      <c r="AR437" s="97"/>
      <c r="AS437" s="97"/>
      <c r="AT437" s="97"/>
      <c r="AU437" s="97"/>
      <c r="AV437" s="97"/>
      <c r="AW437" s="97"/>
      <c r="AX437" s="97"/>
    </row>
    <row r="438" ht="15.75" customHeight="1">
      <c r="A438" s="121" t="s">
        <v>3730</v>
      </c>
      <c r="B438" s="122" t="s">
        <v>3896</v>
      </c>
      <c r="C438" s="76" t="s">
        <v>5354</v>
      </c>
      <c r="D438" s="76" t="s">
        <v>5355</v>
      </c>
      <c r="E438" s="117" t="s">
        <v>5356</v>
      </c>
      <c r="F438" s="76"/>
      <c r="G438" s="76"/>
      <c r="H438" s="76"/>
      <c r="I438" s="118"/>
      <c r="J438" s="122" t="s">
        <v>5357</v>
      </c>
      <c r="K438" s="118"/>
      <c r="L438" s="118"/>
      <c r="M438" s="118"/>
      <c r="N438" s="118"/>
      <c r="O438" s="121" t="s">
        <v>5358</v>
      </c>
      <c r="P438" s="118"/>
      <c r="Q438" s="118" t="s">
        <v>184</v>
      </c>
      <c r="R438" s="118"/>
      <c r="S438" s="118"/>
      <c r="T438" s="118"/>
      <c r="U438" s="118"/>
      <c r="V438" s="118"/>
      <c r="W438" s="118"/>
      <c r="X438" s="118"/>
      <c r="Y438" s="118"/>
      <c r="Z438" s="118"/>
      <c r="AA438" s="118"/>
      <c r="AB438" s="118"/>
      <c r="AC438" s="118"/>
      <c r="AD438" s="97"/>
      <c r="AE438" s="97"/>
      <c r="AF438" s="97"/>
      <c r="AG438" s="97"/>
      <c r="AH438" s="97"/>
      <c r="AI438" s="97"/>
      <c r="AJ438" s="97"/>
      <c r="AK438" s="97"/>
      <c r="AL438" s="97"/>
      <c r="AM438" s="97"/>
      <c r="AN438" s="97"/>
      <c r="AO438" s="97"/>
      <c r="AP438" s="97"/>
      <c r="AQ438" s="97"/>
      <c r="AR438" s="97"/>
      <c r="AS438" s="97"/>
      <c r="AT438" s="97"/>
      <c r="AU438" s="97"/>
      <c r="AV438" s="97"/>
      <c r="AW438" s="97"/>
      <c r="AX438" s="97"/>
    </row>
    <row r="439" ht="15.75" customHeight="1">
      <c r="A439" s="162" t="s">
        <v>217</v>
      </c>
      <c r="B439" s="257" t="s">
        <v>3908</v>
      </c>
      <c r="C439" s="76" t="s">
        <v>3915</v>
      </c>
      <c r="D439" s="76" t="s">
        <v>3916</v>
      </c>
      <c r="E439" s="117" t="s">
        <v>3917</v>
      </c>
      <c r="F439" s="76"/>
      <c r="G439" s="76"/>
      <c r="H439" s="76"/>
      <c r="I439" s="182"/>
      <c r="J439" s="183"/>
      <c r="K439" s="182"/>
      <c r="L439" s="182"/>
      <c r="M439" s="182"/>
      <c r="N439" s="182"/>
      <c r="O439" s="184" t="s">
        <v>5359</v>
      </c>
      <c r="P439" s="182"/>
      <c r="Q439" s="295" t="s">
        <v>184</v>
      </c>
      <c r="R439" s="182"/>
      <c r="S439" s="182"/>
      <c r="T439" s="182"/>
      <c r="U439" s="182"/>
      <c r="V439" s="182"/>
      <c r="W439" s="182"/>
      <c r="X439" s="182"/>
      <c r="Y439" s="182"/>
      <c r="Z439" s="182"/>
      <c r="AA439" s="182"/>
      <c r="AB439" s="182"/>
      <c r="AC439" s="182"/>
      <c r="AD439" s="97"/>
      <c r="AE439" s="97"/>
      <c r="AF439" s="97"/>
      <c r="AG439" s="97"/>
      <c r="AH439" s="97"/>
      <c r="AI439" s="97"/>
      <c r="AJ439" s="97"/>
      <c r="AK439" s="97"/>
      <c r="AL439" s="97"/>
      <c r="AM439" s="97"/>
      <c r="AN439" s="97"/>
      <c r="AO439" s="97"/>
      <c r="AP439" s="97"/>
      <c r="AQ439" s="97"/>
      <c r="AR439" s="97"/>
      <c r="AS439" s="97"/>
      <c r="AT439" s="97"/>
      <c r="AU439" s="97"/>
      <c r="AV439" s="97"/>
      <c r="AW439" s="97"/>
      <c r="AX439" s="97"/>
    </row>
    <row r="440" ht="15.75" customHeight="1">
      <c r="A440" s="121" t="s">
        <v>3742</v>
      </c>
      <c r="B440" s="218" t="s">
        <v>3913</v>
      </c>
      <c r="C440" s="76" t="e">
        <v>#N/A</v>
      </c>
      <c r="D440" s="76" t="e">
        <v>#N/A</v>
      </c>
      <c r="E440" s="117" t="e">
        <v>#N/A</v>
      </c>
      <c r="F440" s="76" t="e">
        <v>#N/A</v>
      </c>
      <c r="G440" s="76" t="e">
        <v>#N/A</v>
      </c>
      <c r="H440" s="76" t="e">
        <v>#N/A</v>
      </c>
      <c r="I440" s="209"/>
      <c r="J440" s="209"/>
      <c r="K440" s="210"/>
      <c r="L440" s="210"/>
      <c r="M440" s="209"/>
      <c r="N440" s="209"/>
      <c r="O440" s="239" t="s">
        <v>5360</v>
      </c>
      <c r="P440" s="209"/>
      <c r="Q440" s="182" t="s">
        <v>184</v>
      </c>
      <c r="R440" s="209"/>
      <c r="S440" s="209"/>
      <c r="T440" s="209"/>
      <c r="U440" s="209"/>
      <c r="V440" s="209"/>
      <c r="W440" s="209"/>
      <c r="X440" s="209"/>
      <c r="Y440" s="209"/>
      <c r="Z440" s="209"/>
      <c r="AA440" s="209"/>
      <c r="AB440" s="209"/>
      <c r="AC440" s="209"/>
      <c r="AD440" s="97"/>
      <c r="AE440" s="97"/>
      <c r="AF440" s="97"/>
      <c r="AG440" s="97"/>
      <c r="AH440" s="97"/>
      <c r="AI440" s="97"/>
      <c r="AJ440" s="97"/>
      <c r="AK440" s="97"/>
      <c r="AL440" s="97"/>
      <c r="AM440" s="97"/>
      <c r="AN440" s="97"/>
      <c r="AO440" s="97"/>
      <c r="AP440" s="97"/>
      <c r="AQ440" s="97"/>
      <c r="AR440" s="97"/>
      <c r="AS440" s="97"/>
      <c r="AT440" s="97"/>
      <c r="AU440" s="97"/>
      <c r="AV440" s="97"/>
      <c r="AW440" s="97"/>
      <c r="AX440" s="97"/>
    </row>
    <row r="441" ht="15.75" customHeight="1">
      <c r="A441" s="239" t="s">
        <v>217</v>
      </c>
      <c r="B441" s="218" t="s">
        <v>3914</v>
      </c>
      <c r="C441" s="76" t="s">
        <v>5361</v>
      </c>
      <c r="D441" s="76" t="s">
        <v>5362</v>
      </c>
      <c r="E441" s="117" t="s">
        <v>5363</v>
      </c>
      <c r="F441" s="76"/>
      <c r="G441" s="76"/>
      <c r="H441" s="76"/>
      <c r="I441" s="209"/>
      <c r="J441" s="209"/>
      <c r="K441" s="210"/>
      <c r="L441" s="210"/>
      <c r="M441" s="209"/>
      <c r="N441" s="209"/>
      <c r="O441" s="239" t="s">
        <v>5364</v>
      </c>
      <c r="P441" s="209"/>
      <c r="Q441" s="295" t="s">
        <v>184</v>
      </c>
      <c r="R441" s="209"/>
      <c r="S441" s="209"/>
      <c r="T441" s="209"/>
      <c r="U441" s="209"/>
      <c r="V441" s="209"/>
      <c r="W441" s="209"/>
      <c r="X441" s="209"/>
      <c r="Y441" s="209"/>
      <c r="Z441" s="209"/>
      <c r="AA441" s="209"/>
      <c r="AB441" s="209"/>
      <c r="AC441" s="209"/>
      <c r="AD441" s="97"/>
      <c r="AE441" s="97"/>
      <c r="AF441" s="97"/>
      <c r="AG441" s="97"/>
      <c r="AH441" s="97"/>
      <c r="AI441" s="97"/>
      <c r="AJ441" s="97"/>
      <c r="AK441" s="97"/>
      <c r="AL441" s="97"/>
      <c r="AM441" s="97"/>
      <c r="AN441" s="97"/>
      <c r="AO441" s="97"/>
      <c r="AP441" s="97"/>
      <c r="AQ441" s="97"/>
      <c r="AR441" s="97"/>
      <c r="AS441" s="97"/>
      <c r="AT441" s="97"/>
      <c r="AU441" s="97"/>
      <c r="AV441" s="97"/>
      <c r="AW441" s="97"/>
      <c r="AX441" s="97"/>
    </row>
    <row r="442" ht="15.75" customHeight="1">
      <c r="A442" s="170" t="s">
        <v>238</v>
      </c>
      <c r="B442" s="171" t="s">
        <v>3921</v>
      </c>
      <c r="C442" s="76" t="s">
        <v>5365</v>
      </c>
      <c r="D442" s="76" t="s">
        <v>5366</v>
      </c>
      <c r="E442" s="117" t="s">
        <v>5367</v>
      </c>
      <c r="F442" s="76"/>
      <c r="G442" s="76"/>
      <c r="H442" s="76"/>
      <c r="I442" s="209"/>
      <c r="J442" s="209"/>
      <c r="K442" s="210" t="s">
        <v>1526</v>
      </c>
      <c r="L442" s="210"/>
      <c r="M442" s="209"/>
      <c r="N442" s="209"/>
      <c r="O442" s="239" t="s">
        <v>5368</v>
      </c>
      <c r="P442" s="209"/>
      <c r="Q442" s="209" t="s">
        <v>184</v>
      </c>
      <c r="R442" s="209"/>
      <c r="S442" s="209"/>
      <c r="T442" s="209"/>
      <c r="U442" s="209"/>
      <c r="V442" s="209"/>
      <c r="W442" s="209"/>
      <c r="X442" s="209"/>
      <c r="Y442" s="209"/>
      <c r="Z442" s="209"/>
      <c r="AA442" s="209"/>
      <c r="AB442" s="209"/>
      <c r="AC442" s="209"/>
      <c r="AD442" s="97"/>
      <c r="AE442" s="97"/>
      <c r="AF442" s="97"/>
      <c r="AG442" s="97"/>
      <c r="AH442" s="97"/>
      <c r="AI442" s="97"/>
      <c r="AJ442" s="97"/>
      <c r="AK442" s="97"/>
      <c r="AL442" s="97"/>
      <c r="AM442" s="97"/>
      <c r="AN442" s="97"/>
      <c r="AO442" s="97"/>
      <c r="AP442" s="97"/>
      <c r="AQ442" s="97"/>
      <c r="AR442" s="97"/>
      <c r="AS442" s="97"/>
      <c r="AT442" s="97"/>
      <c r="AU442" s="97"/>
      <c r="AV442" s="97"/>
      <c r="AW442" s="97"/>
      <c r="AX442" s="97"/>
    </row>
    <row r="443" ht="15.75" customHeight="1">
      <c r="A443" s="114" t="s">
        <v>3929</v>
      </c>
      <c r="B443" s="165" t="s">
        <v>3930</v>
      </c>
      <c r="C443" s="76" t="s">
        <v>5369</v>
      </c>
      <c r="D443" s="76" t="s">
        <v>5370</v>
      </c>
      <c r="E443" s="117" t="s">
        <v>5371</v>
      </c>
      <c r="F443" s="76"/>
      <c r="G443" s="76"/>
      <c r="H443" s="76"/>
      <c r="I443" s="118"/>
      <c r="J443" s="120"/>
      <c r="K443" s="118" t="s">
        <v>5201</v>
      </c>
      <c r="L443" s="118"/>
      <c r="M443" s="118"/>
      <c r="N443" s="118"/>
      <c r="O443" s="239" t="s">
        <v>5368</v>
      </c>
      <c r="P443" s="118"/>
      <c r="Q443" s="118" t="s">
        <v>184</v>
      </c>
      <c r="R443" s="118"/>
      <c r="S443" s="118"/>
      <c r="T443" s="118"/>
      <c r="U443" s="118"/>
      <c r="V443" s="118"/>
      <c r="W443" s="118"/>
      <c r="X443" s="118"/>
      <c r="Y443" s="118"/>
      <c r="Z443" s="118"/>
      <c r="AA443" s="118"/>
      <c r="AB443" s="118"/>
      <c r="AC443" s="118"/>
      <c r="AD443" s="97"/>
      <c r="AE443" s="97"/>
      <c r="AF443" s="97"/>
      <c r="AG443" s="97"/>
      <c r="AH443" s="97"/>
      <c r="AI443" s="97"/>
      <c r="AJ443" s="97"/>
      <c r="AK443" s="97"/>
      <c r="AL443" s="97"/>
      <c r="AM443" s="97"/>
      <c r="AN443" s="97"/>
      <c r="AO443" s="97"/>
      <c r="AP443" s="97"/>
      <c r="AQ443" s="97"/>
      <c r="AR443" s="97"/>
      <c r="AS443" s="97"/>
      <c r="AT443" s="97"/>
      <c r="AU443" s="97"/>
      <c r="AV443" s="97"/>
      <c r="AW443" s="97"/>
      <c r="AX443" s="97"/>
    </row>
    <row r="444" ht="15.75" customHeight="1">
      <c r="A444" s="162" t="s">
        <v>217</v>
      </c>
      <c r="B444" s="166" t="s">
        <v>3940</v>
      </c>
      <c r="C444" s="76" t="s">
        <v>5372</v>
      </c>
      <c r="D444" s="76" t="s">
        <v>5373</v>
      </c>
      <c r="E444" s="117" t="s">
        <v>5374</v>
      </c>
      <c r="F444" s="76"/>
      <c r="G444" s="76"/>
      <c r="H444" s="76"/>
      <c r="I444" s="182"/>
      <c r="J444" s="183"/>
      <c r="K444" s="182"/>
      <c r="L444" s="182"/>
      <c r="M444" s="182"/>
      <c r="N444" s="182"/>
      <c r="O444" s="184" t="s">
        <v>5375</v>
      </c>
      <c r="P444" s="182"/>
      <c r="Q444" s="182" t="s">
        <v>184</v>
      </c>
      <c r="R444" s="182"/>
      <c r="S444" s="182"/>
      <c r="T444" s="182"/>
      <c r="U444" s="182"/>
      <c r="V444" s="182"/>
      <c r="W444" s="182"/>
      <c r="X444" s="182"/>
      <c r="Y444" s="182"/>
      <c r="Z444" s="182"/>
      <c r="AA444" s="182"/>
      <c r="AB444" s="182"/>
      <c r="AC444" s="182"/>
      <c r="AD444" s="97"/>
      <c r="AE444" s="97"/>
      <c r="AF444" s="97"/>
      <c r="AG444" s="97"/>
      <c r="AH444" s="97"/>
      <c r="AI444" s="97"/>
      <c r="AJ444" s="97"/>
      <c r="AK444" s="97"/>
      <c r="AL444" s="97"/>
      <c r="AM444" s="97"/>
      <c r="AN444" s="97"/>
      <c r="AO444" s="97"/>
      <c r="AP444" s="97"/>
      <c r="AQ444" s="97"/>
      <c r="AR444" s="97"/>
      <c r="AS444" s="97"/>
      <c r="AT444" s="97"/>
      <c r="AU444" s="97"/>
      <c r="AV444" s="97"/>
      <c r="AW444" s="97"/>
      <c r="AX444" s="97"/>
    </row>
    <row r="445" ht="15.75" customHeight="1">
      <c r="A445" s="121" t="s">
        <v>842</v>
      </c>
      <c r="B445" s="157" t="s">
        <v>3832</v>
      </c>
      <c r="C445" s="76"/>
      <c r="D445" s="76"/>
      <c r="E445" s="117"/>
      <c r="F445" s="118"/>
      <c r="G445" s="118"/>
      <c r="H445" s="118"/>
      <c r="I445" s="118"/>
      <c r="J445" s="120"/>
      <c r="K445" s="118"/>
      <c r="L445" s="118"/>
      <c r="M445" s="118"/>
      <c r="N445" s="118"/>
      <c r="O445" s="121"/>
      <c r="P445" s="118"/>
      <c r="Q445" s="118"/>
      <c r="R445" s="118"/>
      <c r="S445" s="118"/>
      <c r="T445" s="118"/>
      <c r="U445" s="118"/>
      <c r="V445" s="118"/>
      <c r="W445" s="118"/>
      <c r="X445" s="118"/>
      <c r="Y445" s="118"/>
      <c r="Z445" s="118"/>
      <c r="AA445" s="118"/>
      <c r="AB445" s="118"/>
      <c r="AC445" s="118"/>
      <c r="AD445" s="97"/>
      <c r="AE445" s="97"/>
      <c r="AF445" s="97"/>
      <c r="AG445" s="97"/>
      <c r="AH445" s="97"/>
      <c r="AI445" s="97"/>
      <c r="AJ445" s="97"/>
      <c r="AK445" s="97"/>
      <c r="AL445" s="97"/>
      <c r="AM445" s="97"/>
      <c r="AN445" s="97"/>
      <c r="AO445" s="97"/>
      <c r="AP445" s="97"/>
      <c r="AQ445" s="97"/>
      <c r="AR445" s="97"/>
      <c r="AS445" s="97"/>
      <c r="AT445" s="97"/>
      <c r="AU445" s="97"/>
      <c r="AV445" s="97"/>
      <c r="AW445" s="97"/>
      <c r="AX445" s="97"/>
    </row>
    <row r="446" ht="15.75" customHeight="1">
      <c r="A446" s="256" t="s">
        <v>343</v>
      </c>
      <c r="B446" s="169" t="s">
        <v>3626</v>
      </c>
      <c r="C446" s="169" t="s">
        <v>3627</v>
      </c>
      <c r="D446" s="169"/>
      <c r="E446" s="169"/>
      <c r="F446" s="205"/>
      <c r="G446" s="205"/>
      <c r="H446" s="205"/>
      <c r="I446" s="205"/>
      <c r="J446" s="205"/>
      <c r="K446" s="205"/>
      <c r="L446" s="205"/>
      <c r="M446" s="205"/>
      <c r="N446" s="205"/>
      <c r="O446" s="205"/>
      <c r="P446" s="205"/>
      <c r="Q446" s="205"/>
      <c r="R446" s="205"/>
      <c r="S446" s="205"/>
      <c r="T446" s="205"/>
      <c r="U446" s="205"/>
      <c r="V446" s="205"/>
      <c r="W446" s="205"/>
      <c r="X446" s="205"/>
      <c r="Y446" s="205"/>
      <c r="Z446" s="205"/>
      <c r="AA446" s="205"/>
      <c r="AB446" s="205"/>
      <c r="AC446" s="205"/>
      <c r="AD446" s="97"/>
      <c r="AE446" s="97"/>
      <c r="AF446" s="97"/>
      <c r="AG446" s="97"/>
      <c r="AH446" s="97"/>
      <c r="AI446" s="97"/>
      <c r="AJ446" s="97"/>
      <c r="AK446" s="97"/>
      <c r="AL446" s="97"/>
      <c r="AM446" s="97"/>
      <c r="AN446" s="97"/>
      <c r="AO446" s="97"/>
      <c r="AP446" s="97"/>
      <c r="AQ446" s="97"/>
      <c r="AR446" s="97"/>
      <c r="AS446" s="97"/>
      <c r="AT446" s="97"/>
      <c r="AU446" s="97"/>
      <c r="AV446" s="97"/>
      <c r="AW446" s="97"/>
      <c r="AX446" s="97"/>
    </row>
    <row r="447" ht="15.75" customHeight="1">
      <c r="A447" s="80" t="s">
        <v>150</v>
      </c>
      <c r="B447" s="81" t="s">
        <v>3950</v>
      </c>
      <c r="C447" s="82"/>
      <c r="D447" s="83"/>
      <c r="E447" s="83"/>
      <c r="F447" s="84"/>
      <c r="G447" s="84"/>
      <c r="H447" s="84"/>
      <c r="I447" s="84"/>
      <c r="J447" s="86"/>
      <c r="K447" s="84"/>
      <c r="L447" s="84"/>
      <c r="M447" s="86"/>
      <c r="N447" s="86"/>
      <c r="O447" s="91"/>
      <c r="P447" s="84"/>
      <c r="Q447" s="84"/>
      <c r="R447" s="84"/>
      <c r="S447" s="84"/>
      <c r="T447" s="94" t="s">
        <v>156</v>
      </c>
      <c r="U447" s="84"/>
      <c r="V447" s="84"/>
      <c r="W447" s="84"/>
      <c r="X447" s="84"/>
      <c r="Y447" s="84"/>
      <c r="Z447" s="84"/>
      <c r="AA447" s="84"/>
      <c r="AB447" s="84"/>
      <c r="AC447" s="84"/>
      <c r="AD447" s="97"/>
      <c r="AE447" s="97"/>
      <c r="AF447" s="97"/>
      <c r="AG447" s="97"/>
      <c r="AH447" s="97"/>
      <c r="AI447" s="97"/>
      <c r="AJ447" s="97"/>
      <c r="AK447" s="97"/>
      <c r="AL447" s="97"/>
      <c r="AM447" s="97"/>
      <c r="AN447" s="97"/>
      <c r="AO447" s="97"/>
      <c r="AP447" s="97"/>
      <c r="AQ447" s="97"/>
      <c r="AR447" s="97"/>
      <c r="AS447" s="97"/>
      <c r="AT447" s="97"/>
      <c r="AU447" s="97"/>
      <c r="AV447" s="97"/>
      <c r="AW447" s="97"/>
      <c r="AX447" s="97"/>
    </row>
    <row r="448" ht="15.75" customHeight="1">
      <c r="A448" s="80" t="s">
        <v>115</v>
      </c>
      <c r="B448" s="81" t="s">
        <v>3958</v>
      </c>
      <c r="C448" s="82"/>
      <c r="D448" s="83"/>
      <c r="E448" s="83"/>
      <c r="F448" s="84"/>
      <c r="G448" s="84"/>
      <c r="H448" s="84"/>
      <c r="I448" s="86"/>
      <c r="J448" s="86"/>
      <c r="K448" s="84"/>
      <c r="L448" s="86"/>
      <c r="M448" s="86"/>
      <c r="N448" s="86"/>
      <c r="O448" s="86"/>
      <c r="P448" s="84"/>
      <c r="Q448" s="84"/>
      <c r="R448" s="84"/>
      <c r="S448" s="84"/>
      <c r="T448" s="80" t="s">
        <v>5376</v>
      </c>
      <c r="U448" s="84"/>
      <c r="V448" s="84"/>
      <c r="W448" s="84"/>
      <c r="X448" s="84"/>
      <c r="Y448" s="84"/>
      <c r="Z448" s="84"/>
      <c r="AA448" s="84"/>
      <c r="AB448" s="84"/>
      <c r="AC448" s="84"/>
      <c r="AD448" s="97"/>
      <c r="AE448" s="97"/>
      <c r="AF448" s="97"/>
      <c r="AG448" s="97"/>
      <c r="AH448" s="97"/>
      <c r="AI448" s="97"/>
      <c r="AJ448" s="97"/>
      <c r="AK448" s="97"/>
      <c r="AL448" s="97"/>
      <c r="AM448" s="97"/>
      <c r="AN448" s="97"/>
      <c r="AO448" s="97"/>
      <c r="AP448" s="97"/>
      <c r="AQ448" s="97"/>
      <c r="AR448" s="97"/>
      <c r="AS448" s="97"/>
      <c r="AT448" s="97"/>
      <c r="AU448" s="97"/>
      <c r="AV448" s="97"/>
      <c r="AW448" s="97"/>
      <c r="AX448" s="97"/>
    </row>
    <row r="449" ht="15.75" customHeight="1">
      <c r="A449" s="167" t="s">
        <v>842</v>
      </c>
      <c r="B449" s="169" t="s">
        <v>3245</v>
      </c>
      <c r="C449" s="169" t="s">
        <v>3246</v>
      </c>
      <c r="D449" s="169"/>
      <c r="E449" s="169"/>
      <c r="F449" s="205"/>
      <c r="G449" s="205"/>
      <c r="H449" s="205"/>
      <c r="I449" s="205"/>
      <c r="J449" s="205"/>
      <c r="K449" s="205"/>
      <c r="L449" s="205"/>
      <c r="M449" s="205"/>
      <c r="N449" s="205"/>
      <c r="O449" s="205"/>
      <c r="P449" s="205"/>
      <c r="Q449" s="205"/>
      <c r="R449" s="205"/>
      <c r="S449" s="205"/>
      <c r="T449" s="205"/>
      <c r="U449" s="205"/>
      <c r="V449" s="205"/>
      <c r="W449" s="205"/>
      <c r="X449" s="205"/>
      <c r="Y449" s="205"/>
      <c r="Z449" s="205"/>
      <c r="AA449" s="205"/>
      <c r="AB449" s="205"/>
      <c r="AC449" s="205"/>
      <c r="AD449" s="205"/>
      <c r="AE449" s="205"/>
      <c r="AF449" s="205"/>
      <c r="AG449" s="205"/>
      <c r="AH449" s="205"/>
      <c r="AI449" s="205"/>
      <c r="AJ449" s="205"/>
      <c r="AK449" s="205"/>
      <c r="AL449" s="205"/>
      <c r="AM449" s="205"/>
      <c r="AN449" s="205"/>
      <c r="AO449" s="97"/>
      <c r="AP449" s="97"/>
      <c r="AQ449" s="97"/>
      <c r="AR449" s="97"/>
      <c r="AS449" s="97"/>
      <c r="AT449" s="97"/>
      <c r="AU449" s="97"/>
      <c r="AV449" s="97"/>
      <c r="AW449" s="97"/>
      <c r="AX449" s="97"/>
    </row>
    <row r="450">
      <c r="C450" s="141"/>
      <c r="D450" s="141"/>
      <c r="E450" s="261"/>
      <c r="T450" s="283"/>
    </row>
    <row r="451" ht="15.75" customHeight="1">
      <c r="A451" s="131" t="s">
        <v>115</v>
      </c>
      <c r="B451" s="142" t="s">
        <v>3983</v>
      </c>
      <c r="C451" s="133" t="s">
        <v>3984</v>
      </c>
      <c r="D451" s="133" t="s">
        <v>3985</v>
      </c>
      <c r="E451" s="133" t="s">
        <v>3986</v>
      </c>
      <c r="F451" s="134"/>
      <c r="G451" s="134"/>
      <c r="H451" s="134"/>
      <c r="I451" s="134"/>
      <c r="J451" s="134"/>
      <c r="K451" s="134"/>
      <c r="L451" s="134"/>
      <c r="M451" s="134"/>
      <c r="N451" s="134"/>
      <c r="O451" s="134"/>
      <c r="P451" s="134"/>
      <c r="Q451" s="134"/>
      <c r="R451" s="134"/>
      <c r="S451" s="134"/>
      <c r="T451" s="149" t="s">
        <v>5377</v>
      </c>
      <c r="U451" s="134"/>
      <c r="V451" s="134"/>
      <c r="W451" s="134"/>
      <c r="X451" s="134"/>
      <c r="Y451" s="134"/>
      <c r="Z451" s="134"/>
      <c r="AA451" s="134"/>
      <c r="AB451" s="134"/>
      <c r="AC451" s="134"/>
      <c r="AD451" s="97"/>
      <c r="AE451" s="97"/>
      <c r="AF451" s="97"/>
      <c r="AG451" s="97"/>
      <c r="AH451" s="97"/>
      <c r="AI451" s="97"/>
      <c r="AJ451" s="97"/>
      <c r="AK451" s="97"/>
      <c r="AL451" s="97"/>
      <c r="AM451" s="97"/>
      <c r="AN451" s="97"/>
      <c r="AO451" s="97"/>
      <c r="AP451" s="97"/>
      <c r="AQ451" s="97"/>
      <c r="AR451" s="97"/>
      <c r="AS451" s="97"/>
      <c r="AT451" s="97"/>
      <c r="AU451" s="97"/>
      <c r="AV451" s="97"/>
      <c r="AW451" s="97"/>
      <c r="AX451" s="97"/>
    </row>
    <row r="452" ht="15.75" customHeight="1">
      <c r="A452" s="131" t="s">
        <v>115</v>
      </c>
      <c r="B452" s="262" t="s">
        <v>3990</v>
      </c>
      <c r="C452" s="133" t="s">
        <v>3991</v>
      </c>
      <c r="D452" s="133"/>
      <c r="E452" s="133"/>
      <c r="F452" s="134"/>
      <c r="G452" s="134"/>
      <c r="H452" s="134"/>
      <c r="I452" s="134"/>
      <c r="J452" s="134"/>
      <c r="K452" s="134"/>
      <c r="L452" s="134"/>
      <c r="M452" s="134"/>
      <c r="N452" s="134"/>
      <c r="O452" s="134"/>
      <c r="P452" s="134"/>
      <c r="Q452" s="134"/>
      <c r="R452" s="134"/>
      <c r="S452" s="134"/>
      <c r="T452" s="149" t="s">
        <v>5378</v>
      </c>
      <c r="U452" s="134"/>
      <c r="V452" s="134"/>
      <c r="W452" s="134"/>
      <c r="X452" s="134"/>
      <c r="Y452" s="134"/>
      <c r="Z452" s="134"/>
      <c r="AA452" s="134"/>
      <c r="AB452" s="134"/>
      <c r="AC452" s="134"/>
      <c r="AD452" s="97"/>
      <c r="AE452" s="97"/>
      <c r="AF452" s="97"/>
      <c r="AG452" s="97"/>
      <c r="AH452" s="97"/>
      <c r="AI452" s="97"/>
      <c r="AJ452" s="97"/>
      <c r="AK452" s="97"/>
      <c r="AL452" s="97"/>
      <c r="AM452" s="97"/>
      <c r="AN452" s="97"/>
      <c r="AO452" s="97"/>
      <c r="AP452" s="97"/>
      <c r="AQ452" s="97"/>
      <c r="AR452" s="97"/>
      <c r="AS452" s="97"/>
      <c r="AT452" s="97"/>
      <c r="AU452" s="97"/>
      <c r="AV452" s="97"/>
      <c r="AW452" s="97"/>
      <c r="AX452" s="97"/>
    </row>
    <row r="453" ht="15.75" customHeight="1">
      <c r="A453" s="131" t="s">
        <v>115</v>
      </c>
      <c r="B453" s="262" t="s">
        <v>4002</v>
      </c>
      <c r="C453" s="204"/>
      <c r="D453" s="97"/>
      <c r="E453" s="97"/>
      <c r="F453" s="97"/>
      <c r="G453" s="97"/>
      <c r="H453" s="97"/>
      <c r="I453" s="97"/>
      <c r="J453" s="97"/>
      <c r="K453" s="97"/>
      <c r="L453" s="97"/>
      <c r="M453" s="97"/>
      <c r="N453" s="97"/>
      <c r="O453" s="97"/>
      <c r="P453" s="97"/>
      <c r="Q453" s="97"/>
      <c r="R453" s="97"/>
      <c r="S453" s="97"/>
      <c r="T453" s="151" t="s">
        <v>5379</v>
      </c>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7"/>
      <c r="AR453" s="97"/>
      <c r="AS453" s="97"/>
      <c r="AT453" s="97"/>
      <c r="AU453" s="97"/>
      <c r="AV453" s="97"/>
      <c r="AW453" s="97"/>
      <c r="AX453" s="97"/>
    </row>
    <row r="454" ht="15.75" customHeight="1">
      <c r="A454" s="256" t="s">
        <v>115</v>
      </c>
      <c r="B454" s="248" t="s">
        <v>4009</v>
      </c>
      <c r="C454" s="204"/>
      <c r="D454" s="97"/>
      <c r="E454" s="97"/>
      <c r="F454" s="97"/>
      <c r="G454" s="97"/>
      <c r="H454" s="97"/>
      <c r="I454" s="97"/>
      <c r="J454" s="97"/>
      <c r="K454" s="97"/>
      <c r="L454" s="97"/>
      <c r="M454" s="97"/>
      <c r="N454" s="97"/>
      <c r="O454" s="97"/>
      <c r="P454" s="97"/>
      <c r="Q454" s="97"/>
      <c r="R454" s="97"/>
      <c r="S454" s="97"/>
      <c r="T454" s="255" t="s">
        <v>5380</v>
      </c>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7"/>
      <c r="AR454" s="97"/>
      <c r="AS454" s="97"/>
      <c r="AT454" s="97"/>
      <c r="AU454" s="97"/>
      <c r="AV454" s="97"/>
      <c r="AW454" s="97"/>
      <c r="AX454" s="97"/>
    </row>
    <row r="455" ht="15.75" customHeight="1">
      <c r="A455" s="256" t="s">
        <v>115</v>
      </c>
      <c r="B455" s="248" t="s">
        <v>4013</v>
      </c>
      <c r="C455" s="204"/>
      <c r="D455" s="97"/>
      <c r="E455" s="97"/>
      <c r="F455" s="97"/>
      <c r="G455" s="97"/>
      <c r="H455" s="97"/>
      <c r="I455" s="97"/>
      <c r="J455" s="97"/>
      <c r="K455" s="97"/>
      <c r="L455" s="97"/>
      <c r="M455" s="97"/>
      <c r="N455" s="97"/>
      <c r="O455" s="97"/>
      <c r="P455" s="97"/>
      <c r="Q455" s="97"/>
      <c r="R455" s="97"/>
      <c r="S455" s="97"/>
      <c r="T455" s="255" t="s">
        <v>5381</v>
      </c>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7"/>
      <c r="AR455" s="97"/>
      <c r="AS455" s="97"/>
      <c r="AT455" s="97"/>
      <c r="AU455" s="97"/>
      <c r="AV455" s="97"/>
      <c r="AW455" s="97"/>
      <c r="AX455" s="97"/>
    </row>
    <row r="456" ht="15.75" customHeight="1">
      <c r="A456" s="256" t="s">
        <v>115</v>
      </c>
      <c r="B456" s="248" t="s">
        <v>4021</v>
      </c>
      <c r="C456" s="204"/>
      <c r="D456" s="97"/>
      <c r="E456" s="97"/>
      <c r="F456" s="97"/>
      <c r="G456" s="97"/>
      <c r="H456" s="97"/>
      <c r="I456" s="97"/>
      <c r="J456" s="97"/>
      <c r="K456" s="97"/>
      <c r="L456" s="97"/>
      <c r="M456" s="97"/>
      <c r="N456" s="97"/>
      <c r="O456" s="97"/>
      <c r="P456" s="97"/>
      <c r="Q456" s="97"/>
      <c r="R456" s="97"/>
      <c r="S456" s="97"/>
      <c r="T456" s="255" t="s">
        <v>5382</v>
      </c>
      <c r="U456" s="97"/>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7"/>
      <c r="AR456" s="97"/>
      <c r="AS456" s="97"/>
      <c r="AT456" s="97"/>
      <c r="AU456" s="97"/>
      <c r="AV456" s="97"/>
      <c r="AW456" s="97"/>
      <c r="AX456" s="97"/>
    </row>
    <row r="457" ht="15.75" customHeight="1">
      <c r="A457" s="256" t="s">
        <v>115</v>
      </c>
      <c r="B457" s="248" t="s">
        <v>4025</v>
      </c>
      <c r="C457" s="204"/>
      <c r="D457" s="97"/>
      <c r="E457" s="97"/>
      <c r="F457" s="97"/>
      <c r="G457" s="97"/>
      <c r="H457" s="97"/>
      <c r="I457" s="97"/>
      <c r="J457" s="97"/>
      <c r="K457" s="97"/>
      <c r="L457" s="97"/>
      <c r="M457" s="97"/>
      <c r="N457" s="97"/>
      <c r="O457" s="97"/>
      <c r="P457" s="97"/>
      <c r="Q457" s="97"/>
      <c r="R457" s="97"/>
      <c r="S457" s="97"/>
      <c r="T457" s="255" t="s">
        <v>5383</v>
      </c>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7"/>
      <c r="AR457" s="97"/>
      <c r="AS457" s="97"/>
      <c r="AT457" s="97"/>
      <c r="AU457" s="97"/>
      <c r="AV457" s="97"/>
      <c r="AW457" s="97"/>
      <c r="AX457" s="97"/>
    </row>
    <row r="458" ht="15.75" customHeight="1">
      <c r="A458" s="203"/>
      <c r="B458" s="203"/>
      <c r="C458" s="204"/>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7"/>
      <c r="AR458" s="97"/>
      <c r="AS458" s="97"/>
      <c r="AT458" s="97"/>
      <c r="AU458" s="97"/>
      <c r="AV458" s="97"/>
      <c r="AW458" s="97"/>
      <c r="AX458" s="97"/>
    </row>
    <row r="459" ht="15.75" customHeight="1">
      <c r="A459" s="150" t="s">
        <v>161</v>
      </c>
      <c r="B459" s="82" t="s">
        <v>4032</v>
      </c>
      <c r="C459" s="82" t="s">
        <v>4033</v>
      </c>
      <c r="D459" s="83"/>
      <c r="E459" s="83"/>
      <c r="F459" s="84"/>
      <c r="G459" s="84"/>
      <c r="H459" s="84"/>
      <c r="I459" s="84"/>
      <c r="J459" s="86"/>
      <c r="K459" s="84"/>
      <c r="L459" s="84"/>
      <c r="M459" s="86"/>
      <c r="N459" s="86"/>
      <c r="O459" s="86"/>
      <c r="P459" s="84"/>
      <c r="Q459" s="84"/>
      <c r="R459" s="84"/>
      <c r="S459" s="84"/>
      <c r="T459" s="84"/>
      <c r="U459" s="84"/>
      <c r="V459" s="84"/>
      <c r="W459" s="84"/>
      <c r="X459" s="84"/>
      <c r="Y459" s="84"/>
      <c r="Z459" s="84"/>
      <c r="AA459" s="84"/>
      <c r="AB459" s="84"/>
      <c r="AC459" s="84"/>
      <c r="AD459" s="97"/>
      <c r="AE459" s="97"/>
      <c r="AF459" s="97"/>
      <c r="AG459" s="97"/>
      <c r="AH459" s="97"/>
      <c r="AI459" s="97"/>
      <c r="AJ459" s="97"/>
      <c r="AK459" s="97"/>
      <c r="AL459" s="97"/>
      <c r="AM459" s="97"/>
      <c r="AN459" s="97"/>
      <c r="AO459" s="97"/>
      <c r="AP459" s="97"/>
      <c r="AQ459" s="97"/>
      <c r="AR459" s="97"/>
      <c r="AS459" s="97"/>
      <c r="AT459" s="97"/>
      <c r="AU459" s="97"/>
      <c r="AV459" s="97"/>
      <c r="AW459" s="97"/>
      <c r="AX459" s="97"/>
    </row>
    <row r="460" ht="15.75" customHeight="1">
      <c r="A460" s="152" t="s">
        <v>44</v>
      </c>
      <c r="B460" s="77" t="s">
        <v>4043</v>
      </c>
      <c r="C460" s="76" t="s">
        <v>5384</v>
      </c>
      <c r="D460" s="76" t="s">
        <v>5385</v>
      </c>
      <c r="E460" s="117" t="s">
        <v>5386</v>
      </c>
      <c r="F460" s="76"/>
      <c r="G460" s="76"/>
      <c r="H460" s="76"/>
      <c r="I460" s="176"/>
      <c r="J460" s="176"/>
      <c r="K460" s="176"/>
      <c r="L460" s="176"/>
      <c r="M460" s="176"/>
      <c r="N460" s="176"/>
      <c r="O460" s="176"/>
      <c r="P460" s="176"/>
      <c r="Q460" s="176"/>
      <c r="R460" s="176"/>
      <c r="S460" s="176"/>
      <c r="T460" s="176"/>
      <c r="U460" s="176"/>
      <c r="V460" s="176"/>
      <c r="W460" s="176"/>
      <c r="X460" s="176"/>
      <c r="Y460" s="176"/>
      <c r="Z460" s="176"/>
      <c r="AA460" s="176"/>
      <c r="AB460" s="176"/>
      <c r="AC460" s="176"/>
      <c r="AD460" s="97"/>
      <c r="AE460" s="97"/>
      <c r="AF460" s="97"/>
      <c r="AG460" s="97"/>
      <c r="AH460" s="97"/>
      <c r="AI460" s="97"/>
      <c r="AJ460" s="97"/>
      <c r="AK460" s="97"/>
      <c r="AL460" s="97"/>
      <c r="AM460" s="97"/>
      <c r="AN460" s="97"/>
      <c r="AO460" s="97"/>
      <c r="AP460" s="97"/>
      <c r="AQ460" s="97"/>
      <c r="AR460" s="97"/>
      <c r="AS460" s="97"/>
      <c r="AT460" s="97"/>
      <c r="AU460" s="97"/>
      <c r="AV460" s="97"/>
      <c r="AW460" s="97"/>
      <c r="AX460" s="97"/>
    </row>
    <row r="461" ht="15.75" customHeight="1">
      <c r="A461" s="114" t="s">
        <v>680</v>
      </c>
      <c r="B461" s="165" t="s">
        <v>4054</v>
      </c>
      <c r="C461" s="76" t="s">
        <v>5387</v>
      </c>
      <c r="D461" s="76" t="s">
        <v>5388</v>
      </c>
      <c r="E461" s="117" t="s">
        <v>5389</v>
      </c>
      <c r="F461" s="76"/>
      <c r="G461" s="76"/>
      <c r="H461" s="76"/>
      <c r="I461" s="118"/>
      <c r="J461" s="120"/>
      <c r="K461" s="118"/>
      <c r="L461" s="118"/>
      <c r="M461" s="118"/>
      <c r="N461" s="118"/>
      <c r="O461" s="118"/>
      <c r="P461" s="118"/>
      <c r="Q461" s="118" t="s">
        <v>184</v>
      </c>
      <c r="R461" s="118"/>
      <c r="S461" s="118"/>
      <c r="T461" s="118"/>
      <c r="U461" s="118"/>
      <c r="V461" s="118"/>
      <c r="W461" s="118"/>
      <c r="X461" s="118"/>
      <c r="Y461" s="118"/>
      <c r="Z461" s="118"/>
      <c r="AA461" s="118"/>
      <c r="AB461" s="118"/>
      <c r="AC461" s="118"/>
      <c r="AD461" s="97"/>
      <c r="AE461" s="97"/>
      <c r="AF461" s="97"/>
      <c r="AG461" s="97"/>
      <c r="AH461" s="97"/>
      <c r="AI461" s="97"/>
      <c r="AJ461" s="97"/>
      <c r="AK461" s="97"/>
      <c r="AL461" s="97"/>
      <c r="AM461" s="97"/>
      <c r="AN461" s="97"/>
      <c r="AO461" s="97"/>
      <c r="AP461" s="97"/>
      <c r="AQ461" s="97"/>
      <c r="AR461" s="97"/>
      <c r="AS461" s="97"/>
      <c r="AT461" s="97"/>
      <c r="AU461" s="97"/>
      <c r="AV461" s="97"/>
      <c r="AW461" s="97"/>
      <c r="AX461" s="97"/>
    </row>
    <row r="462" ht="15.75" customHeight="1">
      <c r="A462" s="170" t="s">
        <v>238</v>
      </c>
      <c r="B462" s="171" t="s">
        <v>4065</v>
      </c>
      <c r="C462" s="76" t="s">
        <v>5390</v>
      </c>
      <c r="D462" s="76" t="s">
        <v>5391</v>
      </c>
      <c r="E462" s="117" t="s">
        <v>5392</v>
      </c>
      <c r="F462" s="76"/>
      <c r="G462" s="76"/>
      <c r="H462" s="76"/>
      <c r="I462" s="209"/>
      <c r="J462" s="209"/>
      <c r="K462" s="210"/>
      <c r="L462" s="210"/>
      <c r="M462" s="209"/>
      <c r="N462" s="209"/>
      <c r="O462" s="209" t="s">
        <v>5393</v>
      </c>
      <c r="P462" s="209"/>
      <c r="Q462" s="209" t="s">
        <v>184</v>
      </c>
      <c r="R462" s="209"/>
      <c r="S462" s="209"/>
      <c r="T462" s="209"/>
      <c r="U462" s="209"/>
      <c r="V462" s="209"/>
      <c r="W462" s="209"/>
      <c r="X462" s="209"/>
      <c r="Y462" s="209"/>
      <c r="Z462" s="209"/>
      <c r="AA462" s="209"/>
      <c r="AB462" s="209"/>
      <c r="AC462" s="209"/>
      <c r="AD462" s="97"/>
      <c r="AE462" s="97"/>
      <c r="AF462" s="97"/>
      <c r="AG462" s="97"/>
      <c r="AH462" s="97"/>
      <c r="AI462" s="97"/>
      <c r="AJ462" s="97"/>
      <c r="AK462" s="97"/>
      <c r="AL462" s="97"/>
      <c r="AM462" s="97"/>
      <c r="AN462" s="97"/>
      <c r="AO462" s="97"/>
      <c r="AP462" s="97"/>
      <c r="AQ462" s="97"/>
      <c r="AR462" s="97"/>
      <c r="AS462" s="97"/>
      <c r="AT462" s="97"/>
      <c r="AU462" s="97"/>
      <c r="AV462" s="97"/>
      <c r="AW462" s="97"/>
      <c r="AX462" s="97"/>
    </row>
    <row r="463" ht="15.75" customHeight="1">
      <c r="A463" s="114" t="s">
        <v>4077</v>
      </c>
      <c r="B463" s="165" t="s">
        <v>4078</v>
      </c>
      <c r="C463" s="76" t="s">
        <v>5394</v>
      </c>
      <c r="D463" s="76" t="s">
        <v>5395</v>
      </c>
      <c r="E463" s="117" t="s">
        <v>5396</v>
      </c>
      <c r="F463" s="76"/>
      <c r="G463" s="76"/>
      <c r="H463" s="76"/>
      <c r="I463" s="118"/>
      <c r="J463" s="120"/>
      <c r="K463" s="118" t="s">
        <v>2731</v>
      </c>
      <c r="L463" s="118"/>
      <c r="M463" s="118"/>
      <c r="N463" s="118"/>
      <c r="O463" s="118"/>
      <c r="P463" s="118"/>
      <c r="Q463" s="118" t="s">
        <v>184</v>
      </c>
      <c r="R463" s="118"/>
      <c r="S463" s="118"/>
      <c r="T463" s="118"/>
      <c r="U463" s="118"/>
      <c r="V463" s="118"/>
      <c r="W463" s="118"/>
      <c r="X463" s="118"/>
      <c r="Y463" s="118"/>
      <c r="Z463" s="118"/>
      <c r="AA463" s="118"/>
      <c r="AB463" s="118"/>
      <c r="AC463" s="118"/>
      <c r="AD463" s="97"/>
      <c r="AE463" s="97"/>
      <c r="AF463" s="97"/>
      <c r="AG463" s="97"/>
      <c r="AH463" s="97"/>
      <c r="AI463" s="97"/>
      <c r="AJ463" s="97"/>
      <c r="AK463" s="97"/>
      <c r="AL463" s="97"/>
      <c r="AM463" s="97"/>
      <c r="AN463" s="97"/>
      <c r="AO463" s="97"/>
      <c r="AP463" s="97"/>
      <c r="AQ463" s="97"/>
      <c r="AR463" s="97"/>
      <c r="AS463" s="97"/>
      <c r="AT463" s="97"/>
      <c r="AU463" s="97"/>
      <c r="AV463" s="97"/>
      <c r="AW463" s="97"/>
      <c r="AX463" s="97"/>
    </row>
    <row r="464" ht="15.75" customHeight="1">
      <c r="A464" s="114" t="s">
        <v>4082</v>
      </c>
      <c r="B464" s="165" t="s">
        <v>4083</v>
      </c>
      <c r="C464" s="76" t="s">
        <v>5397</v>
      </c>
      <c r="D464" s="76" t="s">
        <v>5398</v>
      </c>
      <c r="E464" s="117" t="s">
        <v>5399</v>
      </c>
      <c r="F464" s="76"/>
      <c r="G464" s="76"/>
      <c r="H464" s="76"/>
      <c r="I464" s="118"/>
      <c r="J464" s="120"/>
      <c r="K464" s="118" t="s">
        <v>2731</v>
      </c>
      <c r="L464" s="118"/>
      <c r="M464" s="118"/>
      <c r="N464" s="118"/>
      <c r="O464" s="118"/>
      <c r="P464" s="118"/>
      <c r="Q464" s="118" t="s">
        <v>184</v>
      </c>
      <c r="R464" s="118"/>
      <c r="S464" s="118"/>
      <c r="T464" s="118"/>
      <c r="U464" s="118"/>
      <c r="V464" s="118"/>
      <c r="W464" s="118"/>
      <c r="X464" s="118"/>
      <c r="Y464" s="118"/>
      <c r="Z464" s="118"/>
      <c r="AA464" s="118"/>
      <c r="AB464" s="118"/>
      <c r="AC464" s="118"/>
      <c r="AD464" s="97"/>
      <c r="AE464" s="97"/>
      <c r="AF464" s="97"/>
      <c r="AG464" s="97"/>
      <c r="AH464" s="97"/>
      <c r="AI464" s="97"/>
      <c r="AJ464" s="97"/>
      <c r="AK464" s="97"/>
      <c r="AL464" s="97"/>
      <c r="AM464" s="97"/>
      <c r="AN464" s="97"/>
      <c r="AO464" s="97"/>
      <c r="AP464" s="97"/>
      <c r="AQ464" s="97"/>
      <c r="AR464" s="97"/>
      <c r="AS464" s="97"/>
      <c r="AT464" s="97"/>
      <c r="AU464" s="97"/>
      <c r="AV464" s="97"/>
      <c r="AW464" s="97"/>
      <c r="AX464" s="97"/>
    </row>
    <row r="465" ht="15.75" customHeight="1">
      <c r="A465" s="131" t="s">
        <v>150</v>
      </c>
      <c r="B465" s="164" t="s">
        <v>4087</v>
      </c>
      <c r="C465" s="133"/>
      <c r="D465" s="133"/>
      <c r="E465" s="133"/>
      <c r="F465" s="134"/>
      <c r="G465" s="134"/>
      <c r="H465" s="134"/>
      <c r="I465" s="134"/>
      <c r="J465" s="134"/>
      <c r="K465" s="134"/>
      <c r="L465" s="134"/>
      <c r="M465" s="134"/>
      <c r="N465" s="134"/>
      <c r="O465" s="134"/>
      <c r="P465" s="134"/>
      <c r="Q465" s="134"/>
      <c r="R465" s="134"/>
      <c r="S465" s="134"/>
      <c r="T465" s="291" t="s">
        <v>156</v>
      </c>
      <c r="U465" s="134"/>
      <c r="V465" s="134"/>
      <c r="W465" s="134"/>
      <c r="X465" s="134"/>
      <c r="Y465" s="134"/>
      <c r="Z465" s="134"/>
      <c r="AA465" s="134"/>
      <c r="AB465" s="134"/>
      <c r="AC465" s="134"/>
      <c r="AD465" s="97"/>
      <c r="AE465" s="97"/>
      <c r="AF465" s="97"/>
      <c r="AG465" s="97"/>
      <c r="AH465" s="97"/>
      <c r="AI465" s="97"/>
      <c r="AJ465" s="97"/>
      <c r="AK465" s="97"/>
      <c r="AL465" s="97"/>
      <c r="AM465" s="97"/>
      <c r="AN465" s="97"/>
      <c r="AO465" s="97"/>
      <c r="AP465" s="97"/>
      <c r="AQ465" s="97"/>
      <c r="AR465" s="97"/>
      <c r="AS465" s="97"/>
      <c r="AT465" s="97"/>
      <c r="AU465" s="97"/>
      <c r="AV465" s="97"/>
      <c r="AW465" s="97"/>
      <c r="AX465" s="97"/>
    </row>
    <row r="466" ht="15.75" customHeight="1">
      <c r="A466" s="167" t="s">
        <v>807</v>
      </c>
      <c r="B466" s="168" t="s">
        <v>4091</v>
      </c>
      <c r="C466" s="168" t="s">
        <v>4092</v>
      </c>
      <c r="D466" s="169" t="s">
        <v>4093</v>
      </c>
      <c r="E466" s="169" t="s">
        <v>4094</v>
      </c>
      <c r="F466" s="205"/>
      <c r="G466" s="205"/>
      <c r="H466" s="205"/>
      <c r="I466" s="205"/>
      <c r="J466" s="205"/>
      <c r="K466" s="205"/>
      <c r="L466" s="205"/>
      <c r="M466" s="207"/>
      <c r="N466" s="207"/>
      <c r="O466" s="207" t="s">
        <v>5400</v>
      </c>
      <c r="P466" s="205"/>
      <c r="Q466" s="205"/>
      <c r="R466" s="205"/>
      <c r="S466" s="205"/>
      <c r="T466" s="205"/>
      <c r="U466" s="207" t="s">
        <v>5401</v>
      </c>
      <c r="V466" s="205"/>
      <c r="W466" s="205"/>
      <c r="X466" s="205"/>
      <c r="Y466" s="205"/>
      <c r="Z466" s="205"/>
      <c r="AA466" s="205"/>
      <c r="AB466" s="205"/>
      <c r="AC466" s="205"/>
      <c r="AD466" s="97"/>
      <c r="AE466" s="97"/>
      <c r="AF466" s="97"/>
      <c r="AG466" s="97"/>
      <c r="AH466" s="97"/>
      <c r="AI466" s="97"/>
      <c r="AJ466" s="97"/>
      <c r="AK466" s="97"/>
      <c r="AL466" s="97"/>
      <c r="AM466" s="97"/>
      <c r="AN466" s="97"/>
      <c r="AO466" s="97"/>
      <c r="AP466" s="97"/>
      <c r="AQ466" s="97"/>
      <c r="AR466" s="97"/>
      <c r="AS466" s="97"/>
      <c r="AT466" s="97"/>
      <c r="AU466" s="97"/>
      <c r="AV466" s="97"/>
      <c r="AW466" s="97"/>
      <c r="AX466" s="97"/>
    </row>
    <row r="467" ht="15.75" customHeight="1">
      <c r="A467" s="131" t="s">
        <v>115</v>
      </c>
      <c r="B467" s="132" t="s">
        <v>4100</v>
      </c>
      <c r="C467" s="133" t="s">
        <v>4102</v>
      </c>
      <c r="D467" s="133" t="s">
        <v>4104</v>
      </c>
      <c r="E467" s="133" t="s">
        <v>4105</v>
      </c>
      <c r="F467" s="134"/>
      <c r="G467" s="134"/>
      <c r="H467" s="134"/>
      <c r="I467" s="134"/>
      <c r="J467" s="134"/>
      <c r="K467" s="134"/>
      <c r="L467" s="134"/>
      <c r="M467" s="134"/>
      <c r="N467" s="134"/>
      <c r="O467" s="134"/>
      <c r="P467" s="134"/>
      <c r="Q467" s="134"/>
      <c r="R467" s="134"/>
      <c r="S467" s="134"/>
      <c r="T467" s="149" t="s">
        <v>5402</v>
      </c>
      <c r="U467" s="134"/>
      <c r="V467" s="134"/>
      <c r="W467" s="134"/>
      <c r="X467" s="134"/>
      <c r="Y467" s="134"/>
      <c r="Z467" s="134"/>
      <c r="AA467" s="134"/>
      <c r="AB467" s="134"/>
      <c r="AC467" s="134"/>
      <c r="AD467" s="97"/>
      <c r="AE467" s="97"/>
      <c r="AF467" s="97"/>
      <c r="AG467" s="97"/>
      <c r="AH467" s="97"/>
      <c r="AI467" s="97"/>
      <c r="AJ467" s="97"/>
      <c r="AK467" s="97"/>
      <c r="AL467" s="97"/>
      <c r="AM467" s="97"/>
      <c r="AN467" s="97"/>
      <c r="AO467" s="97"/>
      <c r="AP467" s="97"/>
      <c r="AQ467" s="97"/>
      <c r="AR467" s="97"/>
      <c r="AS467" s="97"/>
      <c r="AT467" s="97"/>
      <c r="AU467" s="97"/>
      <c r="AV467" s="97"/>
      <c r="AW467" s="97"/>
      <c r="AX467" s="97"/>
    </row>
    <row r="468" ht="15.75" customHeight="1">
      <c r="A468" s="170" t="s">
        <v>238</v>
      </c>
      <c r="B468" s="171" t="s">
        <v>4109</v>
      </c>
      <c r="C468" s="76" t="s">
        <v>5403</v>
      </c>
      <c r="D468" s="76" t="s">
        <v>5404</v>
      </c>
      <c r="E468" s="117" t="s">
        <v>5405</v>
      </c>
      <c r="F468" s="76"/>
      <c r="G468" s="76"/>
      <c r="H468" s="76"/>
      <c r="I468" s="209"/>
      <c r="J468" s="209"/>
      <c r="K468" s="210" t="s">
        <v>5406</v>
      </c>
      <c r="L468" s="210"/>
      <c r="M468" s="209"/>
      <c r="N468" s="209"/>
      <c r="O468" s="209"/>
      <c r="P468" s="209"/>
      <c r="Q468" s="209" t="s">
        <v>184</v>
      </c>
      <c r="R468" s="209"/>
      <c r="S468" s="209"/>
      <c r="T468" s="209"/>
      <c r="U468" s="209"/>
      <c r="V468" s="209"/>
      <c r="W468" s="209"/>
      <c r="X468" s="209"/>
      <c r="Y468" s="209"/>
      <c r="Z468" s="209"/>
      <c r="AA468" s="209"/>
      <c r="AB468" s="209"/>
      <c r="AC468" s="209"/>
      <c r="AD468" s="97"/>
      <c r="AE468" s="97"/>
      <c r="AF468" s="97"/>
      <c r="AG468" s="97"/>
      <c r="AH468" s="97"/>
      <c r="AI468" s="97"/>
      <c r="AJ468" s="97"/>
      <c r="AK468" s="97"/>
      <c r="AL468" s="97"/>
      <c r="AM468" s="97"/>
      <c r="AN468" s="97"/>
      <c r="AO468" s="97"/>
      <c r="AP468" s="97"/>
      <c r="AQ468" s="97"/>
      <c r="AR468" s="97"/>
      <c r="AS468" s="97"/>
      <c r="AT468" s="97"/>
      <c r="AU468" s="97"/>
      <c r="AV468" s="97"/>
      <c r="AW468" s="97"/>
      <c r="AX468" s="97"/>
    </row>
    <row r="469" ht="15.75" customHeight="1">
      <c r="A469" s="170" t="s">
        <v>238</v>
      </c>
      <c r="B469" s="171" t="s">
        <v>4120</v>
      </c>
      <c r="C469" s="76" t="s">
        <v>5407</v>
      </c>
      <c r="D469" s="76" t="s">
        <v>5408</v>
      </c>
      <c r="E469" s="117" t="s">
        <v>5409</v>
      </c>
      <c r="F469" s="76"/>
      <c r="G469" s="76"/>
      <c r="H469" s="76"/>
      <c r="I469" s="209"/>
      <c r="J469" s="209"/>
      <c r="K469" s="210"/>
      <c r="L469" s="210"/>
      <c r="M469" s="209"/>
      <c r="N469" s="209"/>
      <c r="O469" s="209"/>
      <c r="P469" s="209"/>
      <c r="Q469" s="209" t="s">
        <v>184</v>
      </c>
      <c r="R469" s="209"/>
      <c r="S469" s="209"/>
      <c r="T469" s="209"/>
      <c r="U469" s="209"/>
      <c r="V469" s="209"/>
      <c r="W469" s="209"/>
      <c r="X469" s="209"/>
      <c r="Y469" s="209"/>
      <c r="Z469" s="209"/>
      <c r="AA469" s="209"/>
      <c r="AB469" s="209"/>
      <c r="AC469" s="209"/>
      <c r="AD469" s="97"/>
      <c r="AE469" s="97"/>
      <c r="AF469" s="97"/>
      <c r="AG469" s="97"/>
      <c r="AH469" s="97"/>
      <c r="AI469" s="97"/>
      <c r="AJ469" s="97"/>
      <c r="AK469" s="97"/>
      <c r="AL469" s="97"/>
      <c r="AM469" s="97"/>
      <c r="AN469" s="97"/>
      <c r="AO469" s="97"/>
      <c r="AP469" s="97"/>
      <c r="AQ469" s="97"/>
      <c r="AR469" s="97"/>
      <c r="AS469" s="97"/>
      <c r="AT469" s="97"/>
      <c r="AU469" s="97"/>
      <c r="AV469" s="97"/>
      <c r="AW469" s="97"/>
      <c r="AX469" s="97"/>
    </row>
    <row r="470" ht="15.75" customHeight="1">
      <c r="A470" s="167" t="s">
        <v>842</v>
      </c>
      <c r="B470" s="169" t="s">
        <v>4091</v>
      </c>
      <c r="C470" s="169" t="s">
        <v>4092</v>
      </c>
      <c r="D470" s="169" t="s">
        <v>4093</v>
      </c>
      <c r="E470" s="169" t="s">
        <v>4094</v>
      </c>
      <c r="F470" s="205"/>
      <c r="G470" s="205"/>
      <c r="H470" s="205"/>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97"/>
      <c r="AE470" s="97"/>
      <c r="AF470" s="97"/>
      <c r="AG470" s="97"/>
      <c r="AH470" s="97"/>
      <c r="AI470" s="97"/>
      <c r="AJ470" s="97"/>
      <c r="AK470" s="97"/>
      <c r="AL470" s="97"/>
      <c r="AM470" s="97"/>
      <c r="AN470" s="97"/>
      <c r="AO470" s="97"/>
      <c r="AP470" s="97"/>
      <c r="AQ470" s="97"/>
      <c r="AR470" s="97"/>
      <c r="AS470" s="97"/>
      <c r="AT470" s="97"/>
      <c r="AU470" s="97"/>
      <c r="AV470" s="97"/>
      <c r="AW470" s="97"/>
      <c r="AX470" s="97"/>
    </row>
    <row r="471" ht="15.75" customHeight="1">
      <c r="A471" s="131" t="s">
        <v>150</v>
      </c>
      <c r="B471" s="164" t="s">
        <v>4135</v>
      </c>
      <c r="C471" s="133"/>
      <c r="D471" s="133"/>
      <c r="E471" s="133"/>
      <c r="F471" s="134"/>
      <c r="G471" s="134"/>
      <c r="H471" s="134"/>
      <c r="I471" s="134"/>
      <c r="J471" s="134"/>
      <c r="K471" s="134"/>
      <c r="L471" s="134"/>
      <c r="M471" s="134"/>
      <c r="N471" s="134"/>
      <c r="O471" s="134"/>
      <c r="P471" s="134"/>
      <c r="Q471" s="134"/>
      <c r="R471" s="134"/>
      <c r="S471" s="134"/>
      <c r="T471" s="291" t="s">
        <v>156</v>
      </c>
      <c r="U471" s="134"/>
      <c r="V471" s="134"/>
      <c r="W471" s="134"/>
      <c r="X471" s="134"/>
      <c r="Y471" s="134"/>
      <c r="Z471" s="134"/>
      <c r="AA471" s="134"/>
      <c r="AB471" s="134"/>
      <c r="AC471" s="134"/>
      <c r="AD471" s="97"/>
      <c r="AE471" s="97"/>
      <c r="AF471" s="97"/>
      <c r="AG471" s="97"/>
      <c r="AH471" s="97"/>
      <c r="AI471" s="97"/>
      <c r="AJ471" s="97"/>
      <c r="AK471" s="97"/>
      <c r="AL471" s="97"/>
      <c r="AM471" s="97"/>
      <c r="AN471" s="97"/>
      <c r="AO471" s="97"/>
      <c r="AP471" s="97"/>
      <c r="AQ471" s="97"/>
      <c r="AR471" s="97"/>
      <c r="AS471" s="97"/>
      <c r="AT471" s="97"/>
      <c r="AU471" s="97"/>
      <c r="AV471" s="97"/>
      <c r="AW471" s="97"/>
      <c r="AX471" s="97"/>
    </row>
    <row r="472" ht="15.75" customHeight="1">
      <c r="A472" s="80" t="s">
        <v>115</v>
      </c>
      <c r="B472" s="81" t="s">
        <v>4139</v>
      </c>
      <c r="C472" s="82"/>
      <c r="D472" s="83"/>
      <c r="E472" s="83"/>
      <c r="F472" s="84"/>
      <c r="G472" s="84"/>
      <c r="H472" s="84"/>
      <c r="I472" s="86"/>
      <c r="J472" s="86"/>
      <c r="K472" s="84"/>
      <c r="L472" s="86"/>
      <c r="M472" s="86"/>
      <c r="N472" s="86"/>
      <c r="O472" s="86"/>
      <c r="P472" s="84"/>
      <c r="Q472" s="84"/>
      <c r="R472" s="84"/>
      <c r="S472" s="84"/>
      <c r="T472" s="80" t="s">
        <v>5410</v>
      </c>
      <c r="U472" s="84"/>
      <c r="V472" s="84"/>
      <c r="W472" s="84"/>
      <c r="X472" s="84"/>
      <c r="Y472" s="84"/>
      <c r="Z472" s="84"/>
      <c r="AA472" s="84"/>
      <c r="AB472" s="84"/>
      <c r="AC472" s="84"/>
      <c r="AD472" s="97"/>
      <c r="AE472" s="97"/>
      <c r="AF472" s="97"/>
      <c r="AG472" s="97"/>
      <c r="AH472" s="97"/>
      <c r="AI472" s="97"/>
      <c r="AJ472" s="97"/>
      <c r="AK472" s="97"/>
      <c r="AL472" s="97"/>
      <c r="AM472" s="97"/>
      <c r="AN472" s="97"/>
      <c r="AO472" s="97"/>
      <c r="AP472" s="97"/>
      <c r="AQ472" s="97"/>
      <c r="AR472" s="97"/>
      <c r="AS472" s="97"/>
      <c r="AT472" s="97"/>
      <c r="AU472" s="97"/>
      <c r="AV472" s="97"/>
      <c r="AW472" s="97"/>
      <c r="AX472" s="97"/>
    </row>
    <row r="473" ht="15.75" customHeight="1">
      <c r="A473" s="131" t="s">
        <v>150</v>
      </c>
      <c r="B473" s="164" t="s">
        <v>4149</v>
      </c>
      <c r="C473" s="133"/>
      <c r="D473" s="133"/>
      <c r="E473" s="133"/>
      <c r="F473" s="134"/>
      <c r="G473" s="134"/>
      <c r="H473" s="134"/>
      <c r="I473" s="134"/>
      <c r="J473" s="134"/>
      <c r="K473" s="134"/>
      <c r="L473" s="134"/>
      <c r="M473" s="134"/>
      <c r="N473" s="134"/>
      <c r="O473" s="134"/>
      <c r="P473" s="134"/>
      <c r="Q473" s="134"/>
      <c r="R473" s="134"/>
      <c r="S473" s="134"/>
      <c r="T473" s="291" t="s">
        <v>156</v>
      </c>
      <c r="U473" s="134"/>
      <c r="V473" s="134"/>
      <c r="W473" s="134"/>
      <c r="X473" s="134"/>
      <c r="Y473" s="134"/>
      <c r="Z473" s="134"/>
      <c r="AA473" s="134"/>
      <c r="AB473" s="134"/>
      <c r="AC473" s="134"/>
      <c r="AD473" s="97"/>
      <c r="AE473" s="97"/>
      <c r="AF473" s="97"/>
      <c r="AG473" s="97"/>
      <c r="AH473" s="97"/>
      <c r="AI473" s="97"/>
      <c r="AJ473" s="97"/>
      <c r="AK473" s="97"/>
      <c r="AL473" s="97"/>
      <c r="AM473" s="97"/>
      <c r="AN473" s="97"/>
      <c r="AO473" s="97"/>
      <c r="AP473" s="97"/>
      <c r="AQ473" s="97"/>
      <c r="AR473" s="97"/>
      <c r="AS473" s="97"/>
      <c r="AT473" s="97"/>
      <c r="AU473" s="97"/>
      <c r="AV473" s="97"/>
      <c r="AW473" s="97"/>
      <c r="AX473" s="97"/>
    </row>
    <row r="474" ht="15.75" customHeight="1">
      <c r="A474" s="152" t="s">
        <v>44</v>
      </c>
      <c r="B474" s="77" t="s">
        <v>4206</v>
      </c>
      <c r="C474" s="76" t="s">
        <v>5411</v>
      </c>
      <c r="D474" s="76" t="s">
        <v>5412</v>
      </c>
      <c r="E474" s="117" t="s">
        <v>5413</v>
      </c>
      <c r="F474" s="76"/>
      <c r="G474" s="76"/>
      <c r="H474" s="76"/>
      <c r="I474" s="176"/>
      <c r="J474" s="176"/>
      <c r="K474" s="176"/>
      <c r="L474" s="176"/>
      <c r="M474" s="176"/>
      <c r="N474" s="176"/>
      <c r="O474" s="176"/>
      <c r="P474" s="176"/>
      <c r="Q474" s="176"/>
      <c r="R474" s="176"/>
      <c r="S474" s="176"/>
      <c r="T474" s="176"/>
      <c r="U474" s="176"/>
      <c r="V474" s="176"/>
      <c r="W474" s="176"/>
      <c r="X474" s="176"/>
      <c r="Y474" s="176"/>
      <c r="Z474" s="176"/>
      <c r="AA474" s="176"/>
      <c r="AB474" s="176"/>
      <c r="AC474" s="176"/>
      <c r="AD474" s="97"/>
      <c r="AE474" s="97"/>
      <c r="AF474" s="97"/>
      <c r="AG474" s="97"/>
      <c r="AH474" s="97"/>
      <c r="AI474" s="97"/>
      <c r="AJ474" s="97"/>
      <c r="AK474" s="97"/>
      <c r="AL474" s="97"/>
      <c r="AM474" s="97"/>
      <c r="AN474" s="97"/>
      <c r="AO474" s="97"/>
      <c r="AP474" s="97"/>
      <c r="AQ474" s="97"/>
      <c r="AR474" s="97"/>
      <c r="AS474" s="97"/>
      <c r="AT474" s="97"/>
      <c r="AU474" s="97"/>
      <c r="AV474" s="97"/>
      <c r="AW474" s="97"/>
      <c r="AX474" s="97"/>
    </row>
    <row r="475" ht="15.75" customHeight="1">
      <c r="A475" s="264" t="s">
        <v>256</v>
      </c>
      <c r="B475" s="265" t="s">
        <v>4218</v>
      </c>
      <c r="C475" s="76" t="s">
        <v>5414</v>
      </c>
      <c r="D475" s="76" t="s">
        <v>5415</v>
      </c>
      <c r="E475" s="117" t="s">
        <v>5416</v>
      </c>
      <c r="F475" s="76"/>
      <c r="G475" s="76"/>
      <c r="H475" s="76"/>
      <c r="I475" s="296"/>
      <c r="J475" s="296"/>
      <c r="K475" s="297"/>
      <c r="L475" s="297"/>
      <c r="M475" s="296"/>
      <c r="N475" s="296"/>
      <c r="O475" s="296"/>
      <c r="P475" s="296"/>
      <c r="Q475" s="296" t="s">
        <v>184</v>
      </c>
      <c r="R475" s="296"/>
      <c r="S475" s="296"/>
      <c r="T475" s="296"/>
      <c r="U475" s="296"/>
      <c r="V475" s="296"/>
      <c r="W475" s="296"/>
      <c r="X475" s="296"/>
      <c r="Y475" s="296"/>
      <c r="Z475" s="296"/>
      <c r="AA475" s="296"/>
      <c r="AB475" s="296"/>
      <c r="AC475" s="296"/>
      <c r="AD475" s="97"/>
      <c r="AE475" s="97"/>
      <c r="AF475" s="97"/>
      <c r="AG475" s="97"/>
      <c r="AH475" s="97"/>
      <c r="AI475" s="97"/>
      <c r="AJ475" s="97"/>
      <c r="AK475" s="97"/>
      <c r="AL475" s="97"/>
      <c r="AM475" s="97"/>
      <c r="AN475" s="97"/>
      <c r="AO475" s="97"/>
      <c r="AP475" s="97"/>
      <c r="AQ475" s="97"/>
      <c r="AR475" s="97"/>
      <c r="AS475" s="97"/>
      <c r="AT475" s="97"/>
      <c r="AU475" s="97"/>
      <c r="AV475" s="97"/>
      <c r="AW475" s="97"/>
      <c r="AX475" s="97"/>
    </row>
    <row r="476" ht="15.75" customHeight="1">
      <c r="A476" s="264" t="s">
        <v>256</v>
      </c>
      <c r="B476" s="265" t="s">
        <v>4228</v>
      </c>
      <c r="C476" s="76" t="s">
        <v>5417</v>
      </c>
      <c r="D476" s="76" t="s">
        <v>5418</v>
      </c>
      <c r="E476" s="117" t="s">
        <v>5419</v>
      </c>
      <c r="F476" s="76"/>
      <c r="G476" s="76"/>
      <c r="H476" s="76"/>
      <c r="I476" s="296"/>
      <c r="J476" s="296"/>
      <c r="K476" s="297" t="s">
        <v>5420</v>
      </c>
      <c r="L476" s="297"/>
      <c r="M476" s="296"/>
      <c r="N476" s="296"/>
      <c r="O476" s="296"/>
      <c r="P476" s="296"/>
      <c r="Q476" s="296" t="s">
        <v>184</v>
      </c>
      <c r="R476" s="296"/>
      <c r="S476" s="296"/>
      <c r="T476" s="296"/>
      <c r="U476" s="296"/>
      <c r="V476" s="296"/>
      <c r="W476" s="296"/>
      <c r="X476" s="296"/>
      <c r="Y476" s="296"/>
      <c r="Z476" s="296"/>
      <c r="AA476" s="296"/>
      <c r="AB476" s="296"/>
      <c r="AC476" s="296"/>
      <c r="AD476" s="97"/>
      <c r="AE476" s="97"/>
      <c r="AF476" s="97"/>
      <c r="AG476" s="97"/>
      <c r="AH476" s="97"/>
      <c r="AI476" s="97"/>
      <c r="AJ476" s="97"/>
      <c r="AK476" s="97"/>
      <c r="AL476" s="97"/>
      <c r="AM476" s="97"/>
      <c r="AN476" s="97"/>
      <c r="AO476" s="97"/>
      <c r="AP476" s="97"/>
      <c r="AQ476" s="97"/>
      <c r="AR476" s="97"/>
      <c r="AS476" s="97"/>
      <c r="AT476" s="97"/>
      <c r="AU476" s="97"/>
      <c r="AV476" s="97"/>
      <c r="AW476" s="97"/>
      <c r="AX476" s="97"/>
    </row>
    <row r="477" ht="15.75" customHeight="1">
      <c r="A477" s="264" t="s">
        <v>256</v>
      </c>
      <c r="B477" s="265" t="s">
        <v>4234</v>
      </c>
      <c r="C477" s="76" t="s">
        <v>5421</v>
      </c>
      <c r="D477" s="76" t="s">
        <v>5422</v>
      </c>
      <c r="E477" s="117" t="s">
        <v>5423</v>
      </c>
      <c r="F477" s="76"/>
      <c r="G477" s="76"/>
      <c r="H477" s="76"/>
      <c r="I477" s="296"/>
      <c r="J477" s="296"/>
      <c r="K477" s="297" t="s">
        <v>5420</v>
      </c>
      <c r="L477" s="297"/>
      <c r="M477" s="296"/>
      <c r="N477" s="296"/>
      <c r="O477" s="296"/>
      <c r="P477" s="296"/>
      <c r="Q477" s="296" t="s">
        <v>184</v>
      </c>
      <c r="R477" s="296"/>
      <c r="S477" s="296"/>
      <c r="T477" s="296"/>
      <c r="U477" s="296"/>
      <c r="V477" s="296"/>
      <c r="W477" s="296"/>
      <c r="X477" s="296"/>
      <c r="Y477" s="296"/>
      <c r="Z477" s="296"/>
      <c r="AA477" s="296"/>
      <c r="AB477" s="296"/>
      <c r="AC477" s="296"/>
      <c r="AD477" s="97"/>
      <c r="AE477" s="97"/>
      <c r="AF477" s="97"/>
      <c r="AG477" s="97"/>
      <c r="AH477" s="97"/>
      <c r="AI477" s="97"/>
      <c r="AJ477" s="97"/>
      <c r="AK477" s="97"/>
      <c r="AL477" s="97"/>
      <c r="AM477" s="97"/>
      <c r="AN477" s="97"/>
      <c r="AO477" s="97"/>
      <c r="AP477" s="97"/>
      <c r="AQ477" s="97"/>
      <c r="AR477" s="97"/>
      <c r="AS477" s="97"/>
      <c r="AT477" s="97"/>
      <c r="AU477" s="97"/>
      <c r="AV477" s="97"/>
      <c r="AW477" s="97"/>
      <c r="AX477" s="97"/>
    </row>
    <row r="478" ht="15.75" customHeight="1">
      <c r="A478" s="264" t="s">
        <v>256</v>
      </c>
      <c r="B478" s="265" t="s">
        <v>4241</v>
      </c>
      <c r="C478" s="76" t="s">
        <v>5424</v>
      </c>
      <c r="D478" s="76" t="s">
        <v>5425</v>
      </c>
      <c r="E478" s="117" t="s">
        <v>5426</v>
      </c>
      <c r="F478" s="76"/>
      <c r="G478" s="76"/>
      <c r="H478" s="76"/>
      <c r="I478" s="296"/>
      <c r="J478" s="296"/>
      <c r="K478" s="297" t="s">
        <v>5420</v>
      </c>
      <c r="L478" s="297"/>
      <c r="M478" s="296"/>
      <c r="N478" s="296"/>
      <c r="O478" s="296"/>
      <c r="P478" s="296"/>
      <c r="Q478" s="296" t="s">
        <v>184</v>
      </c>
      <c r="R478" s="296"/>
      <c r="S478" s="296"/>
      <c r="T478" s="296"/>
      <c r="U478" s="296"/>
      <c r="V478" s="296"/>
      <c r="W478" s="296"/>
      <c r="X478" s="296"/>
      <c r="Y478" s="296"/>
      <c r="Z478" s="296"/>
      <c r="AA478" s="296"/>
      <c r="AB478" s="296"/>
      <c r="AC478" s="296"/>
      <c r="AD478" s="97"/>
      <c r="AE478" s="97"/>
      <c r="AF478" s="97"/>
      <c r="AG478" s="97"/>
      <c r="AH478" s="97"/>
      <c r="AI478" s="97"/>
      <c r="AJ478" s="97"/>
      <c r="AK478" s="97"/>
      <c r="AL478" s="97"/>
      <c r="AM478" s="97"/>
      <c r="AN478" s="97"/>
      <c r="AO478" s="97"/>
      <c r="AP478" s="97"/>
      <c r="AQ478" s="97"/>
      <c r="AR478" s="97"/>
      <c r="AS478" s="97"/>
      <c r="AT478" s="97"/>
      <c r="AU478" s="97"/>
      <c r="AV478" s="97"/>
      <c r="AW478" s="97"/>
      <c r="AX478" s="97"/>
    </row>
    <row r="479" ht="15.75" customHeight="1">
      <c r="A479" s="264" t="s">
        <v>256</v>
      </c>
      <c r="B479" s="265" t="s">
        <v>4251</v>
      </c>
      <c r="C479" s="76" t="s">
        <v>5427</v>
      </c>
      <c r="D479" s="76" t="s">
        <v>5428</v>
      </c>
      <c r="E479" s="117" t="s">
        <v>5429</v>
      </c>
      <c r="F479" s="76"/>
      <c r="G479" s="76"/>
      <c r="H479" s="76"/>
      <c r="I479" s="296"/>
      <c r="J479" s="296"/>
      <c r="K479" s="297" t="s">
        <v>5420</v>
      </c>
      <c r="L479" s="297"/>
      <c r="M479" s="296"/>
      <c r="N479" s="296"/>
      <c r="O479" s="296"/>
      <c r="P479" s="296"/>
      <c r="Q479" s="296" t="s">
        <v>184</v>
      </c>
      <c r="R479" s="296"/>
      <c r="S479" s="296"/>
      <c r="T479" s="296"/>
      <c r="U479" s="296"/>
      <c r="V479" s="296"/>
      <c r="W479" s="296"/>
      <c r="X479" s="296"/>
      <c r="Y479" s="296"/>
      <c r="Z479" s="296"/>
      <c r="AA479" s="296"/>
      <c r="AB479" s="296"/>
      <c r="AC479" s="296"/>
      <c r="AD479" s="97"/>
      <c r="AE479" s="97"/>
      <c r="AF479" s="97"/>
      <c r="AG479" s="97"/>
      <c r="AH479" s="97"/>
      <c r="AI479" s="97"/>
      <c r="AJ479" s="97"/>
      <c r="AK479" s="97"/>
      <c r="AL479" s="97"/>
      <c r="AM479" s="97"/>
      <c r="AN479" s="97"/>
      <c r="AO479" s="97"/>
      <c r="AP479" s="97"/>
      <c r="AQ479" s="97"/>
      <c r="AR479" s="97"/>
      <c r="AS479" s="97"/>
      <c r="AT479" s="97"/>
      <c r="AU479" s="97"/>
      <c r="AV479" s="97"/>
      <c r="AW479" s="97"/>
      <c r="AX479" s="97"/>
    </row>
    <row r="480" ht="15.75" customHeight="1">
      <c r="A480" s="170" t="s">
        <v>238</v>
      </c>
      <c r="B480" s="171" t="s">
        <v>4255</v>
      </c>
      <c r="C480" s="76" t="s">
        <v>5430</v>
      </c>
      <c r="D480" s="76" t="s">
        <v>5431</v>
      </c>
      <c r="E480" s="117" t="s">
        <v>5432</v>
      </c>
      <c r="F480" s="76" t="s">
        <v>5433</v>
      </c>
      <c r="G480" s="76" t="s">
        <v>5434</v>
      </c>
      <c r="H480" s="76" t="s">
        <v>5435</v>
      </c>
      <c r="I480" s="209"/>
      <c r="J480" s="209"/>
      <c r="K480" s="210"/>
      <c r="L480" s="210"/>
      <c r="M480" s="209"/>
      <c r="N480" s="209"/>
      <c r="O480" s="209" t="s">
        <v>5436</v>
      </c>
      <c r="P480" s="209"/>
      <c r="Q480" s="209" t="s">
        <v>184</v>
      </c>
      <c r="R480" s="209"/>
      <c r="S480" s="209"/>
      <c r="T480" s="209"/>
      <c r="U480" s="209"/>
      <c r="V480" s="209"/>
      <c r="W480" s="209"/>
      <c r="X480" s="209"/>
      <c r="Y480" s="209"/>
      <c r="Z480" s="209"/>
      <c r="AA480" s="209"/>
      <c r="AB480" s="209"/>
      <c r="AC480" s="209"/>
      <c r="AD480" s="97"/>
      <c r="AE480" s="97"/>
      <c r="AF480" s="97"/>
      <c r="AG480" s="97"/>
      <c r="AH480" s="97"/>
      <c r="AI480" s="97"/>
      <c r="AJ480" s="97"/>
      <c r="AK480" s="97"/>
      <c r="AL480" s="97"/>
      <c r="AM480" s="97"/>
      <c r="AN480" s="97"/>
      <c r="AO480" s="97"/>
      <c r="AP480" s="97"/>
      <c r="AQ480" s="97"/>
      <c r="AR480" s="97"/>
      <c r="AS480" s="97"/>
      <c r="AT480" s="97"/>
      <c r="AU480" s="97"/>
      <c r="AV480" s="97"/>
      <c r="AW480" s="97"/>
      <c r="AX480" s="97"/>
    </row>
    <row r="481" ht="15.75" customHeight="1">
      <c r="A481" s="131" t="s">
        <v>150</v>
      </c>
      <c r="B481" s="164" t="s">
        <v>4259</v>
      </c>
      <c r="C481" s="133"/>
      <c r="D481" s="133"/>
      <c r="E481" s="133"/>
      <c r="F481" s="134"/>
      <c r="G481" s="134"/>
      <c r="H481" s="134"/>
      <c r="I481" s="134"/>
      <c r="J481" s="134"/>
      <c r="K481" s="134"/>
      <c r="L481" s="134"/>
      <c r="M481" s="134"/>
      <c r="N481" s="134"/>
      <c r="O481" s="134"/>
      <c r="P481" s="134"/>
      <c r="Q481" s="134"/>
      <c r="R481" s="134"/>
      <c r="S481" s="134"/>
      <c r="T481" s="291" t="s">
        <v>156</v>
      </c>
      <c r="U481" s="134"/>
      <c r="V481" s="134"/>
      <c r="W481" s="134"/>
      <c r="X481" s="134"/>
      <c r="Y481" s="134"/>
      <c r="Z481" s="134"/>
      <c r="AA481" s="134"/>
      <c r="AB481" s="134"/>
      <c r="AC481" s="134"/>
      <c r="AD481" s="97"/>
      <c r="AE481" s="97"/>
      <c r="AF481" s="97"/>
      <c r="AG481" s="97"/>
      <c r="AH481" s="97"/>
      <c r="AI481" s="97"/>
      <c r="AJ481" s="97"/>
      <c r="AK481" s="97"/>
      <c r="AL481" s="97"/>
      <c r="AM481" s="97"/>
      <c r="AN481" s="97"/>
      <c r="AO481" s="97"/>
      <c r="AP481" s="97"/>
      <c r="AQ481" s="97"/>
      <c r="AR481" s="97"/>
      <c r="AS481" s="97"/>
      <c r="AT481" s="97"/>
      <c r="AU481" s="97"/>
      <c r="AV481" s="97"/>
      <c r="AW481" s="97"/>
      <c r="AX481" s="97"/>
    </row>
    <row r="482" ht="15.75" customHeight="1">
      <c r="A482" s="80" t="s">
        <v>115</v>
      </c>
      <c r="B482" s="81" t="s">
        <v>4260</v>
      </c>
      <c r="C482" s="82"/>
      <c r="D482" s="83"/>
      <c r="E482" s="83"/>
      <c r="F482" s="84"/>
      <c r="G482" s="84"/>
      <c r="H482" s="84"/>
      <c r="I482" s="86"/>
      <c r="J482" s="86"/>
      <c r="K482" s="84"/>
      <c r="L482" s="86"/>
      <c r="M482" s="86"/>
      <c r="N482" s="86"/>
      <c r="O482" s="86"/>
      <c r="P482" s="84"/>
      <c r="Q482" s="84"/>
      <c r="R482" s="84"/>
      <c r="S482" s="84"/>
      <c r="T482" s="80" t="s">
        <v>5437</v>
      </c>
      <c r="U482" s="84"/>
      <c r="V482" s="84"/>
      <c r="W482" s="84"/>
      <c r="X482" s="84"/>
      <c r="Y482" s="84"/>
      <c r="Z482" s="84"/>
      <c r="AA482" s="84"/>
      <c r="AB482" s="84"/>
      <c r="AC482" s="84"/>
      <c r="AD482" s="97"/>
      <c r="AE482" s="97"/>
      <c r="AF482" s="97"/>
      <c r="AG482" s="97"/>
      <c r="AH482" s="97"/>
      <c r="AI482" s="97"/>
      <c r="AJ482" s="97"/>
      <c r="AK482" s="97"/>
      <c r="AL482" s="97"/>
      <c r="AM482" s="97"/>
      <c r="AN482" s="97"/>
      <c r="AO482" s="97"/>
      <c r="AP482" s="97"/>
      <c r="AQ482" s="97"/>
      <c r="AR482" s="97"/>
      <c r="AS482" s="97"/>
      <c r="AT482" s="97"/>
      <c r="AU482" s="97"/>
      <c r="AV482" s="97"/>
      <c r="AW482" s="97"/>
      <c r="AX482" s="97"/>
    </row>
    <row r="483" ht="15.75" customHeight="1">
      <c r="A483" s="152" t="s">
        <v>44</v>
      </c>
      <c r="B483" s="77" t="s">
        <v>4264</v>
      </c>
      <c r="C483" s="76" t="s">
        <v>5438</v>
      </c>
      <c r="D483" s="76" t="s">
        <v>5439</v>
      </c>
      <c r="E483" s="117" t="s">
        <v>5440</v>
      </c>
      <c r="F483" s="76"/>
      <c r="G483" s="76"/>
      <c r="H483" s="76"/>
      <c r="I483" s="176"/>
      <c r="J483" s="176"/>
      <c r="K483" s="176"/>
      <c r="L483" s="176"/>
      <c r="M483" s="176"/>
      <c r="N483" s="176"/>
      <c r="O483" s="176"/>
      <c r="P483" s="176"/>
      <c r="Q483" s="176"/>
      <c r="R483" s="176"/>
      <c r="S483" s="176"/>
      <c r="T483" s="176"/>
      <c r="U483" s="176"/>
      <c r="V483" s="176"/>
      <c r="W483" s="176"/>
      <c r="X483" s="176"/>
      <c r="Y483" s="176"/>
      <c r="Z483" s="176"/>
      <c r="AA483" s="176"/>
      <c r="AB483" s="176"/>
      <c r="AC483" s="176"/>
      <c r="AD483" s="97"/>
      <c r="AE483" s="97"/>
      <c r="AF483" s="97"/>
      <c r="AG483" s="97"/>
      <c r="AH483" s="97"/>
      <c r="AI483" s="97"/>
      <c r="AJ483" s="97"/>
      <c r="AK483" s="97"/>
      <c r="AL483" s="97"/>
      <c r="AM483" s="97"/>
      <c r="AN483" s="97"/>
      <c r="AO483" s="97"/>
      <c r="AP483" s="97"/>
      <c r="AQ483" s="97"/>
      <c r="AR483" s="97"/>
      <c r="AS483" s="97"/>
      <c r="AT483" s="97"/>
      <c r="AU483" s="97"/>
      <c r="AV483" s="97"/>
      <c r="AW483" s="97"/>
      <c r="AX483" s="97"/>
    </row>
    <row r="484" ht="15.75" customHeight="1">
      <c r="A484" s="114" t="s">
        <v>4275</v>
      </c>
      <c r="B484" s="165" t="s">
        <v>4276</v>
      </c>
      <c r="C484" s="76" t="s">
        <v>5441</v>
      </c>
      <c r="D484" s="76" t="s">
        <v>5442</v>
      </c>
      <c r="E484" s="117" t="s">
        <v>5443</v>
      </c>
      <c r="F484" s="76"/>
      <c r="G484" s="76"/>
      <c r="H484" s="76"/>
      <c r="I484" s="118"/>
      <c r="J484" s="120"/>
      <c r="K484" s="118" t="s">
        <v>5444</v>
      </c>
      <c r="L484" s="118"/>
      <c r="M484" s="118"/>
      <c r="N484" s="118"/>
      <c r="O484" s="118"/>
      <c r="P484" s="118"/>
      <c r="Q484" s="118" t="s">
        <v>184</v>
      </c>
      <c r="R484" s="118"/>
      <c r="S484" s="118"/>
      <c r="T484" s="118"/>
      <c r="U484" s="118"/>
      <c r="V484" s="118"/>
      <c r="W484" s="118"/>
      <c r="X484" s="118"/>
      <c r="Y484" s="118"/>
      <c r="Z484" s="118"/>
      <c r="AA484" s="118"/>
      <c r="AB484" s="118"/>
      <c r="AC484" s="118"/>
      <c r="AD484" s="97"/>
      <c r="AE484" s="97"/>
      <c r="AF484" s="97"/>
      <c r="AG484" s="97"/>
      <c r="AH484" s="97"/>
      <c r="AI484" s="97"/>
      <c r="AJ484" s="97"/>
      <c r="AK484" s="97"/>
      <c r="AL484" s="97"/>
      <c r="AM484" s="97"/>
      <c r="AN484" s="97"/>
      <c r="AO484" s="97"/>
      <c r="AP484" s="97"/>
      <c r="AQ484" s="97"/>
      <c r="AR484" s="97"/>
      <c r="AS484" s="97"/>
      <c r="AT484" s="97"/>
      <c r="AU484" s="97"/>
      <c r="AV484" s="97"/>
      <c r="AW484" s="97"/>
      <c r="AX484" s="97"/>
    </row>
    <row r="485" ht="15.75" customHeight="1">
      <c r="A485" s="162" t="s">
        <v>217</v>
      </c>
      <c r="B485" s="166" t="s">
        <v>4281</v>
      </c>
      <c r="C485" s="76" t="s">
        <v>5445</v>
      </c>
      <c r="D485" s="76" t="s">
        <v>5446</v>
      </c>
      <c r="E485" s="117" t="s">
        <v>5447</v>
      </c>
      <c r="F485" s="76"/>
      <c r="G485" s="76"/>
      <c r="H485" s="76"/>
      <c r="I485" s="182"/>
      <c r="J485" s="183"/>
      <c r="K485" s="182"/>
      <c r="L485" s="182"/>
      <c r="M485" s="182"/>
      <c r="N485" s="182"/>
      <c r="O485" s="182" t="s">
        <v>5448</v>
      </c>
      <c r="P485" s="182"/>
      <c r="Q485" s="182" t="s">
        <v>184</v>
      </c>
      <c r="R485" s="182"/>
      <c r="S485" s="182"/>
      <c r="T485" s="182"/>
      <c r="U485" s="182"/>
      <c r="V485" s="182"/>
      <c r="W485" s="182"/>
      <c r="X485" s="182"/>
      <c r="Y485" s="182"/>
      <c r="Z485" s="182"/>
      <c r="AA485" s="182"/>
      <c r="AB485" s="182"/>
      <c r="AC485" s="182"/>
      <c r="AD485" s="97"/>
      <c r="AE485" s="97"/>
      <c r="AF485" s="97"/>
      <c r="AG485" s="97"/>
      <c r="AH485" s="97"/>
      <c r="AI485" s="97"/>
      <c r="AJ485" s="97"/>
      <c r="AK485" s="97"/>
      <c r="AL485" s="97"/>
      <c r="AM485" s="97"/>
      <c r="AN485" s="97"/>
      <c r="AO485" s="97"/>
      <c r="AP485" s="97"/>
      <c r="AQ485" s="97"/>
      <c r="AR485" s="97"/>
      <c r="AS485" s="97"/>
      <c r="AT485" s="97"/>
      <c r="AU485" s="97"/>
      <c r="AV485" s="97"/>
      <c r="AW485" s="97"/>
      <c r="AX485" s="97"/>
    </row>
    <row r="486" ht="15.75" customHeight="1">
      <c r="A486" s="131" t="s">
        <v>150</v>
      </c>
      <c r="B486" s="164" t="s">
        <v>4285</v>
      </c>
      <c r="C486" s="133"/>
      <c r="D486" s="133"/>
      <c r="E486" s="133"/>
      <c r="F486" s="134"/>
      <c r="G486" s="134"/>
      <c r="H486" s="134"/>
      <c r="I486" s="134"/>
      <c r="J486" s="134"/>
      <c r="K486" s="134"/>
      <c r="L486" s="134"/>
      <c r="M486" s="134"/>
      <c r="N486" s="134"/>
      <c r="O486" s="134"/>
      <c r="P486" s="134"/>
      <c r="Q486" s="134"/>
      <c r="R486" s="134"/>
      <c r="S486" s="134"/>
      <c r="T486" s="291" t="s">
        <v>156</v>
      </c>
      <c r="U486" s="134"/>
      <c r="V486" s="134"/>
      <c r="W486" s="134"/>
      <c r="X486" s="134"/>
      <c r="Y486" s="134"/>
      <c r="Z486" s="134"/>
      <c r="AA486" s="134"/>
      <c r="AB486" s="134"/>
      <c r="AC486" s="134"/>
      <c r="AD486" s="97"/>
      <c r="AE486" s="97"/>
      <c r="AF486" s="97"/>
      <c r="AG486" s="97"/>
      <c r="AH486" s="97"/>
      <c r="AI486" s="97"/>
      <c r="AJ486" s="97"/>
      <c r="AK486" s="97"/>
      <c r="AL486" s="97"/>
      <c r="AM486" s="97"/>
      <c r="AN486" s="97"/>
      <c r="AO486" s="97"/>
      <c r="AP486" s="97"/>
      <c r="AQ486" s="97"/>
      <c r="AR486" s="97"/>
      <c r="AS486" s="97"/>
      <c r="AT486" s="97"/>
      <c r="AU486" s="97"/>
      <c r="AV486" s="97"/>
      <c r="AW486" s="97"/>
      <c r="AX486" s="97"/>
    </row>
    <row r="487" ht="15.75" customHeight="1">
      <c r="A487" s="167" t="s">
        <v>807</v>
      </c>
      <c r="B487" s="168" t="s">
        <v>4289</v>
      </c>
      <c r="C487" s="168" t="s">
        <v>4290</v>
      </c>
      <c r="D487" s="169" t="s">
        <v>4291</v>
      </c>
      <c r="E487" s="169" t="s">
        <v>4292</v>
      </c>
      <c r="F487" s="205"/>
      <c r="G487" s="205"/>
      <c r="H487" s="205"/>
      <c r="I487" s="205"/>
      <c r="J487" s="205"/>
      <c r="K487" s="205"/>
      <c r="L487" s="205"/>
      <c r="M487" s="207"/>
      <c r="N487" s="207"/>
      <c r="O487" s="207" t="s">
        <v>5449</v>
      </c>
      <c r="P487" s="205"/>
      <c r="Q487" s="205"/>
      <c r="R487" s="205"/>
      <c r="S487" s="205"/>
      <c r="T487" s="205"/>
      <c r="U487" s="207" t="s">
        <v>5450</v>
      </c>
      <c r="V487" s="205"/>
      <c r="W487" s="205"/>
      <c r="X487" s="205"/>
      <c r="Y487" s="205"/>
      <c r="Z487" s="205"/>
      <c r="AA487" s="205"/>
      <c r="AB487" s="205"/>
      <c r="AC487" s="205"/>
      <c r="AD487" s="97"/>
      <c r="AE487" s="97"/>
      <c r="AF487" s="97"/>
      <c r="AG487" s="97"/>
      <c r="AH487" s="97"/>
      <c r="AI487" s="97"/>
      <c r="AJ487" s="97"/>
      <c r="AK487" s="97"/>
      <c r="AL487" s="97"/>
      <c r="AM487" s="97"/>
      <c r="AN487" s="97"/>
      <c r="AO487" s="97"/>
      <c r="AP487" s="97"/>
      <c r="AQ487" s="97"/>
      <c r="AR487" s="97"/>
      <c r="AS487" s="97"/>
      <c r="AT487" s="97"/>
      <c r="AU487" s="97"/>
      <c r="AV487" s="97"/>
      <c r="AW487" s="97"/>
      <c r="AX487" s="97"/>
    </row>
    <row r="488" ht="15.75" customHeight="1">
      <c r="A488" s="131" t="s">
        <v>115</v>
      </c>
      <c r="B488" s="132" t="s">
        <v>4293</v>
      </c>
      <c r="C488" s="133" t="s">
        <v>4294</v>
      </c>
      <c r="D488" s="133" t="s">
        <v>4295</v>
      </c>
      <c r="E488" s="133" t="s">
        <v>4296</v>
      </c>
      <c r="F488" s="134"/>
      <c r="G488" s="134"/>
      <c r="H488" s="134"/>
      <c r="I488" s="134"/>
      <c r="J488" s="134"/>
      <c r="K488" s="134"/>
      <c r="L488" s="134"/>
      <c r="M488" s="134"/>
      <c r="N488" s="134"/>
      <c r="O488" s="134"/>
      <c r="P488" s="134"/>
      <c r="Q488" s="134"/>
      <c r="R488" s="134"/>
      <c r="S488" s="134"/>
      <c r="T488" s="149" t="s">
        <v>5451</v>
      </c>
      <c r="U488" s="134"/>
      <c r="V488" s="134"/>
      <c r="W488" s="134"/>
      <c r="X488" s="134"/>
      <c r="Y488" s="134"/>
      <c r="Z488" s="134"/>
      <c r="AA488" s="134"/>
      <c r="AB488" s="134"/>
      <c r="AC488" s="134"/>
      <c r="AD488" s="97"/>
      <c r="AE488" s="97"/>
      <c r="AF488" s="97"/>
      <c r="AG488" s="97"/>
      <c r="AH488" s="97"/>
      <c r="AI488" s="97"/>
      <c r="AJ488" s="97"/>
      <c r="AK488" s="97"/>
      <c r="AL488" s="97"/>
      <c r="AM488" s="97"/>
      <c r="AN488" s="97"/>
      <c r="AO488" s="97"/>
      <c r="AP488" s="97"/>
      <c r="AQ488" s="97"/>
      <c r="AR488" s="97"/>
      <c r="AS488" s="97"/>
      <c r="AT488" s="97"/>
      <c r="AU488" s="97"/>
      <c r="AV488" s="97"/>
      <c r="AW488" s="97"/>
      <c r="AX488" s="97"/>
    </row>
    <row r="489" ht="15.75" customHeight="1">
      <c r="A489" s="150" t="s">
        <v>161</v>
      </c>
      <c r="B489" s="82" t="s">
        <v>4300</v>
      </c>
      <c r="C489" s="82"/>
      <c r="D489" s="83"/>
      <c r="E489" s="83"/>
      <c r="F489" s="84"/>
      <c r="G489" s="84"/>
      <c r="H489" s="84"/>
      <c r="I489" s="84"/>
      <c r="J489" s="86" t="s">
        <v>1811</v>
      </c>
      <c r="K489" s="84"/>
      <c r="L489" s="84"/>
      <c r="M489" s="86"/>
      <c r="N489" s="86"/>
      <c r="O489" s="86"/>
      <c r="P489" s="84"/>
      <c r="Q489" s="84"/>
      <c r="R489" s="84"/>
      <c r="S489" s="84"/>
      <c r="T489" s="84"/>
      <c r="U489" s="84"/>
      <c r="V489" s="84"/>
      <c r="W489" s="84"/>
      <c r="X489" s="84"/>
      <c r="Y489" s="84"/>
      <c r="Z489" s="84"/>
      <c r="AA489" s="84"/>
      <c r="AB489" s="84"/>
      <c r="AC489" s="84"/>
      <c r="AD489" s="97"/>
      <c r="AE489" s="97"/>
      <c r="AF489" s="97"/>
      <c r="AG489" s="97"/>
      <c r="AH489" s="97"/>
      <c r="AI489" s="97"/>
      <c r="AJ489" s="97"/>
      <c r="AK489" s="97"/>
      <c r="AL489" s="97"/>
      <c r="AM489" s="97"/>
      <c r="AN489" s="97"/>
      <c r="AO489" s="97"/>
      <c r="AP489" s="97"/>
      <c r="AQ489" s="97"/>
      <c r="AR489" s="97"/>
      <c r="AS489" s="97"/>
      <c r="AT489" s="97"/>
      <c r="AU489" s="97"/>
      <c r="AV489" s="97"/>
      <c r="AW489" s="97"/>
      <c r="AX489" s="97"/>
    </row>
    <row r="490" ht="15.75" customHeight="1">
      <c r="A490" s="264" t="s">
        <v>256</v>
      </c>
      <c r="B490" s="265" t="s">
        <v>4301</v>
      </c>
      <c r="C490" s="76" t="s">
        <v>5452</v>
      </c>
      <c r="D490" s="76" t="s">
        <v>5453</v>
      </c>
      <c r="E490" s="117" t="s">
        <v>5454</v>
      </c>
      <c r="F490" s="76"/>
      <c r="G490" s="76"/>
      <c r="H490" s="76"/>
      <c r="I490" s="296"/>
      <c r="J490" s="296"/>
      <c r="K490" s="297"/>
      <c r="L490" s="297"/>
      <c r="M490" s="296"/>
      <c r="N490" s="296"/>
      <c r="O490" s="296"/>
      <c r="P490" s="296"/>
      <c r="Q490" s="296" t="s">
        <v>184</v>
      </c>
      <c r="R490" s="296"/>
      <c r="S490" s="296"/>
      <c r="T490" s="296"/>
      <c r="U490" s="296"/>
      <c r="V490" s="296"/>
      <c r="W490" s="296"/>
      <c r="X490" s="296"/>
      <c r="Y490" s="296"/>
      <c r="Z490" s="296"/>
      <c r="AA490" s="296"/>
      <c r="AB490" s="296"/>
      <c r="AC490" s="296"/>
      <c r="AD490" s="97"/>
      <c r="AE490" s="97"/>
      <c r="AF490" s="97"/>
      <c r="AG490" s="97"/>
      <c r="AH490" s="97"/>
      <c r="AI490" s="97"/>
      <c r="AJ490" s="97"/>
      <c r="AK490" s="97"/>
      <c r="AL490" s="97"/>
      <c r="AM490" s="97"/>
      <c r="AN490" s="97"/>
      <c r="AO490" s="97"/>
      <c r="AP490" s="97"/>
      <c r="AQ490" s="97"/>
      <c r="AR490" s="97"/>
      <c r="AS490" s="97"/>
      <c r="AT490" s="97"/>
      <c r="AU490" s="97"/>
      <c r="AV490" s="97"/>
      <c r="AW490" s="97"/>
      <c r="AX490" s="97"/>
    </row>
    <row r="491" ht="15.75" customHeight="1">
      <c r="A491" s="114" t="s">
        <v>4305</v>
      </c>
      <c r="B491" s="165" t="s">
        <v>4306</v>
      </c>
      <c r="C491" s="76" t="s">
        <v>5455</v>
      </c>
      <c r="D491" s="76" t="s">
        <v>5456</v>
      </c>
      <c r="E491" s="117" t="s">
        <v>5457</v>
      </c>
      <c r="F491" s="76"/>
      <c r="G491" s="76"/>
      <c r="H491" s="76"/>
      <c r="I491" s="118"/>
      <c r="J491" s="120"/>
      <c r="K491" s="118"/>
      <c r="L491" s="118"/>
      <c r="M491" s="118"/>
      <c r="N491" s="118"/>
      <c r="O491" s="118"/>
      <c r="P491" s="118"/>
      <c r="Q491" s="118" t="s">
        <v>184</v>
      </c>
      <c r="R491" s="118"/>
      <c r="S491" s="118"/>
      <c r="T491" s="118"/>
      <c r="U491" s="118"/>
      <c r="V491" s="118"/>
      <c r="W491" s="118"/>
      <c r="X491" s="118"/>
      <c r="Y491" s="118"/>
      <c r="Z491" s="118"/>
      <c r="AA491" s="118"/>
      <c r="AB491" s="118"/>
      <c r="AC491" s="118"/>
      <c r="AD491" s="97"/>
      <c r="AE491" s="97"/>
      <c r="AF491" s="97"/>
      <c r="AG491" s="97"/>
      <c r="AH491" s="97"/>
      <c r="AI491" s="97"/>
      <c r="AJ491" s="97"/>
      <c r="AK491" s="97"/>
      <c r="AL491" s="97"/>
      <c r="AM491" s="97"/>
      <c r="AN491" s="97"/>
      <c r="AO491" s="97"/>
      <c r="AP491" s="97"/>
      <c r="AQ491" s="97"/>
      <c r="AR491" s="97"/>
      <c r="AS491" s="97"/>
      <c r="AT491" s="97"/>
      <c r="AU491" s="97"/>
      <c r="AV491" s="97"/>
      <c r="AW491" s="97"/>
      <c r="AX491" s="97"/>
    </row>
    <row r="492" ht="15.75" customHeight="1">
      <c r="A492" s="150" t="s">
        <v>343</v>
      </c>
      <c r="B492" s="83" t="s">
        <v>4300</v>
      </c>
      <c r="C492" s="83"/>
      <c r="D492" s="83"/>
      <c r="E492" s="83"/>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97"/>
      <c r="AE492" s="97"/>
      <c r="AF492" s="97"/>
      <c r="AG492" s="97"/>
      <c r="AH492" s="97"/>
      <c r="AI492" s="97"/>
      <c r="AJ492" s="97"/>
      <c r="AK492" s="97"/>
      <c r="AL492" s="97"/>
      <c r="AM492" s="97"/>
      <c r="AN492" s="97"/>
      <c r="AO492" s="97"/>
      <c r="AP492" s="97"/>
      <c r="AQ492" s="97"/>
      <c r="AR492" s="97"/>
      <c r="AS492" s="97"/>
      <c r="AT492" s="97"/>
      <c r="AU492" s="97"/>
      <c r="AV492" s="97"/>
      <c r="AW492" s="97"/>
      <c r="AX492" s="97"/>
    </row>
    <row r="493" ht="15.75" customHeight="1">
      <c r="A493" s="162" t="s">
        <v>217</v>
      </c>
      <c r="B493" s="166" t="s">
        <v>4318</v>
      </c>
      <c r="C493" s="76" t="s">
        <v>5458</v>
      </c>
      <c r="D493" s="76" t="s">
        <v>5459</v>
      </c>
      <c r="E493" s="117" t="s">
        <v>5460</v>
      </c>
      <c r="F493" s="76"/>
      <c r="G493" s="76"/>
      <c r="H493" s="76"/>
      <c r="I493" s="182"/>
      <c r="J493" s="183"/>
      <c r="K493" s="182"/>
      <c r="L493" s="182"/>
      <c r="M493" s="182"/>
      <c r="N493" s="182"/>
      <c r="O493" s="182" t="s">
        <v>5461</v>
      </c>
      <c r="P493" s="182"/>
      <c r="Q493" s="182" t="s">
        <v>184</v>
      </c>
      <c r="R493" s="182"/>
      <c r="S493" s="182"/>
      <c r="T493" s="182"/>
      <c r="U493" s="182"/>
      <c r="V493" s="182"/>
      <c r="W493" s="182"/>
      <c r="X493" s="182"/>
      <c r="Y493" s="182"/>
      <c r="Z493" s="182"/>
      <c r="AA493" s="182"/>
      <c r="AB493" s="182"/>
      <c r="AC493" s="182"/>
      <c r="AD493" s="97"/>
      <c r="AE493" s="97"/>
      <c r="AF493" s="97"/>
      <c r="AG493" s="97"/>
      <c r="AH493" s="97"/>
      <c r="AI493" s="97"/>
      <c r="AJ493" s="97"/>
      <c r="AK493" s="97"/>
      <c r="AL493" s="97"/>
      <c r="AM493" s="97"/>
      <c r="AN493" s="97"/>
      <c r="AO493" s="97"/>
      <c r="AP493" s="97"/>
      <c r="AQ493" s="97"/>
      <c r="AR493" s="97"/>
      <c r="AS493" s="97"/>
      <c r="AT493" s="97"/>
      <c r="AU493" s="97"/>
      <c r="AV493" s="97"/>
      <c r="AW493" s="97"/>
      <c r="AX493" s="97"/>
    </row>
    <row r="494" ht="15.75" customHeight="1">
      <c r="A494" s="131" t="s">
        <v>115</v>
      </c>
      <c r="B494" s="132" t="s">
        <v>4325</v>
      </c>
      <c r="C494" s="133" t="s">
        <v>4326</v>
      </c>
      <c r="D494" s="133"/>
      <c r="E494" s="133"/>
      <c r="F494" s="134"/>
      <c r="G494" s="134"/>
      <c r="H494" s="134"/>
      <c r="I494" s="134"/>
      <c r="J494" s="134"/>
      <c r="K494" s="134"/>
      <c r="L494" s="134"/>
      <c r="M494" s="134"/>
      <c r="N494" s="134"/>
      <c r="O494" s="134"/>
      <c r="P494" s="134"/>
      <c r="Q494" s="134" t="s">
        <v>184</v>
      </c>
      <c r="R494" s="134"/>
      <c r="S494" s="134"/>
      <c r="T494" s="149" t="s">
        <v>5462</v>
      </c>
      <c r="U494" s="134"/>
      <c r="V494" s="134"/>
      <c r="W494" s="134"/>
      <c r="X494" s="134"/>
      <c r="Y494" s="134"/>
      <c r="Z494" s="134"/>
      <c r="AA494" s="134"/>
      <c r="AB494" s="134"/>
      <c r="AC494" s="134"/>
      <c r="AD494" s="97"/>
      <c r="AE494" s="97"/>
      <c r="AF494" s="97"/>
      <c r="AG494" s="97"/>
      <c r="AH494" s="97"/>
      <c r="AI494" s="97"/>
      <c r="AJ494" s="97"/>
      <c r="AK494" s="97"/>
      <c r="AL494" s="97"/>
      <c r="AM494" s="97"/>
      <c r="AN494" s="97"/>
      <c r="AO494" s="97"/>
      <c r="AP494" s="97"/>
      <c r="AQ494" s="97"/>
      <c r="AR494" s="97"/>
      <c r="AS494" s="97"/>
      <c r="AT494" s="97"/>
      <c r="AU494" s="97"/>
      <c r="AV494" s="97"/>
      <c r="AW494" s="97"/>
      <c r="AX494" s="97"/>
    </row>
    <row r="495" ht="15.75" customHeight="1">
      <c r="A495" s="264" t="s">
        <v>256</v>
      </c>
      <c r="B495" s="265" t="s">
        <v>4327</v>
      </c>
      <c r="C495" s="76" t="s">
        <v>5463</v>
      </c>
      <c r="D495" s="76" t="s">
        <v>5464</v>
      </c>
      <c r="E495" s="117" t="s">
        <v>5465</v>
      </c>
      <c r="F495" s="76"/>
      <c r="G495" s="76"/>
      <c r="H495" s="76"/>
      <c r="I495" s="296"/>
      <c r="J495" s="296"/>
      <c r="K495" s="297" t="s">
        <v>5466</v>
      </c>
      <c r="L495" s="297"/>
      <c r="M495" s="296"/>
      <c r="N495" s="296"/>
      <c r="O495" s="296"/>
      <c r="P495" s="296"/>
      <c r="Q495" s="296" t="s">
        <v>184</v>
      </c>
      <c r="R495" s="296"/>
      <c r="S495" s="296"/>
      <c r="T495" s="296"/>
      <c r="U495" s="296"/>
      <c r="V495" s="296"/>
      <c r="W495" s="296"/>
      <c r="X495" s="296"/>
      <c r="Y495" s="296"/>
      <c r="Z495" s="296"/>
      <c r="AA495" s="296"/>
      <c r="AB495" s="296"/>
      <c r="AC495" s="296"/>
      <c r="AD495" s="97"/>
      <c r="AE495" s="97"/>
      <c r="AF495" s="97"/>
      <c r="AG495" s="97"/>
      <c r="AH495" s="97"/>
      <c r="AI495" s="97"/>
      <c r="AJ495" s="97"/>
      <c r="AK495" s="97"/>
      <c r="AL495" s="97"/>
      <c r="AM495" s="97"/>
      <c r="AN495" s="97"/>
      <c r="AO495" s="97"/>
      <c r="AP495" s="97"/>
      <c r="AQ495" s="97"/>
      <c r="AR495" s="97"/>
      <c r="AS495" s="97"/>
      <c r="AT495" s="97"/>
      <c r="AU495" s="97"/>
      <c r="AV495" s="97"/>
      <c r="AW495" s="97"/>
      <c r="AX495" s="97"/>
    </row>
    <row r="496" ht="15.75" customHeight="1">
      <c r="A496" s="170" t="s">
        <v>238</v>
      </c>
      <c r="B496" s="171" t="s">
        <v>4333</v>
      </c>
      <c r="C496" s="76" t="s">
        <v>5467</v>
      </c>
      <c r="D496" s="76" t="s">
        <v>5468</v>
      </c>
      <c r="E496" s="117" t="s">
        <v>5469</v>
      </c>
      <c r="F496" s="76"/>
      <c r="G496" s="76"/>
      <c r="H496" s="76"/>
      <c r="I496" s="209"/>
      <c r="J496" s="209"/>
      <c r="K496" s="210"/>
      <c r="L496" s="210"/>
      <c r="M496" s="209"/>
      <c r="N496" s="209"/>
      <c r="O496" s="209" t="s">
        <v>5470</v>
      </c>
      <c r="P496" s="209"/>
      <c r="Q496" s="209" t="s">
        <v>184</v>
      </c>
      <c r="R496" s="209"/>
      <c r="S496" s="209"/>
      <c r="T496" s="209"/>
      <c r="U496" s="209"/>
      <c r="V496" s="209"/>
      <c r="W496" s="209"/>
      <c r="X496" s="209"/>
      <c r="Y496" s="209"/>
      <c r="Z496" s="209"/>
      <c r="AA496" s="209"/>
      <c r="AB496" s="209"/>
      <c r="AC496" s="209"/>
      <c r="AD496" s="97"/>
      <c r="AE496" s="97"/>
      <c r="AF496" s="97"/>
      <c r="AG496" s="97"/>
      <c r="AH496" s="97"/>
      <c r="AI496" s="97"/>
      <c r="AJ496" s="97"/>
      <c r="AK496" s="97"/>
      <c r="AL496" s="97"/>
      <c r="AM496" s="97"/>
      <c r="AN496" s="97"/>
      <c r="AO496" s="97"/>
      <c r="AP496" s="97"/>
      <c r="AQ496" s="97"/>
      <c r="AR496" s="97"/>
      <c r="AS496" s="97"/>
      <c r="AT496" s="97"/>
      <c r="AU496" s="97"/>
      <c r="AV496" s="97"/>
      <c r="AW496" s="97"/>
      <c r="AX496" s="97"/>
    </row>
    <row r="497" ht="15.75" customHeight="1">
      <c r="A497" s="264" t="s">
        <v>256</v>
      </c>
      <c r="B497" s="265" t="s">
        <v>4340</v>
      </c>
      <c r="C497" s="76" t="s">
        <v>5471</v>
      </c>
      <c r="D497" s="76" t="s">
        <v>5472</v>
      </c>
      <c r="E497" s="117" t="s">
        <v>5473</v>
      </c>
      <c r="F497" s="76"/>
      <c r="G497" s="76"/>
      <c r="H497" s="76"/>
      <c r="I497" s="296"/>
      <c r="J497" s="296"/>
      <c r="K497" s="297" t="s">
        <v>5466</v>
      </c>
      <c r="L497" s="297"/>
      <c r="M497" s="296"/>
      <c r="N497" s="296"/>
      <c r="O497" s="296"/>
      <c r="P497" s="296"/>
      <c r="Q497" s="296" t="s">
        <v>184</v>
      </c>
      <c r="R497" s="296"/>
      <c r="S497" s="296"/>
      <c r="T497" s="296"/>
      <c r="U497" s="296"/>
      <c r="V497" s="296"/>
      <c r="W497" s="296"/>
      <c r="X497" s="296"/>
      <c r="Y497" s="296"/>
      <c r="Z497" s="296"/>
      <c r="AA497" s="296"/>
      <c r="AB497" s="296"/>
      <c r="AC497" s="296"/>
      <c r="AD497" s="97"/>
      <c r="AE497" s="97"/>
      <c r="AF497" s="97"/>
      <c r="AG497" s="97"/>
      <c r="AH497" s="97"/>
      <c r="AI497" s="97"/>
      <c r="AJ497" s="97"/>
      <c r="AK497" s="97"/>
      <c r="AL497" s="97"/>
      <c r="AM497" s="97"/>
      <c r="AN497" s="97"/>
      <c r="AO497" s="97"/>
      <c r="AP497" s="97"/>
      <c r="AQ497" s="97"/>
      <c r="AR497" s="97"/>
      <c r="AS497" s="97"/>
      <c r="AT497" s="97"/>
      <c r="AU497" s="97"/>
      <c r="AV497" s="97"/>
      <c r="AW497" s="97"/>
      <c r="AX497" s="97"/>
    </row>
    <row r="498" ht="15.75" customHeight="1">
      <c r="A498" s="170" t="s">
        <v>238</v>
      </c>
      <c r="B498" s="171" t="s">
        <v>4344</v>
      </c>
      <c r="C498" s="76" t="s">
        <v>5474</v>
      </c>
      <c r="D498" s="117" t="s">
        <v>5475</v>
      </c>
      <c r="E498" s="117" t="s">
        <v>5476</v>
      </c>
      <c r="F498" s="267"/>
      <c r="G498" s="267"/>
      <c r="H498" s="267"/>
      <c r="I498" s="298"/>
      <c r="J498" s="298"/>
      <c r="K498" s="299"/>
      <c r="L498" s="299"/>
      <c r="M498" s="298"/>
      <c r="N498" s="298"/>
      <c r="O498" s="209" t="s">
        <v>5477</v>
      </c>
      <c r="P498" s="298"/>
      <c r="Q498" s="209" t="s">
        <v>184</v>
      </c>
      <c r="R498" s="298"/>
      <c r="S498" s="298"/>
      <c r="T498" s="300"/>
      <c r="U498" s="298"/>
      <c r="V498" s="298"/>
      <c r="W498" s="298"/>
      <c r="X498" s="298"/>
      <c r="Y498" s="298"/>
      <c r="Z498" s="298"/>
      <c r="AA498" s="298"/>
      <c r="AB498" s="298"/>
      <c r="AC498" s="298"/>
      <c r="AD498" s="144"/>
      <c r="AE498" s="144"/>
      <c r="AF498" s="144"/>
      <c r="AG498" s="144"/>
      <c r="AH498" s="144"/>
      <c r="AI498" s="144"/>
      <c r="AJ498" s="144"/>
      <c r="AK498" s="144"/>
      <c r="AL498" s="144"/>
      <c r="AM498" s="144"/>
      <c r="AN498" s="144"/>
      <c r="AO498" s="144"/>
      <c r="AP498" s="144"/>
      <c r="AQ498" s="144"/>
      <c r="AR498" s="144"/>
      <c r="AS498" s="144"/>
      <c r="AT498" s="144"/>
      <c r="AU498" s="144"/>
      <c r="AV498" s="144"/>
      <c r="AW498" s="144"/>
      <c r="AX498" s="144"/>
    </row>
    <row r="499" ht="15.75" customHeight="1">
      <c r="A499" s="268" t="s">
        <v>115</v>
      </c>
      <c r="B499" s="265" t="s">
        <v>4346</v>
      </c>
      <c r="C499" s="133"/>
      <c r="D499" s="133"/>
      <c r="E499" s="133"/>
      <c r="F499" s="134"/>
      <c r="G499" s="134"/>
      <c r="H499" s="134"/>
      <c r="I499" s="134"/>
      <c r="J499" s="134"/>
      <c r="K499" s="134"/>
      <c r="L499" s="134"/>
      <c r="M499" s="134"/>
      <c r="N499" s="134"/>
      <c r="O499" s="134"/>
      <c r="P499" s="134"/>
      <c r="Q499" s="134"/>
      <c r="R499" s="134"/>
      <c r="S499" s="134"/>
      <c r="T499" s="151" t="s">
        <v>5478</v>
      </c>
      <c r="U499" s="134"/>
      <c r="V499" s="134"/>
      <c r="W499" s="134"/>
      <c r="X499" s="134"/>
      <c r="Y499" s="134"/>
      <c r="Z499" s="134"/>
      <c r="AA499" s="134"/>
      <c r="AB499" s="134"/>
      <c r="AC499" s="134"/>
      <c r="AD499" s="97"/>
      <c r="AE499" s="97"/>
      <c r="AF499" s="97"/>
      <c r="AG499" s="97"/>
      <c r="AH499" s="97"/>
      <c r="AI499" s="97"/>
      <c r="AJ499" s="97"/>
      <c r="AK499" s="97"/>
      <c r="AL499" s="97"/>
      <c r="AM499" s="97"/>
      <c r="AN499" s="97"/>
      <c r="AO499" s="97"/>
      <c r="AP499" s="97"/>
      <c r="AQ499" s="97"/>
      <c r="AR499" s="97"/>
      <c r="AS499" s="97"/>
      <c r="AT499" s="97"/>
      <c r="AU499" s="97"/>
      <c r="AV499" s="97"/>
      <c r="AW499" s="97"/>
      <c r="AX499" s="97"/>
    </row>
    <row r="500" ht="15.75" customHeight="1">
      <c r="A500" s="268" t="s">
        <v>44</v>
      </c>
      <c r="B500" s="269" t="s">
        <v>4347</v>
      </c>
      <c r="C500" s="76" t="s">
        <v>5479</v>
      </c>
      <c r="D500" s="76" t="s">
        <v>5480</v>
      </c>
      <c r="E500" s="117" t="s">
        <v>5481</v>
      </c>
      <c r="F500" s="76"/>
      <c r="G500" s="76"/>
      <c r="H500" s="76"/>
      <c r="I500" s="134"/>
      <c r="J500" s="134"/>
      <c r="K500" s="134"/>
      <c r="L500" s="134"/>
      <c r="M500" s="134"/>
      <c r="N500" s="134"/>
      <c r="O500" s="268" t="s">
        <v>5482</v>
      </c>
      <c r="P500" s="134"/>
      <c r="Q500" s="268" t="s">
        <v>184</v>
      </c>
      <c r="R500" s="134"/>
      <c r="S500" s="134"/>
      <c r="T500" s="149"/>
      <c r="U500" s="134"/>
      <c r="V500" s="134"/>
      <c r="W500" s="134"/>
      <c r="X500" s="134"/>
      <c r="Y500" s="134"/>
      <c r="Z500" s="134"/>
      <c r="AA500" s="134"/>
      <c r="AB500" s="134"/>
      <c r="AC500" s="134"/>
      <c r="AD500" s="97"/>
      <c r="AE500" s="97"/>
      <c r="AF500" s="97"/>
      <c r="AG500" s="97"/>
      <c r="AH500" s="97"/>
      <c r="AI500" s="97"/>
      <c r="AJ500" s="97"/>
      <c r="AK500" s="97"/>
      <c r="AL500" s="97"/>
      <c r="AM500" s="97"/>
      <c r="AN500" s="97"/>
      <c r="AO500" s="97"/>
      <c r="AP500" s="97"/>
      <c r="AQ500" s="97"/>
      <c r="AR500" s="97"/>
      <c r="AS500" s="97"/>
      <c r="AT500" s="97"/>
      <c r="AU500" s="97"/>
      <c r="AV500" s="97"/>
      <c r="AW500" s="97"/>
      <c r="AX500" s="97"/>
    </row>
    <row r="501" ht="15.75" customHeight="1">
      <c r="A501" s="268" t="s">
        <v>680</v>
      </c>
      <c r="B501" s="269" t="s">
        <v>4355</v>
      </c>
      <c r="C501" s="76" t="s">
        <v>5483</v>
      </c>
      <c r="D501" s="76" t="s">
        <v>5484</v>
      </c>
      <c r="E501" s="117" t="s">
        <v>5485</v>
      </c>
      <c r="F501" s="76"/>
      <c r="G501" s="76"/>
      <c r="H501" s="76"/>
      <c r="I501" s="134"/>
      <c r="J501" s="134"/>
      <c r="K501" s="134"/>
      <c r="L501" s="134"/>
      <c r="M501" s="134"/>
      <c r="N501" s="134"/>
      <c r="O501" s="268" t="s">
        <v>5486</v>
      </c>
      <c r="P501" s="134"/>
      <c r="Q501" s="268" t="s">
        <v>184</v>
      </c>
      <c r="R501" s="134"/>
      <c r="S501" s="134"/>
      <c r="T501" s="149"/>
      <c r="U501" s="134"/>
      <c r="V501" s="134"/>
      <c r="W501" s="134"/>
      <c r="X501" s="134"/>
      <c r="Y501" s="134"/>
      <c r="Z501" s="134"/>
      <c r="AA501" s="134"/>
      <c r="AB501" s="134"/>
      <c r="AC501" s="134"/>
      <c r="AD501" s="97"/>
      <c r="AE501" s="97"/>
      <c r="AF501" s="97"/>
      <c r="AG501" s="97"/>
      <c r="AH501" s="97"/>
      <c r="AI501" s="97"/>
      <c r="AJ501" s="97"/>
      <c r="AK501" s="97"/>
      <c r="AL501" s="97"/>
      <c r="AM501" s="97"/>
      <c r="AN501" s="97"/>
      <c r="AO501" s="97"/>
      <c r="AP501" s="97"/>
      <c r="AQ501" s="97"/>
      <c r="AR501" s="97"/>
      <c r="AS501" s="97"/>
      <c r="AT501" s="97"/>
      <c r="AU501" s="97"/>
      <c r="AV501" s="97"/>
      <c r="AW501" s="97"/>
      <c r="AX501" s="97"/>
    </row>
    <row r="502" ht="15.75" customHeight="1">
      <c r="A502" s="268" t="s">
        <v>238</v>
      </c>
      <c r="B502" s="269" t="s">
        <v>5487</v>
      </c>
      <c r="C502" s="76" t="s">
        <v>5488</v>
      </c>
      <c r="D502" s="117" t="s">
        <v>5489</v>
      </c>
      <c r="E502" s="117" t="s">
        <v>5490</v>
      </c>
      <c r="F502" s="76"/>
      <c r="G502" s="76"/>
      <c r="H502" s="76"/>
      <c r="I502" s="134"/>
      <c r="J502" s="134"/>
      <c r="K502" s="134"/>
      <c r="L502" s="134"/>
      <c r="M502" s="134"/>
      <c r="N502" s="134"/>
      <c r="O502" s="268" t="s">
        <v>5491</v>
      </c>
      <c r="P502" s="134"/>
      <c r="Q502" s="268" t="s">
        <v>184</v>
      </c>
      <c r="R502" s="134"/>
      <c r="S502" s="134"/>
      <c r="T502" s="149"/>
      <c r="U502" s="134"/>
      <c r="V502" s="134"/>
      <c r="W502" s="134"/>
      <c r="X502" s="134"/>
      <c r="Y502" s="134"/>
      <c r="Z502" s="134"/>
      <c r="AA502" s="134"/>
      <c r="AB502" s="134"/>
      <c r="AC502" s="134"/>
      <c r="AD502" s="97"/>
      <c r="AE502" s="97"/>
      <c r="AF502" s="97"/>
      <c r="AG502" s="97"/>
      <c r="AH502" s="97"/>
      <c r="AI502" s="97"/>
      <c r="AJ502" s="97"/>
      <c r="AK502" s="97"/>
      <c r="AL502" s="97"/>
      <c r="AM502" s="97"/>
      <c r="AN502" s="97"/>
      <c r="AO502" s="97"/>
      <c r="AP502" s="97"/>
      <c r="AQ502" s="97"/>
      <c r="AR502" s="97"/>
      <c r="AS502" s="97"/>
      <c r="AT502" s="97"/>
      <c r="AU502" s="97"/>
      <c r="AV502" s="97"/>
      <c r="AW502" s="97"/>
      <c r="AX502" s="97"/>
    </row>
    <row r="503" ht="15.75" customHeight="1">
      <c r="A503" s="131" t="s">
        <v>115</v>
      </c>
      <c r="B503" s="132" t="s">
        <v>4363</v>
      </c>
      <c r="C503" s="133"/>
      <c r="D503" s="133"/>
      <c r="E503" s="133"/>
      <c r="F503" s="134"/>
      <c r="G503" s="134"/>
      <c r="H503" s="134"/>
      <c r="I503" s="134"/>
      <c r="J503" s="134"/>
      <c r="K503" s="134"/>
      <c r="L503" s="134"/>
      <c r="M503" s="134"/>
      <c r="N503" s="134"/>
      <c r="O503" s="134"/>
      <c r="P503" s="134"/>
      <c r="Q503" s="134"/>
      <c r="R503" s="134"/>
      <c r="S503" s="134"/>
      <c r="T503" s="149" t="s">
        <v>5492</v>
      </c>
      <c r="U503" s="134"/>
      <c r="V503" s="134"/>
      <c r="W503" s="134"/>
      <c r="X503" s="134"/>
      <c r="Y503" s="134"/>
      <c r="Z503" s="134"/>
      <c r="AA503" s="134"/>
      <c r="AB503" s="134"/>
      <c r="AC503" s="134"/>
      <c r="AD503" s="97"/>
      <c r="AE503" s="97"/>
      <c r="AF503" s="97"/>
      <c r="AG503" s="97"/>
      <c r="AH503" s="97"/>
      <c r="AI503" s="97"/>
      <c r="AJ503" s="97"/>
      <c r="AK503" s="97"/>
      <c r="AL503" s="97"/>
      <c r="AM503" s="97"/>
      <c r="AN503" s="97"/>
      <c r="AO503" s="97"/>
      <c r="AP503" s="97"/>
      <c r="AQ503" s="97"/>
      <c r="AR503" s="97"/>
      <c r="AS503" s="97"/>
      <c r="AT503" s="97"/>
      <c r="AU503" s="97"/>
      <c r="AV503" s="97"/>
      <c r="AW503" s="97"/>
      <c r="AX503" s="97"/>
    </row>
    <row r="504" ht="15.75" customHeight="1">
      <c r="A504" s="167" t="s">
        <v>842</v>
      </c>
      <c r="B504" s="169" t="s">
        <v>4289</v>
      </c>
      <c r="C504" s="169" t="s">
        <v>4365</v>
      </c>
      <c r="D504" s="169" t="s">
        <v>4366</v>
      </c>
      <c r="E504" s="169" t="s">
        <v>4367</v>
      </c>
      <c r="F504" s="205"/>
      <c r="G504" s="205"/>
      <c r="H504" s="205"/>
      <c r="I504" s="205"/>
      <c r="J504" s="205"/>
      <c r="K504" s="205"/>
      <c r="L504" s="205"/>
      <c r="M504" s="205"/>
      <c r="N504" s="205"/>
      <c r="O504" s="205"/>
      <c r="P504" s="205"/>
      <c r="Q504" s="205"/>
      <c r="R504" s="205"/>
      <c r="S504" s="205"/>
      <c r="T504" s="205"/>
      <c r="U504" s="205"/>
      <c r="V504" s="205"/>
      <c r="W504" s="205"/>
      <c r="X504" s="205"/>
      <c r="Y504" s="205"/>
      <c r="Z504" s="205"/>
      <c r="AA504" s="205"/>
      <c r="AB504" s="205"/>
      <c r="AC504" s="205"/>
      <c r="AD504" s="97"/>
      <c r="AE504" s="97"/>
      <c r="AF504" s="97"/>
      <c r="AG504" s="97"/>
      <c r="AH504" s="97"/>
      <c r="AI504" s="97"/>
      <c r="AJ504" s="97"/>
      <c r="AK504" s="97"/>
      <c r="AL504" s="97"/>
      <c r="AM504" s="97"/>
      <c r="AN504" s="97"/>
      <c r="AO504" s="97"/>
      <c r="AP504" s="97"/>
      <c r="AQ504" s="97"/>
      <c r="AR504" s="97"/>
      <c r="AS504" s="97"/>
      <c r="AT504" s="97"/>
      <c r="AU504" s="97"/>
      <c r="AV504" s="97"/>
      <c r="AW504" s="97"/>
      <c r="AX504" s="97"/>
    </row>
    <row r="505">
      <c r="A505" s="270"/>
      <c r="B505" s="270"/>
      <c r="C505" s="141"/>
      <c r="D505" s="141"/>
      <c r="E505" s="261"/>
      <c r="F505" s="270"/>
      <c r="G505" s="270"/>
      <c r="H505" s="270"/>
      <c r="I505" s="270"/>
      <c r="J505" s="270"/>
      <c r="K505" s="270"/>
      <c r="L505" s="270"/>
      <c r="M505" s="270"/>
      <c r="N505" s="270"/>
      <c r="O505" s="270"/>
      <c r="P505" s="270"/>
      <c r="Q505" s="270"/>
      <c r="R505" s="270"/>
      <c r="S505" s="270"/>
      <c r="T505" s="301"/>
      <c r="U505" s="270"/>
      <c r="V505" s="270"/>
      <c r="W505" s="270"/>
      <c r="X505" s="270"/>
      <c r="Y505" s="270"/>
      <c r="Z505" s="270"/>
      <c r="AA505" s="270"/>
      <c r="AB505" s="270"/>
      <c r="AC505" s="270"/>
      <c r="AD505" s="270"/>
      <c r="AE505" s="270"/>
      <c r="AF505" s="270"/>
      <c r="AG505" s="270"/>
      <c r="AH505" s="270"/>
      <c r="AI505" s="270"/>
      <c r="AJ505" s="270"/>
      <c r="AK505" s="270"/>
      <c r="AL505" s="270"/>
      <c r="AM505" s="270"/>
      <c r="AN505" s="270"/>
      <c r="AO505" s="270"/>
      <c r="AP505" s="270"/>
      <c r="AQ505" s="270"/>
      <c r="AR505" s="270"/>
      <c r="AS505" s="270"/>
      <c r="AT505" s="270"/>
      <c r="AU505" s="270"/>
      <c r="AV505" s="270"/>
      <c r="AW505" s="270"/>
      <c r="AX505" s="270"/>
    </row>
    <row r="506" ht="15.75" customHeight="1">
      <c r="A506" s="150" t="s">
        <v>161</v>
      </c>
      <c r="B506" s="252" t="s">
        <v>4368</v>
      </c>
      <c r="C506" s="82" t="s">
        <v>4369</v>
      </c>
      <c r="D506" s="83" t="s">
        <v>4370</v>
      </c>
      <c r="E506" s="83" t="s">
        <v>4371</v>
      </c>
      <c r="F506" s="84"/>
      <c r="G506" s="84"/>
      <c r="H506" s="84"/>
      <c r="I506" s="84"/>
      <c r="J506" s="86" t="s">
        <v>1811</v>
      </c>
      <c r="K506" s="84"/>
      <c r="L506" s="84"/>
      <c r="M506" s="86"/>
      <c r="N506" s="86"/>
      <c r="O506" s="86"/>
      <c r="P506" s="84"/>
      <c r="Q506" s="84"/>
      <c r="R506" s="84"/>
      <c r="S506" s="84"/>
      <c r="T506" s="84"/>
      <c r="U506" s="84"/>
      <c r="V506" s="84"/>
      <c r="W506" s="84"/>
      <c r="X506" s="84"/>
      <c r="Y506" s="84"/>
      <c r="Z506" s="84"/>
      <c r="AA506" s="84"/>
      <c r="AB506" s="84"/>
      <c r="AC506" s="84"/>
      <c r="AD506" s="97"/>
      <c r="AE506" s="97"/>
      <c r="AF506" s="97"/>
      <c r="AG506" s="97"/>
      <c r="AH506" s="97"/>
      <c r="AI506" s="97"/>
      <c r="AJ506" s="97"/>
      <c r="AK506" s="97"/>
      <c r="AL506" s="97"/>
      <c r="AM506" s="97"/>
      <c r="AN506" s="97"/>
      <c r="AO506" s="97"/>
      <c r="AP506" s="97"/>
      <c r="AQ506" s="97"/>
      <c r="AR506" s="97"/>
      <c r="AS506" s="97"/>
      <c r="AT506" s="97"/>
      <c r="AU506" s="97"/>
      <c r="AV506" s="97"/>
      <c r="AW506" s="97"/>
      <c r="AX506" s="97"/>
    </row>
    <row r="507" ht="15.75" customHeight="1">
      <c r="A507" s="152" t="s">
        <v>44</v>
      </c>
      <c r="B507" s="253" t="s">
        <v>4372</v>
      </c>
      <c r="C507" s="76" t="s">
        <v>5493</v>
      </c>
      <c r="D507" s="76" t="s">
        <v>5494</v>
      </c>
      <c r="E507" s="117" t="s">
        <v>5495</v>
      </c>
      <c r="F507" s="76"/>
      <c r="G507" s="76"/>
      <c r="H507" s="76"/>
      <c r="I507" s="176"/>
      <c r="J507" s="176" t="s">
        <v>6</v>
      </c>
      <c r="K507" s="176"/>
      <c r="L507" s="176"/>
      <c r="M507" s="176"/>
      <c r="N507" s="176"/>
      <c r="O507" s="176"/>
      <c r="P507" s="176"/>
      <c r="Q507" s="176"/>
      <c r="R507" s="176"/>
      <c r="S507" s="176"/>
      <c r="T507" s="176"/>
      <c r="U507" s="176"/>
      <c r="V507" s="176"/>
      <c r="W507" s="176"/>
      <c r="X507" s="176"/>
      <c r="Y507" s="176"/>
      <c r="Z507" s="176"/>
      <c r="AA507" s="176"/>
      <c r="AB507" s="176"/>
      <c r="AC507" s="176"/>
      <c r="AD507" s="97"/>
      <c r="AE507" s="97"/>
      <c r="AF507" s="97"/>
      <c r="AG507" s="97"/>
      <c r="AH507" s="97"/>
      <c r="AI507" s="97"/>
      <c r="AJ507" s="97"/>
      <c r="AK507" s="97"/>
      <c r="AL507" s="97"/>
      <c r="AM507" s="97"/>
      <c r="AN507" s="97"/>
      <c r="AO507" s="97"/>
      <c r="AP507" s="97"/>
      <c r="AQ507" s="97"/>
      <c r="AR507" s="97"/>
      <c r="AS507" s="97"/>
      <c r="AT507" s="97"/>
      <c r="AU507" s="97"/>
      <c r="AV507" s="97"/>
      <c r="AW507" s="97"/>
      <c r="AX507" s="97"/>
    </row>
    <row r="508" ht="15.75" customHeight="1">
      <c r="A508" s="170" t="s">
        <v>238</v>
      </c>
      <c r="B508" s="271" t="s">
        <v>4376</v>
      </c>
      <c r="C508" s="76" t="s">
        <v>5496</v>
      </c>
      <c r="D508" s="76" t="s">
        <v>5497</v>
      </c>
      <c r="E508" s="117" t="s">
        <v>5498</v>
      </c>
      <c r="F508" s="76"/>
      <c r="G508" s="76"/>
      <c r="H508" s="76"/>
      <c r="I508" s="209"/>
      <c r="J508" s="209" t="s">
        <v>1837</v>
      </c>
      <c r="K508" s="210"/>
      <c r="L508" s="210"/>
      <c r="M508" s="209"/>
      <c r="N508" s="209"/>
      <c r="O508" s="209"/>
      <c r="P508" s="209"/>
      <c r="Q508" s="209" t="s">
        <v>184</v>
      </c>
      <c r="R508" s="209"/>
      <c r="S508" s="209"/>
      <c r="T508" s="209"/>
      <c r="U508" s="209"/>
      <c r="V508" s="209"/>
      <c r="W508" s="209"/>
      <c r="X508" s="209"/>
      <c r="Y508" s="209"/>
      <c r="Z508" s="209"/>
      <c r="AA508" s="209"/>
      <c r="AB508" s="209"/>
      <c r="AC508" s="209"/>
      <c r="AD508" s="97"/>
      <c r="AE508" s="97"/>
      <c r="AF508" s="97"/>
      <c r="AG508" s="97"/>
      <c r="AH508" s="97"/>
      <c r="AI508" s="97"/>
      <c r="AJ508" s="97"/>
      <c r="AK508" s="97"/>
      <c r="AL508" s="97"/>
      <c r="AM508" s="97"/>
      <c r="AN508" s="97"/>
      <c r="AO508" s="97"/>
      <c r="AP508" s="97"/>
      <c r="AQ508" s="97"/>
      <c r="AR508" s="97"/>
      <c r="AS508" s="97"/>
      <c r="AT508" s="97"/>
      <c r="AU508" s="97"/>
      <c r="AV508" s="97"/>
      <c r="AW508" s="97"/>
      <c r="AX508" s="97"/>
    </row>
    <row r="509" ht="15.75" customHeight="1">
      <c r="A509" s="170" t="s">
        <v>238</v>
      </c>
      <c r="B509" s="271" t="s">
        <v>4378</v>
      </c>
      <c r="C509" s="76" t="s">
        <v>5499</v>
      </c>
      <c r="D509" s="76" t="s">
        <v>5500</v>
      </c>
      <c r="E509" s="117" t="s">
        <v>5501</v>
      </c>
      <c r="F509" s="76"/>
      <c r="G509" s="76"/>
      <c r="H509" s="76"/>
      <c r="I509" s="209"/>
      <c r="J509" s="209" t="s">
        <v>1837</v>
      </c>
      <c r="K509" s="210"/>
      <c r="L509" s="210"/>
      <c r="M509" s="209"/>
      <c r="N509" s="209"/>
      <c r="O509" s="209"/>
      <c r="P509" s="209"/>
      <c r="Q509" s="209" t="s">
        <v>184</v>
      </c>
      <c r="R509" s="209"/>
      <c r="S509" s="209"/>
      <c r="T509" s="209"/>
      <c r="U509" s="209"/>
      <c r="V509" s="209"/>
      <c r="W509" s="209"/>
      <c r="X509" s="209"/>
      <c r="Y509" s="209"/>
      <c r="Z509" s="209"/>
      <c r="AA509" s="209"/>
      <c r="AB509" s="209"/>
      <c r="AC509" s="209"/>
      <c r="AD509" s="97"/>
      <c r="AE509" s="97"/>
      <c r="AF509" s="97"/>
      <c r="AG509" s="97"/>
      <c r="AH509" s="97"/>
      <c r="AI509" s="97"/>
      <c r="AJ509" s="97"/>
      <c r="AK509" s="97"/>
      <c r="AL509" s="97"/>
      <c r="AM509" s="97"/>
      <c r="AN509" s="97"/>
      <c r="AO509" s="97"/>
      <c r="AP509" s="97"/>
      <c r="AQ509" s="97"/>
      <c r="AR509" s="97"/>
      <c r="AS509" s="97"/>
      <c r="AT509" s="97"/>
      <c r="AU509" s="97"/>
      <c r="AV509" s="97"/>
      <c r="AW509" s="97"/>
      <c r="AX509" s="97"/>
    </row>
    <row r="510" ht="15.75" customHeight="1">
      <c r="A510" s="170" t="s">
        <v>238</v>
      </c>
      <c r="B510" s="271" t="s">
        <v>4381</v>
      </c>
      <c r="C510" s="76" t="s">
        <v>5502</v>
      </c>
      <c r="D510" s="76" t="s">
        <v>5503</v>
      </c>
      <c r="E510" s="117" t="s">
        <v>5504</v>
      </c>
      <c r="F510" s="76"/>
      <c r="G510" s="76"/>
      <c r="H510" s="76"/>
      <c r="I510" s="209"/>
      <c r="J510" s="209" t="s">
        <v>1837</v>
      </c>
      <c r="K510" s="210"/>
      <c r="L510" s="210"/>
      <c r="M510" s="209"/>
      <c r="N510" s="209"/>
      <c r="O510" s="209"/>
      <c r="P510" s="209"/>
      <c r="Q510" s="209" t="s">
        <v>184</v>
      </c>
      <c r="R510" s="209"/>
      <c r="S510" s="209"/>
      <c r="T510" s="209"/>
      <c r="U510" s="209"/>
      <c r="V510" s="209"/>
      <c r="W510" s="209"/>
      <c r="X510" s="209"/>
      <c r="Y510" s="209"/>
      <c r="Z510" s="209"/>
      <c r="AA510" s="209"/>
      <c r="AB510" s="209"/>
      <c r="AC510" s="209"/>
      <c r="AD510" s="97"/>
      <c r="AE510" s="97"/>
      <c r="AF510" s="97"/>
      <c r="AG510" s="97"/>
      <c r="AH510" s="97"/>
      <c r="AI510" s="97"/>
      <c r="AJ510" s="97"/>
      <c r="AK510" s="97"/>
      <c r="AL510" s="97"/>
      <c r="AM510" s="97"/>
      <c r="AN510" s="97"/>
      <c r="AO510" s="97"/>
      <c r="AP510" s="97"/>
      <c r="AQ510" s="97"/>
      <c r="AR510" s="97"/>
      <c r="AS510" s="97"/>
      <c r="AT510" s="97"/>
      <c r="AU510" s="97"/>
      <c r="AV510" s="97"/>
      <c r="AW510" s="97"/>
      <c r="AX510" s="97"/>
    </row>
    <row r="511" ht="15.75" customHeight="1">
      <c r="A511" s="170" t="s">
        <v>238</v>
      </c>
      <c r="B511" s="271" t="s">
        <v>4383</v>
      </c>
      <c r="C511" s="76" t="s">
        <v>5505</v>
      </c>
      <c r="D511" s="76" t="s">
        <v>5506</v>
      </c>
      <c r="E511" s="117" t="s">
        <v>5507</v>
      </c>
      <c r="F511" s="76"/>
      <c r="G511" s="76"/>
      <c r="H511" s="76"/>
      <c r="I511" s="209"/>
      <c r="J511" s="209" t="s">
        <v>1837</v>
      </c>
      <c r="K511" s="210"/>
      <c r="L511" s="210"/>
      <c r="M511" s="209"/>
      <c r="N511" s="209"/>
      <c r="O511" s="209"/>
      <c r="P511" s="209"/>
      <c r="Q511" s="209" t="s">
        <v>184</v>
      </c>
      <c r="R511" s="209"/>
      <c r="S511" s="209"/>
      <c r="T511" s="209"/>
      <c r="U511" s="209"/>
      <c r="V511" s="209"/>
      <c r="W511" s="209"/>
      <c r="X511" s="209"/>
      <c r="Y511" s="209"/>
      <c r="Z511" s="209"/>
      <c r="AA511" s="209"/>
      <c r="AB511" s="209"/>
      <c r="AC511" s="209"/>
      <c r="AD511" s="97"/>
      <c r="AE511" s="97"/>
      <c r="AF511" s="97"/>
      <c r="AG511" s="97"/>
      <c r="AH511" s="97"/>
      <c r="AI511" s="97"/>
      <c r="AJ511" s="97"/>
      <c r="AK511" s="97"/>
      <c r="AL511" s="97"/>
      <c r="AM511" s="97"/>
      <c r="AN511" s="97"/>
      <c r="AO511" s="97"/>
      <c r="AP511" s="97"/>
      <c r="AQ511" s="97"/>
      <c r="AR511" s="97"/>
      <c r="AS511" s="97"/>
      <c r="AT511" s="97"/>
      <c r="AU511" s="97"/>
      <c r="AV511" s="97"/>
      <c r="AW511" s="97"/>
      <c r="AX511" s="97"/>
    </row>
    <row r="512" ht="15.75" customHeight="1">
      <c r="A512" s="150" t="s">
        <v>343</v>
      </c>
      <c r="B512" s="150" t="s">
        <v>4368</v>
      </c>
      <c r="C512" s="83" t="s">
        <v>4369</v>
      </c>
      <c r="D512" s="83" t="s">
        <v>4389</v>
      </c>
      <c r="E512" s="83" t="s">
        <v>4391</v>
      </c>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97"/>
      <c r="AE512" s="97"/>
      <c r="AF512" s="97"/>
      <c r="AG512" s="97"/>
      <c r="AH512" s="97"/>
      <c r="AI512" s="97"/>
      <c r="AJ512" s="97"/>
      <c r="AK512" s="97"/>
      <c r="AL512" s="97"/>
      <c r="AM512" s="97"/>
      <c r="AN512" s="97"/>
      <c r="AO512" s="97"/>
      <c r="AP512" s="97"/>
      <c r="AQ512" s="97"/>
      <c r="AR512" s="97"/>
      <c r="AS512" s="97"/>
      <c r="AT512" s="97"/>
      <c r="AU512" s="97"/>
      <c r="AV512" s="97"/>
      <c r="AW512" s="97"/>
      <c r="AX512" s="97"/>
    </row>
    <row r="513" ht="15.75" customHeight="1">
      <c r="A513" s="131" t="s">
        <v>150</v>
      </c>
      <c r="B513" s="164" t="s">
        <v>4392</v>
      </c>
      <c r="C513" s="133"/>
      <c r="D513" s="133"/>
      <c r="E513" s="133"/>
      <c r="F513" s="134"/>
      <c r="G513" s="134"/>
      <c r="H513" s="134"/>
      <c r="I513" s="134"/>
      <c r="J513" s="134"/>
      <c r="K513" s="134"/>
      <c r="L513" s="134"/>
      <c r="M513" s="134"/>
      <c r="N513" s="134"/>
      <c r="O513" s="134"/>
      <c r="P513" s="134"/>
      <c r="Q513" s="134"/>
      <c r="R513" s="134"/>
      <c r="S513" s="134"/>
      <c r="T513" s="291" t="s">
        <v>156</v>
      </c>
      <c r="U513" s="134"/>
      <c r="V513" s="134"/>
      <c r="W513" s="134"/>
      <c r="X513" s="134"/>
      <c r="Y513" s="134"/>
      <c r="Z513" s="134"/>
      <c r="AA513" s="134"/>
      <c r="AB513" s="134"/>
      <c r="AC513" s="134"/>
      <c r="AD513" s="97"/>
      <c r="AE513" s="97"/>
      <c r="AF513" s="97"/>
      <c r="AG513" s="97"/>
      <c r="AH513" s="97"/>
      <c r="AI513" s="97"/>
      <c r="AJ513" s="97"/>
      <c r="AK513" s="97"/>
      <c r="AL513" s="97"/>
      <c r="AM513" s="97"/>
      <c r="AN513" s="97"/>
      <c r="AO513" s="97"/>
      <c r="AP513" s="97"/>
      <c r="AQ513" s="97"/>
      <c r="AR513" s="97"/>
      <c r="AS513" s="97"/>
      <c r="AT513" s="97"/>
      <c r="AU513" s="97"/>
      <c r="AV513" s="97"/>
      <c r="AW513" s="97"/>
      <c r="AX513" s="97"/>
    </row>
    <row r="514" ht="15.75" customHeight="1">
      <c r="A514" s="80" t="s">
        <v>115</v>
      </c>
      <c r="B514" s="81" t="s">
        <v>4393</v>
      </c>
      <c r="C514" s="82"/>
      <c r="D514" s="83"/>
      <c r="E514" s="83"/>
      <c r="F514" s="84"/>
      <c r="G514" s="84"/>
      <c r="H514" s="84"/>
      <c r="I514" s="86"/>
      <c r="J514" s="86"/>
      <c r="K514" s="84"/>
      <c r="L514" s="86"/>
      <c r="M514" s="86"/>
      <c r="N514" s="86"/>
      <c r="O514" s="86"/>
      <c r="P514" s="84"/>
      <c r="Q514" s="84"/>
      <c r="R514" s="84"/>
      <c r="S514" s="84"/>
      <c r="T514" s="80" t="s">
        <v>5508</v>
      </c>
      <c r="U514" s="84"/>
      <c r="V514" s="84"/>
      <c r="W514" s="84"/>
      <c r="X514" s="84"/>
      <c r="Y514" s="84"/>
      <c r="Z514" s="84"/>
      <c r="AA514" s="84"/>
      <c r="AB514" s="84"/>
      <c r="AC514" s="84"/>
      <c r="AD514" s="97"/>
      <c r="AE514" s="97"/>
      <c r="AF514" s="97"/>
      <c r="AG514" s="97"/>
      <c r="AH514" s="97"/>
      <c r="AI514" s="97"/>
      <c r="AJ514" s="97"/>
      <c r="AK514" s="97"/>
      <c r="AL514" s="97"/>
      <c r="AM514" s="97"/>
      <c r="AN514" s="97"/>
      <c r="AO514" s="97"/>
      <c r="AP514" s="97"/>
      <c r="AQ514" s="97"/>
      <c r="AR514" s="97"/>
      <c r="AS514" s="97"/>
      <c r="AT514" s="97"/>
      <c r="AU514" s="97"/>
      <c r="AV514" s="97"/>
      <c r="AW514" s="97"/>
      <c r="AX514" s="97"/>
    </row>
    <row r="515" ht="15.75" customHeight="1">
      <c r="A515" s="203"/>
      <c r="B515" s="203"/>
      <c r="C515" s="204"/>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7"/>
      <c r="AR515" s="97"/>
      <c r="AS515" s="97"/>
      <c r="AT515" s="97"/>
      <c r="AU515" s="97"/>
      <c r="AV515" s="97"/>
      <c r="AW515" s="97"/>
      <c r="AX515" s="97"/>
    </row>
    <row r="516" ht="15.75" customHeight="1">
      <c r="A516" s="131" t="s">
        <v>150</v>
      </c>
      <c r="B516" s="164" t="s">
        <v>4394</v>
      </c>
      <c r="C516" s="133"/>
      <c r="D516" s="133"/>
      <c r="E516" s="133"/>
      <c r="F516" s="134"/>
      <c r="G516" s="134"/>
      <c r="H516" s="134"/>
      <c r="I516" s="134"/>
      <c r="J516" s="134"/>
      <c r="K516" s="134"/>
      <c r="L516" s="134"/>
      <c r="M516" s="134"/>
      <c r="N516" s="134"/>
      <c r="O516" s="134"/>
      <c r="P516" s="134"/>
      <c r="Q516" s="134"/>
      <c r="R516" s="134"/>
      <c r="S516" s="134"/>
      <c r="T516" s="291" t="s">
        <v>156</v>
      </c>
      <c r="U516" s="134"/>
      <c r="V516" s="134"/>
      <c r="W516" s="134"/>
      <c r="X516" s="134"/>
      <c r="Y516" s="134"/>
      <c r="Z516" s="134"/>
      <c r="AA516" s="134"/>
      <c r="AB516" s="134"/>
      <c r="AC516" s="134"/>
      <c r="AD516" s="97"/>
      <c r="AE516" s="97"/>
      <c r="AF516" s="97"/>
      <c r="AG516" s="97"/>
      <c r="AH516" s="97"/>
      <c r="AI516" s="97"/>
      <c r="AJ516" s="97"/>
      <c r="AK516" s="97"/>
      <c r="AL516" s="97"/>
      <c r="AM516" s="97"/>
      <c r="AN516" s="97"/>
      <c r="AO516" s="97"/>
      <c r="AP516" s="97"/>
      <c r="AQ516" s="97"/>
      <c r="AR516" s="97"/>
      <c r="AS516" s="97"/>
      <c r="AT516" s="97"/>
      <c r="AU516" s="97"/>
      <c r="AV516" s="97"/>
      <c r="AW516" s="97"/>
      <c r="AX516" s="97"/>
    </row>
    <row r="517" ht="15.75" customHeight="1">
      <c r="A517" s="152" t="s">
        <v>44</v>
      </c>
      <c r="B517" s="253" t="s">
        <v>4397</v>
      </c>
      <c r="C517" s="76" t="s">
        <v>5509</v>
      </c>
      <c r="D517" s="76" t="s">
        <v>5510</v>
      </c>
      <c r="E517" s="117" t="s">
        <v>5511</v>
      </c>
      <c r="F517" s="76"/>
      <c r="G517" s="76"/>
      <c r="H517" s="76"/>
      <c r="I517" s="176"/>
      <c r="J517" s="176"/>
      <c r="K517" s="176"/>
      <c r="L517" s="176"/>
      <c r="M517" s="176"/>
      <c r="N517" s="176"/>
      <c r="O517" s="176"/>
      <c r="P517" s="176"/>
      <c r="Q517" s="176"/>
      <c r="R517" s="176"/>
      <c r="S517" s="176"/>
      <c r="T517" s="176"/>
      <c r="U517" s="176"/>
      <c r="V517" s="176"/>
      <c r="W517" s="176"/>
      <c r="X517" s="176"/>
      <c r="Y517" s="176"/>
      <c r="Z517" s="176"/>
      <c r="AA517" s="176"/>
      <c r="AB517" s="176"/>
      <c r="AC517" s="176"/>
      <c r="AD517" s="97"/>
      <c r="AE517" s="97"/>
      <c r="AF517" s="97"/>
      <c r="AG517" s="97"/>
      <c r="AH517" s="97"/>
      <c r="AI517" s="97"/>
      <c r="AJ517" s="97"/>
      <c r="AK517" s="97"/>
      <c r="AL517" s="97"/>
      <c r="AM517" s="97"/>
      <c r="AN517" s="97"/>
      <c r="AO517" s="97"/>
      <c r="AP517" s="97"/>
      <c r="AQ517" s="97"/>
      <c r="AR517" s="97"/>
      <c r="AS517" s="97"/>
      <c r="AT517" s="97"/>
      <c r="AU517" s="97"/>
      <c r="AV517" s="97"/>
      <c r="AW517" s="97"/>
      <c r="AX517" s="97"/>
    </row>
    <row r="518" ht="15.75" customHeight="1">
      <c r="A518" s="170" t="s">
        <v>238</v>
      </c>
      <c r="B518" s="271" t="s">
        <v>4401</v>
      </c>
      <c r="C518" s="76" t="s">
        <v>5512</v>
      </c>
      <c r="D518" s="76" t="s">
        <v>5513</v>
      </c>
      <c r="E518" s="117" t="s">
        <v>5514</v>
      </c>
      <c r="F518" s="76"/>
      <c r="G518" s="76"/>
      <c r="H518" s="76"/>
      <c r="I518" s="209"/>
      <c r="J518" s="209"/>
      <c r="K518" s="218" t="s">
        <v>5515</v>
      </c>
      <c r="L518" s="210"/>
      <c r="M518" s="209"/>
      <c r="N518" s="209"/>
      <c r="O518" s="209"/>
      <c r="P518" s="209"/>
      <c r="Q518" s="209"/>
      <c r="R518" s="209"/>
      <c r="S518" s="209"/>
      <c r="T518" s="209"/>
      <c r="U518" s="209"/>
      <c r="V518" s="209"/>
      <c r="W518" s="209"/>
      <c r="X518" s="209"/>
      <c r="Y518" s="209"/>
      <c r="Z518" s="209"/>
      <c r="AA518" s="209"/>
      <c r="AB518" s="209"/>
      <c r="AC518" s="209"/>
      <c r="AD518" s="97"/>
      <c r="AE518" s="97"/>
      <c r="AF518" s="97"/>
      <c r="AG518" s="97"/>
      <c r="AH518" s="97"/>
      <c r="AI518" s="97"/>
      <c r="AJ518" s="97"/>
      <c r="AK518" s="97"/>
      <c r="AL518" s="97"/>
      <c r="AM518" s="97"/>
      <c r="AN518" s="97"/>
      <c r="AO518" s="97"/>
      <c r="AP518" s="97"/>
      <c r="AQ518" s="97"/>
      <c r="AR518" s="97"/>
      <c r="AS518" s="97"/>
      <c r="AT518" s="97"/>
      <c r="AU518" s="97"/>
      <c r="AV518" s="97"/>
      <c r="AW518" s="97"/>
      <c r="AX518" s="97"/>
    </row>
    <row r="519" ht="15.75" customHeight="1">
      <c r="A519" s="170" t="s">
        <v>238</v>
      </c>
      <c r="B519" s="271" t="s">
        <v>4405</v>
      </c>
      <c r="C519" s="76" t="s">
        <v>5516</v>
      </c>
      <c r="D519" s="76" t="s">
        <v>5517</v>
      </c>
      <c r="E519" s="117" t="s">
        <v>5518</v>
      </c>
      <c r="F519" s="76"/>
      <c r="G519" s="76"/>
      <c r="H519" s="76"/>
      <c r="I519" s="209"/>
      <c r="J519" s="209"/>
      <c r="K519" s="210" t="s">
        <v>2476</v>
      </c>
      <c r="L519" s="210"/>
      <c r="M519" s="209"/>
      <c r="N519" s="209"/>
      <c r="O519" s="209"/>
      <c r="P519" s="209"/>
      <c r="Q519" s="209" t="s">
        <v>184</v>
      </c>
      <c r="R519" s="209"/>
      <c r="S519" s="209"/>
      <c r="T519" s="209"/>
      <c r="U519" s="209"/>
      <c r="V519" s="209"/>
      <c r="W519" s="209"/>
      <c r="X519" s="209"/>
      <c r="Y519" s="209"/>
      <c r="Z519" s="209"/>
      <c r="AA519" s="209"/>
      <c r="AB519" s="209"/>
      <c r="AC519" s="209"/>
      <c r="AD519" s="97"/>
      <c r="AE519" s="97"/>
      <c r="AF519" s="97"/>
      <c r="AG519" s="97"/>
      <c r="AH519" s="97"/>
      <c r="AI519" s="97"/>
      <c r="AJ519" s="97"/>
      <c r="AK519" s="97"/>
      <c r="AL519" s="97"/>
      <c r="AM519" s="97"/>
      <c r="AN519" s="97"/>
      <c r="AO519" s="97"/>
      <c r="AP519" s="97"/>
      <c r="AQ519" s="97"/>
      <c r="AR519" s="97"/>
      <c r="AS519" s="97"/>
      <c r="AT519" s="97"/>
      <c r="AU519" s="97"/>
      <c r="AV519" s="97"/>
      <c r="AW519" s="97"/>
      <c r="AX519" s="97"/>
    </row>
    <row r="520">
      <c r="A520" s="270"/>
      <c r="B520" s="270"/>
      <c r="C520" s="141"/>
      <c r="D520" s="141"/>
      <c r="E520" s="261"/>
      <c r="F520" s="270"/>
      <c r="G520" s="270"/>
      <c r="H520" s="270"/>
      <c r="I520" s="270"/>
      <c r="J520" s="270"/>
      <c r="K520" s="270"/>
      <c r="L520" s="270"/>
      <c r="M520" s="270"/>
      <c r="N520" s="270"/>
      <c r="O520" s="270"/>
      <c r="P520" s="270"/>
      <c r="Q520" s="270"/>
      <c r="R520" s="270"/>
      <c r="S520" s="270"/>
      <c r="T520" s="301"/>
      <c r="U520" s="270"/>
      <c r="V520" s="270"/>
      <c r="W520" s="270"/>
      <c r="X520" s="270"/>
      <c r="Y520" s="270"/>
      <c r="Z520" s="270"/>
      <c r="AA520" s="270"/>
      <c r="AB520" s="270"/>
      <c r="AC520" s="270"/>
      <c r="AD520" s="270"/>
      <c r="AE520" s="270"/>
      <c r="AF520" s="270"/>
      <c r="AG520" s="270"/>
      <c r="AH520" s="270"/>
      <c r="AI520" s="270"/>
      <c r="AJ520" s="270"/>
      <c r="AK520" s="270"/>
      <c r="AL520" s="270"/>
      <c r="AM520" s="270"/>
      <c r="AN520" s="270"/>
      <c r="AO520" s="270"/>
      <c r="AP520" s="270"/>
      <c r="AQ520" s="270"/>
      <c r="AR520" s="270"/>
      <c r="AS520" s="270"/>
      <c r="AT520" s="270"/>
      <c r="AU520" s="270"/>
      <c r="AV520" s="270"/>
      <c r="AW520" s="270"/>
      <c r="AX520" s="270"/>
    </row>
    <row r="521" ht="15.75" customHeight="1">
      <c r="A521" s="167" t="s">
        <v>807</v>
      </c>
      <c r="B521" s="168" t="s">
        <v>4409</v>
      </c>
      <c r="C521" s="168" t="s">
        <v>4410</v>
      </c>
      <c r="D521" s="169" t="s">
        <v>4411</v>
      </c>
      <c r="E521" s="169" t="s">
        <v>4412</v>
      </c>
      <c r="F521" s="205"/>
      <c r="G521" s="205"/>
      <c r="H521" s="205"/>
      <c r="I521" s="205"/>
      <c r="J521" s="205"/>
      <c r="K521" s="205"/>
      <c r="L521" s="205"/>
      <c r="M521" s="207"/>
      <c r="N521" s="207"/>
      <c r="O521" s="207"/>
      <c r="P521" s="205"/>
      <c r="Q521" s="205"/>
      <c r="R521" s="205"/>
      <c r="S521" s="205"/>
      <c r="T521" s="205"/>
      <c r="U521" s="207" t="s">
        <v>5519</v>
      </c>
      <c r="V521" s="205"/>
      <c r="W521" s="205"/>
      <c r="X521" s="205"/>
      <c r="Y521" s="205"/>
      <c r="Z521" s="205"/>
      <c r="AA521" s="205"/>
      <c r="AB521" s="205"/>
      <c r="AC521" s="205"/>
      <c r="AD521" s="97"/>
      <c r="AE521" s="97"/>
      <c r="AF521" s="97"/>
      <c r="AG521" s="97"/>
      <c r="AH521" s="97"/>
      <c r="AI521" s="97"/>
      <c r="AJ521" s="97"/>
      <c r="AK521" s="97"/>
      <c r="AL521" s="97"/>
      <c r="AM521" s="97"/>
      <c r="AN521" s="97"/>
      <c r="AO521" s="97"/>
      <c r="AP521" s="97"/>
      <c r="AQ521" s="97"/>
      <c r="AR521" s="97"/>
      <c r="AS521" s="97"/>
      <c r="AT521" s="97"/>
      <c r="AU521" s="97"/>
      <c r="AV521" s="97"/>
      <c r="AW521" s="97"/>
      <c r="AX521" s="97"/>
    </row>
    <row r="522" ht="15.75" customHeight="1">
      <c r="A522" s="131" t="s">
        <v>115</v>
      </c>
      <c r="B522" s="132" t="s">
        <v>4413</v>
      </c>
      <c r="C522" s="133"/>
      <c r="D522" s="133"/>
      <c r="E522" s="133"/>
      <c r="F522" s="134"/>
      <c r="G522" s="134"/>
      <c r="H522" s="134"/>
      <c r="I522" s="134"/>
      <c r="J522" s="134"/>
      <c r="K522" s="134"/>
      <c r="L522" s="134"/>
      <c r="M522" s="134"/>
      <c r="N522" s="134"/>
      <c r="O522" s="134"/>
      <c r="P522" s="134"/>
      <c r="Q522" s="134"/>
      <c r="R522" s="134"/>
      <c r="S522" s="134"/>
      <c r="T522" s="149" t="s">
        <v>5520</v>
      </c>
      <c r="U522" s="134"/>
      <c r="V522" s="134"/>
      <c r="W522" s="134"/>
      <c r="X522" s="134"/>
      <c r="Y522" s="134"/>
      <c r="Z522" s="134"/>
      <c r="AA522" s="134"/>
      <c r="AB522" s="134"/>
      <c r="AC522" s="134"/>
      <c r="AD522" s="97"/>
      <c r="AE522" s="97"/>
      <c r="AF522" s="97"/>
      <c r="AG522" s="97"/>
      <c r="AH522" s="97"/>
      <c r="AI522" s="97"/>
      <c r="AJ522" s="97"/>
      <c r="AK522" s="97"/>
      <c r="AL522" s="97"/>
      <c r="AM522" s="97"/>
      <c r="AN522" s="97"/>
      <c r="AO522" s="97"/>
      <c r="AP522" s="97"/>
      <c r="AQ522" s="97"/>
      <c r="AR522" s="97"/>
      <c r="AS522" s="97"/>
      <c r="AT522" s="97"/>
      <c r="AU522" s="97"/>
      <c r="AV522" s="97"/>
      <c r="AW522" s="97"/>
      <c r="AX522" s="97"/>
    </row>
    <row r="523" ht="15.75" customHeight="1">
      <c r="A523" s="131" t="s">
        <v>115</v>
      </c>
      <c r="B523" s="132" t="s">
        <v>4414</v>
      </c>
      <c r="C523" s="133" t="s">
        <v>4415</v>
      </c>
      <c r="D523" s="133" t="s">
        <v>4416</v>
      </c>
      <c r="E523" s="133" t="s">
        <v>4417</v>
      </c>
      <c r="F523" s="134"/>
      <c r="G523" s="134"/>
      <c r="H523" s="134"/>
      <c r="I523" s="134"/>
      <c r="J523" s="134"/>
      <c r="K523" s="134"/>
      <c r="L523" s="134"/>
      <c r="M523" s="134"/>
      <c r="N523" s="134"/>
      <c r="O523" s="134"/>
      <c r="P523" s="134"/>
      <c r="Q523" s="134"/>
      <c r="R523" s="134"/>
      <c r="S523" s="134"/>
      <c r="T523" s="149" t="s">
        <v>5521</v>
      </c>
      <c r="U523" s="134"/>
      <c r="V523" s="134"/>
      <c r="W523" s="134"/>
      <c r="X523" s="134"/>
      <c r="Y523" s="134"/>
      <c r="Z523" s="134"/>
      <c r="AA523" s="134"/>
      <c r="AB523" s="134"/>
      <c r="AC523" s="134"/>
      <c r="AD523" s="97"/>
      <c r="AE523" s="97"/>
      <c r="AF523" s="97"/>
      <c r="AG523" s="97"/>
      <c r="AH523" s="97"/>
      <c r="AI523" s="97"/>
      <c r="AJ523" s="97"/>
      <c r="AK523" s="97"/>
      <c r="AL523" s="97"/>
      <c r="AM523" s="97"/>
      <c r="AN523" s="97"/>
      <c r="AO523" s="97"/>
      <c r="AP523" s="97"/>
      <c r="AQ523" s="97"/>
      <c r="AR523" s="97"/>
      <c r="AS523" s="97"/>
      <c r="AT523" s="97"/>
      <c r="AU523" s="97"/>
      <c r="AV523" s="97"/>
      <c r="AW523" s="97"/>
      <c r="AX523" s="97"/>
    </row>
    <row r="524" ht="15.75" customHeight="1">
      <c r="A524" s="170" t="s">
        <v>238</v>
      </c>
      <c r="B524" s="171" t="s">
        <v>4418</v>
      </c>
      <c r="C524" s="76" t="s">
        <v>5522</v>
      </c>
      <c r="D524" s="76" t="s">
        <v>5523</v>
      </c>
      <c r="E524" s="117" t="s">
        <v>5524</v>
      </c>
      <c r="F524" s="76"/>
      <c r="G524" s="76"/>
      <c r="H524" s="76"/>
      <c r="I524" s="209"/>
      <c r="J524" s="209"/>
      <c r="K524" s="210" t="s">
        <v>5525</v>
      </c>
      <c r="L524" s="210"/>
      <c r="M524" s="209"/>
      <c r="N524" s="209"/>
      <c r="O524" s="209"/>
      <c r="P524" s="209"/>
      <c r="Q524" s="209" t="s">
        <v>184</v>
      </c>
      <c r="R524" s="209"/>
      <c r="S524" s="209"/>
      <c r="T524" s="209"/>
      <c r="U524" s="209"/>
      <c r="V524" s="209"/>
      <c r="W524" s="209"/>
      <c r="X524" s="209"/>
      <c r="Y524" s="209"/>
      <c r="Z524" s="209"/>
      <c r="AA524" s="209"/>
      <c r="AB524" s="209"/>
      <c r="AC524" s="209"/>
      <c r="AD524" s="97"/>
      <c r="AE524" s="97"/>
      <c r="AF524" s="97"/>
      <c r="AG524" s="97"/>
      <c r="AH524" s="97"/>
      <c r="AI524" s="97"/>
      <c r="AJ524" s="97"/>
      <c r="AK524" s="97"/>
      <c r="AL524" s="97"/>
      <c r="AM524" s="97"/>
      <c r="AN524" s="97"/>
      <c r="AO524" s="97"/>
      <c r="AP524" s="97"/>
      <c r="AQ524" s="97"/>
      <c r="AR524" s="97"/>
      <c r="AS524" s="97"/>
      <c r="AT524" s="97"/>
      <c r="AU524" s="97"/>
      <c r="AV524" s="97"/>
      <c r="AW524" s="97"/>
      <c r="AX524" s="97"/>
    </row>
    <row r="525" ht="15.75" customHeight="1">
      <c r="A525" s="167" t="s">
        <v>842</v>
      </c>
      <c r="B525" s="169" t="s">
        <v>4409</v>
      </c>
      <c r="C525" s="169" t="s">
        <v>4410</v>
      </c>
      <c r="D525" s="169" t="s">
        <v>4411</v>
      </c>
      <c r="E525" s="169" t="s">
        <v>4412</v>
      </c>
      <c r="F525" s="205"/>
      <c r="G525" s="205"/>
      <c r="H525" s="205"/>
      <c r="I525" s="205"/>
      <c r="J525" s="205"/>
      <c r="K525" s="205"/>
      <c r="L525" s="205"/>
      <c r="M525" s="205"/>
      <c r="N525" s="205"/>
      <c r="O525" s="205"/>
      <c r="P525" s="205"/>
      <c r="Q525" s="205"/>
      <c r="R525" s="205"/>
      <c r="S525" s="205"/>
      <c r="T525" s="205"/>
      <c r="U525" s="205"/>
      <c r="V525" s="205"/>
      <c r="W525" s="205"/>
      <c r="X525" s="205"/>
      <c r="Y525" s="205"/>
      <c r="Z525" s="205"/>
      <c r="AA525" s="205"/>
      <c r="AB525" s="205"/>
      <c r="AC525" s="205"/>
      <c r="AD525" s="97"/>
      <c r="AE525" s="97"/>
      <c r="AF525" s="97"/>
      <c r="AG525" s="97"/>
      <c r="AH525" s="97"/>
      <c r="AI525" s="97"/>
      <c r="AJ525" s="97"/>
      <c r="AK525" s="97"/>
      <c r="AL525" s="97"/>
      <c r="AM525" s="97"/>
      <c r="AN525" s="97"/>
      <c r="AO525" s="97"/>
      <c r="AP525" s="97"/>
      <c r="AQ525" s="97"/>
      <c r="AR525" s="97"/>
      <c r="AS525" s="97"/>
      <c r="AT525" s="97"/>
      <c r="AU525" s="97"/>
      <c r="AV525" s="97"/>
      <c r="AW525" s="97"/>
      <c r="AX525" s="97"/>
    </row>
    <row r="526" ht="15.75" customHeight="1">
      <c r="A526" s="121" t="s">
        <v>44</v>
      </c>
      <c r="B526" s="157" t="s">
        <v>4423</v>
      </c>
      <c r="C526" s="76" t="s">
        <v>5526</v>
      </c>
      <c r="D526" s="76" t="s">
        <v>5527</v>
      </c>
      <c r="E526" s="117" t="s">
        <v>5528</v>
      </c>
      <c r="F526" s="76"/>
      <c r="G526" s="76"/>
      <c r="H526" s="76"/>
      <c r="I526" s="118"/>
      <c r="J526" s="120"/>
      <c r="K526" s="118"/>
      <c r="L526" s="118"/>
      <c r="M526" s="118"/>
      <c r="N526" s="118"/>
      <c r="O526" s="118"/>
      <c r="P526" s="118"/>
      <c r="Q526" s="118"/>
      <c r="R526" s="118"/>
      <c r="S526" s="118"/>
      <c r="T526" s="118"/>
      <c r="U526" s="118"/>
      <c r="V526" s="118"/>
      <c r="W526" s="118"/>
      <c r="X526" s="118"/>
      <c r="Y526" s="118"/>
      <c r="Z526" s="118"/>
      <c r="AA526" s="118"/>
      <c r="AB526" s="118"/>
      <c r="AC526" s="118"/>
      <c r="AD526" s="97"/>
      <c r="AE526" s="97"/>
      <c r="AF526" s="97"/>
      <c r="AG526" s="97"/>
      <c r="AH526" s="97"/>
      <c r="AI526" s="97"/>
      <c r="AJ526" s="97"/>
      <c r="AK526" s="97"/>
      <c r="AL526" s="97"/>
      <c r="AM526" s="97"/>
      <c r="AN526" s="97"/>
      <c r="AO526" s="97"/>
      <c r="AP526" s="97"/>
      <c r="AQ526" s="97"/>
      <c r="AR526" s="97"/>
      <c r="AS526" s="97"/>
      <c r="AT526" s="97"/>
      <c r="AU526" s="97"/>
      <c r="AV526" s="97"/>
      <c r="AW526" s="97"/>
      <c r="AX526" s="97"/>
    </row>
    <row r="527" ht="15.75" customHeight="1">
      <c r="A527" s="114" t="s">
        <v>541</v>
      </c>
      <c r="B527" s="165" t="s">
        <v>4430</v>
      </c>
      <c r="C527" s="76" t="s">
        <v>5529</v>
      </c>
      <c r="D527" s="76" t="s">
        <v>5530</v>
      </c>
      <c r="E527" s="117" t="s">
        <v>5531</v>
      </c>
      <c r="F527" s="76"/>
      <c r="G527" s="76"/>
      <c r="H527" s="76"/>
      <c r="I527" s="118"/>
      <c r="J527" s="120"/>
      <c r="K527" s="118"/>
      <c r="L527" s="118"/>
      <c r="M527" s="118"/>
      <c r="N527" s="118"/>
      <c r="O527" s="118" t="s">
        <v>5532</v>
      </c>
      <c r="P527" s="118"/>
      <c r="Q527" s="118" t="s">
        <v>184</v>
      </c>
      <c r="R527" s="118"/>
      <c r="S527" s="118"/>
      <c r="T527" s="118"/>
      <c r="U527" s="118"/>
      <c r="V527" s="118"/>
      <c r="W527" s="118"/>
      <c r="X527" s="118"/>
      <c r="Y527" s="118"/>
      <c r="Z527" s="118"/>
      <c r="AA527" s="118"/>
      <c r="AB527" s="118"/>
      <c r="AC527" s="118"/>
      <c r="AD527" s="97"/>
      <c r="AE527" s="97"/>
      <c r="AF527" s="97"/>
      <c r="AG527" s="97"/>
      <c r="AH527" s="97"/>
      <c r="AI527" s="97"/>
      <c r="AJ527" s="97"/>
      <c r="AK527" s="97"/>
      <c r="AL527" s="97"/>
      <c r="AM527" s="97"/>
      <c r="AN527" s="97"/>
      <c r="AO527" s="97"/>
      <c r="AP527" s="97"/>
      <c r="AQ527" s="97"/>
      <c r="AR527" s="97"/>
      <c r="AS527" s="97"/>
      <c r="AT527" s="97"/>
      <c r="AU527" s="97"/>
      <c r="AV527" s="97"/>
      <c r="AW527" s="97"/>
      <c r="AX527" s="97"/>
    </row>
    <row r="528" ht="15.75" customHeight="1">
      <c r="A528" s="170" t="s">
        <v>238</v>
      </c>
      <c r="B528" s="171" t="s">
        <v>4433</v>
      </c>
      <c r="C528" s="76" t="s">
        <v>5533</v>
      </c>
      <c r="D528" s="76" t="s">
        <v>5534</v>
      </c>
      <c r="E528" s="117" t="s">
        <v>5535</v>
      </c>
      <c r="F528" s="76"/>
      <c r="G528" s="76"/>
      <c r="H528" s="76"/>
      <c r="I528" s="209"/>
      <c r="J528" s="209"/>
      <c r="K528" s="210"/>
      <c r="L528" s="210"/>
      <c r="M528" s="209"/>
      <c r="N528" s="209"/>
      <c r="O528" s="209" t="s">
        <v>5536</v>
      </c>
      <c r="P528" s="209"/>
      <c r="Q528" s="209" t="s">
        <v>184</v>
      </c>
      <c r="R528" s="209"/>
      <c r="S528" s="209"/>
      <c r="T528" s="209"/>
      <c r="U528" s="209"/>
      <c r="V528" s="209"/>
      <c r="W528" s="209"/>
      <c r="X528" s="209"/>
      <c r="Y528" s="209"/>
      <c r="Z528" s="209"/>
      <c r="AA528" s="209"/>
      <c r="AB528" s="209"/>
      <c r="AC528" s="209"/>
      <c r="AD528" s="97"/>
      <c r="AE528" s="97"/>
      <c r="AF528" s="97"/>
      <c r="AG528" s="97"/>
      <c r="AH528" s="97"/>
      <c r="AI528" s="97"/>
      <c r="AJ528" s="97"/>
      <c r="AK528" s="97"/>
      <c r="AL528" s="97"/>
      <c r="AM528" s="97"/>
      <c r="AN528" s="97"/>
      <c r="AO528" s="97"/>
      <c r="AP528" s="97"/>
      <c r="AQ528" s="97"/>
      <c r="AR528" s="97"/>
      <c r="AS528" s="97"/>
      <c r="AT528" s="97"/>
      <c r="AU528" s="97"/>
      <c r="AV528" s="97"/>
      <c r="AW528" s="97"/>
      <c r="AX528" s="97"/>
    </row>
    <row r="529" ht="15.75" customHeight="1">
      <c r="A529" s="170" t="s">
        <v>238</v>
      </c>
      <c r="B529" s="171" t="s">
        <v>4437</v>
      </c>
      <c r="C529" s="76" t="s">
        <v>5537</v>
      </c>
      <c r="D529" s="76" t="s">
        <v>5538</v>
      </c>
      <c r="E529" s="117" t="s">
        <v>5539</v>
      </c>
      <c r="F529" s="76"/>
      <c r="G529" s="76"/>
      <c r="H529" s="76"/>
      <c r="I529" s="209"/>
      <c r="J529" s="209"/>
      <c r="K529" s="210" t="s">
        <v>5525</v>
      </c>
      <c r="L529" s="210"/>
      <c r="M529" s="209"/>
      <c r="N529" s="209"/>
      <c r="O529" s="209" t="s">
        <v>5536</v>
      </c>
      <c r="P529" s="209"/>
      <c r="Q529" s="209" t="s">
        <v>184</v>
      </c>
      <c r="R529" s="209"/>
      <c r="S529" s="209"/>
      <c r="T529" s="209"/>
      <c r="U529" s="209"/>
      <c r="V529" s="209"/>
      <c r="W529" s="209"/>
      <c r="X529" s="209"/>
      <c r="Y529" s="209"/>
      <c r="Z529" s="209"/>
      <c r="AA529" s="209"/>
      <c r="AB529" s="209"/>
      <c r="AC529" s="209"/>
      <c r="AD529" s="97"/>
      <c r="AE529" s="97"/>
      <c r="AF529" s="97"/>
      <c r="AG529" s="97"/>
      <c r="AH529" s="97"/>
      <c r="AI529" s="97"/>
      <c r="AJ529" s="97"/>
      <c r="AK529" s="97"/>
      <c r="AL529" s="97"/>
      <c r="AM529" s="97"/>
      <c r="AN529" s="97"/>
      <c r="AO529" s="97"/>
      <c r="AP529" s="97"/>
      <c r="AQ529" s="97"/>
      <c r="AR529" s="97"/>
      <c r="AS529" s="97"/>
      <c r="AT529" s="97"/>
      <c r="AU529" s="97"/>
      <c r="AV529" s="97"/>
      <c r="AW529" s="97"/>
      <c r="AX529" s="97"/>
    </row>
    <row r="530" ht="15.75" customHeight="1">
      <c r="A530" s="170" t="s">
        <v>238</v>
      </c>
      <c r="B530" s="171" t="s">
        <v>4441</v>
      </c>
      <c r="C530" s="76" t="s">
        <v>5540</v>
      </c>
      <c r="D530" s="76" t="s">
        <v>5541</v>
      </c>
      <c r="E530" s="117" t="s">
        <v>5542</v>
      </c>
      <c r="F530" s="76"/>
      <c r="G530" s="76"/>
      <c r="H530" s="76"/>
      <c r="I530" s="209"/>
      <c r="J530" s="209"/>
      <c r="K530" s="210"/>
      <c r="L530" s="210"/>
      <c r="M530" s="209"/>
      <c r="N530" s="209"/>
      <c r="O530" s="209" t="s">
        <v>5536</v>
      </c>
      <c r="P530" s="209"/>
      <c r="Q530" s="209" t="s">
        <v>184</v>
      </c>
      <c r="R530" s="209"/>
      <c r="S530" s="209"/>
      <c r="T530" s="209"/>
      <c r="U530" s="209"/>
      <c r="V530" s="209"/>
      <c r="W530" s="209"/>
      <c r="X530" s="209"/>
      <c r="Y530" s="209"/>
      <c r="Z530" s="209"/>
      <c r="AA530" s="209"/>
      <c r="AB530" s="209"/>
      <c r="AC530" s="209"/>
      <c r="AD530" s="97"/>
      <c r="AE530" s="97"/>
      <c r="AF530" s="97"/>
      <c r="AG530" s="97"/>
      <c r="AH530" s="97"/>
      <c r="AI530" s="97"/>
      <c r="AJ530" s="97"/>
      <c r="AK530" s="97"/>
      <c r="AL530" s="97"/>
      <c r="AM530" s="97"/>
      <c r="AN530" s="97"/>
      <c r="AO530" s="97"/>
      <c r="AP530" s="97"/>
      <c r="AQ530" s="97"/>
      <c r="AR530" s="97"/>
      <c r="AS530" s="97"/>
      <c r="AT530" s="97"/>
      <c r="AU530" s="97"/>
      <c r="AV530" s="97"/>
      <c r="AW530" s="97"/>
      <c r="AX530" s="97"/>
    </row>
    <row r="531" ht="15.75" customHeight="1">
      <c r="A531" s="131" t="s">
        <v>115</v>
      </c>
      <c r="B531" s="132" t="s">
        <v>4445</v>
      </c>
      <c r="C531" s="133" t="s">
        <v>4446</v>
      </c>
      <c r="D531" s="133" t="s">
        <v>4447</v>
      </c>
      <c r="E531" s="133" t="s">
        <v>4448</v>
      </c>
      <c r="F531" s="134"/>
      <c r="G531" s="134"/>
      <c r="H531" s="134"/>
      <c r="I531" s="134"/>
      <c r="J531" s="134"/>
      <c r="K531" s="134"/>
      <c r="L531" s="134"/>
      <c r="M531" s="134"/>
      <c r="N531" s="134"/>
      <c r="O531" s="134"/>
      <c r="P531" s="134"/>
      <c r="Q531" s="134"/>
      <c r="R531" s="134"/>
      <c r="S531" s="134"/>
      <c r="T531" s="134" t="s">
        <v>5543</v>
      </c>
      <c r="U531" s="134"/>
      <c r="V531" s="134"/>
      <c r="W531" s="134"/>
      <c r="X531" s="134"/>
      <c r="Y531" s="134"/>
      <c r="Z531" s="134"/>
      <c r="AA531" s="134"/>
      <c r="AB531" s="134"/>
      <c r="AC531" s="134"/>
      <c r="AD531" s="97"/>
      <c r="AE531" s="97"/>
      <c r="AF531" s="97"/>
      <c r="AG531" s="97"/>
      <c r="AH531" s="97"/>
      <c r="AI531" s="97"/>
      <c r="AJ531" s="97"/>
      <c r="AK531" s="97"/>
      <c r="AL531" s="97"/>
      <c r="AM531" s="97"/>
      <c r="AN531" s="97"/>
      <c r="AO531" s="97"/>
      <c r="AP531" s="97"/>
      <c r="AQ531" s="97"/>
      <c r="AR531" s="97"/>
      <c r="AS531" s="97"/>
      <c r="AT531" s="97"/>
      <c r="AU531" s="97"/>
      <c r="AV531" s="97"/>
      <c r="AW531" s="97"/>
      <c r="AX531" s="97"/>
    </row>
    <row r="532" ht="15.75" customHeight="1">
      <c r="A532" s="114" t="s">
        <v>541</v>
      </c>
      <c r="B532" s="165" t="s">
        <v>4450</v>
      </c>
      <c r="C532" s="76" t="s">
        <v>5544</v>
      </c>
      <c r="D532" s="76" t="s">
        <v>5545</v>
      </c>
      <c r="E532" s="117" t="s">
        <v>5546</v>
      </c>
      <c r="F532" s="76"/>
      <c r="G532" s="76"/>
      <c r="H532" s="76"/>
      <c r="I532" s="118"/>
      <c r="J532" s="120"/>
      <c r="K532" s="118" t="s">
        <v>5547</v>
      </c>
      <c r="L532" s="118" t="s">
        <v>5548</v>
      </c>
      <c r="M532" s="118"/>
      <c r="N532" s="118"/>
      <c r="O532" s="118"/>
      <c r="P532" s="118"/>
      <c r="Q532" s="118" t="s">
        <v>184</v>
      </c>
      <c r="R532" s="118"/>
      <c r="S532" s="118"/>
      <c r="T532" s="118"/>
      <c r="U532" s="118"/>
      <c r="V532" s="118"/>
      <c r="W532" s="118"/>
      <c r="X532" s="118"/>
      <c r="Y532" s="118"/>
      <c r="Z532" s="118"/>
      <c r="AA532" s="118"/>
      <c r="AB532" s="118"/>
      <c r="AC532" s="118"/>
      <c r="AD532" s="97"/>
      <c r="AE532" s="97"/>
      <c r="AF532" s="97"/>
      <c r="AG532" s="97"/>
      <c r="AH532" s="97"/>
      <c r="AI532" s="97"/>
      <c r="AJ532" s="97"/>
      <c r="AK532" s="97"/>
      <c r="AL532" s="97"/>
      <c r="AM532" s="97"/>
      <c r="AN532" s="97"/>
      <c r="AO532" s="97"/>
      <c r="AP532" s="97"/>
      <c r="AQ532" s="97"/>
      <c r="AR532" s="97"/>
      <c r="AS532" s="97"/>
      <c r="AT532" s="97"/>
      <c r="AU532" s="97"/>
      <c r="AV532" s="97"/>
      <c r="AW532" s="97"/>
      <c r="AX532" s="97"/>
    </row>
    <row r="533" ht="15.75" customHeight="1">
      <c r="A533" s="152" t="s">
        <v>44</v>
      </c>
      <c r="B533" s="77" t="s">
        <v>4457</v>
      </c>
      <c r="C533" s="76" t="s">
        <v>5549</v>
      </c>
      <c r="D533" s="76" t="s">
        <v>5550</v>
      </c>
      <c r="E533" s="117" t="s">
        <v>5551</v>
      </c>
      <c r="F533" s="76"/>
      <c r="G533" s="76"/>
      <c r="H533" s="76"/>
      <c r="I533" s="176"/>
      <c r="J533" s="176"/>
      <c r="K533" s="176"/>
      <c r="L533" s="176"/>
      <c r="M533" s="176"/>
      <c r="N533" s="176"/>
      <c r="O533" s="176"/>
      <c r="P533" s="176"/>
      <c r="Q533" s="176"/>
      <c r="R533" s="176"/>
      <c r="S533" s="176"/>
      <c r="T533" s="176"/>
      <c r="U533" s="176"/>
      <c r="V533" s="176"/>
      <c r="W533" s="176"/>
      <c r="X533" s="176"/>
      <c r="Y533" s="176"/>
      <c r="Z533" s="176"/>
      <c r="AA533" s="176"/>
      <c r="AB533" s="176"/>
      <c r="AC533" s="176"/>
      <c r="AD533" s="97"/>
      <c r="AE533" s="97"/>
      <c r="AF533" s="97"/>
      <c r="AG533" s="97"/>
      <c r="AH533" s="97"/>
      <c r="AI533" s="97"/>
      <c r="AJ533" s="97"/>
      <c r="AK533" s="97"/>
      <c r="AL533" s="97"/>
      <c r="AM533" s="97"/>
      <c r="AN533" s="97"/>
      <c r="AO533" s="97"/>
      <c r="AP533" s="97"/>
      <c r="AQ533" s="97"/>
      <c r="AR533" s="97"/>
      <c r="AS533" s="97"/>
      <c r="AT533" s="97"/>
      <c r="AU533" s="97"/>
      <c r="AV533" s="97"/>
      <c r="AW533" s="97"/>
      <c r="AX533" s="97"/>
    </row>
    <row r="534" ht="52.5" customHeight="1">
      <c r="A534" s="114" t="s">
        <v>541</v>
      </c>
      <c r="B534" s="165" t="s">
        <v>4463</v>
      </c>
      <c r="C534" s="76" t="s">
        <v>5552</v>
      </c>
      <c r="D534" s="76" t="s">
        <v>5553</v>
      </c>
      <c r="E534" s="117" t="s">
        <v>5554</v>
      </c>
      <c r="F534" s="76"/>
      <c r="G534" s="76"/>
      <c r="H534" s="76"/>
      <c r="I534" s="118"/>
      <c r="J534" s="120"/>
      <c r="K534" s="118"/>
      <c r="L534" s="118"/>
      <c r="M534" s="118"/>
      <c r="N534" s="118"/>
      <c r="O534" s="118"/>
      <c r="P534" s="118"/>
      <c r="Q534" s="118"/>
      <c r="R534" s="118"/>
      <c r="S534" s="118"/>
      <c r="T534" s="118"/>
      <c r="U534" s="118"/>
      <c r="V534" s="118"/>
      <c r="W534" s="118"/>
      <c r="X534" s="118"/>
      <c r="Y534" s="118"/>
      <c r="Z534" s="118"/>
      <c r="AA534" s="118"/>
      <c r="AB534" s="118"/>
      <c r="AC534" s="118"/>
      <c r="AD534" s="97"/>
      <c r="AE534" s="97"/>
      <c r="AF534" s="97"/>
      <c r="AG534" s="97"/>
      <c r="AH534" s="97"/>
      <c r="AI534" s="97"/>
      <c r="AJ534" s="97"/>
      <c r="AK534" s="97"/>
      <c r="AL534" s="97"/>
      <c r="AM534" s="97"/>
      <c r="AN534" s="97"/>
      <c r="AO534" s="97"/>
      <c r="AP534" s="97"/>
      <c r="AQ534" s="97"/>
      <c r="AR534" s="97"/>
      <c r="AS534" s="97"/>
      <c r="AT534" s="97"/>
      <c r="AU534" s="97"/>
      <c r="AV534" s="97"/>
      <c r="AW534" s="97"/>
      <c r="AX534" s="97"/>
    </row>
    <row r="535" ht="15.75" customHeight="1">
      <c r="A535" s="131" t="s">
        <v>150</v>
      </c>
      <c r="B535" s="164" t="s">
        <v>4468</v>
      </c>
      <c r="C535" s="133"/>
      <c r="D535" s="133"/>
      <c r="E535" s="133"/>
      <c r="F535" s="134"/>
      <c r="G535" s="134"/>
      <c r="H535" s="134"/>
      <c r="I535" s="134"/>
      <c r="J535" s="134"/>
      <c r="K535" s="134"/>
      <c r="L535" s="134"/>
      <c r="M535" s="134"/>
      <c r="N535" s="134"/>
      <c r="O535" s="134"/>
      <c r="P535" s="134"/>
      <c r="Q535" s="134"/>
      <c r="R535" s="134"/>
      <c r="S535" s="134"/>
      <c r="T535" s="291" t="s">
        <v>156</v>
      </c>
      <c r="U535" s="134"/>
      <c r="V535" s="134"/>
      <c r="W535" s="134"/>
      <c r="X535" s="134"/>
      <c r="Y535" s="134"/>
      <c r="Z535" s="134"/>
      <c r="AA535" s="134"/>
      <c r="AB535" s="134"/>
      <c r="AC535" s="134"/>
      <c r="AD535" s="97"/>
      <c r="AE535" s="97"/>
      <c r="AF535" s="97"/>
      <c r="AG535" s="97"/>
      <c r="AH535" s="97"/>
      <c r="AI535" s="97"/>
      <c r="AJ535" s="97"/>
      <c r="AK535" s="97"/>
      <c r="AL535" s="97"/>
      <c r="AM535" s="97"/>
      <c r="AN535" s="97"/>
      <c r="AO535" s="97"/>
      <c r="AP535" s="97"/>
      <c r="AQ535" s="97"/>
      <c r="AR535" s="97"/>
      <c r="AS535" s="97"/>
      <c r="AT535" s="97"/>
      <c r="AU535" s="97"/>
      <c r="AV535" s="97"/>
      <c r="AW535" s="97"/>
      <c r="AX535" s="97"/>
    </row>
    <row r="536" ht="15.75" customHeight="1">
      <c r="A536" s="80" t="s">
        <v>115</v>
      </c>
      <c r="B536" s="81" t="s">
        <v>4469</v>
      </c>
      <c r="C536" s="82"/>
      <c r="D536" s="83"/>
      <c r="E536" s="83"/>
      <c r="F536" s="84"/>
      <c r="G536" s="84"/>
      <c r="H536" s="84"/>
      <c r="I536" s="86"/>
      <c r="J536" s="86"/>
      <c r="K536" s="84"/>
      <c r="L536" s="86"/>
      <c r="M536" s="86"/>
      <c r="N536" s="86"/>
      <c r="O536" s="86"/>
      <c r="P536" s="84"/>
      <c r="Q536" s="84"/>
      <c r="R536" s="84"/>
      <c r="S536" s="84"/>
      <c r="T536" s="80" t="s">
        <v>5555</v>
      </c>
      <c r="U536" s="84"/>
      <c r="V536" s="84"/>
      <c r="W536" s="84"/>
      <c r="X536" s="84"/>
      <c r="Y536" s="84"/>
      <c r="Z536" s="84"/>
      <c r="AA536" s="84"/>
      <c r="AB536" s="84"/>
      <c r="AC536" s="84"/>
      <c r="AD536" s="97"/>
      <c r="AE536" s="97"/>
      <c r="AF536" s="97"/>
      <c r="AG536" s="97"/>
      <c r="AH536" s="97"/>
      <c r="AI536" s="97"/>
      <c r="AJ536" s="97"/>
      <c r="AK536" s="97"/>
      <c r="AL536" s="97"/>
      <c r="AM536" s="97"/>
      <c r="AN536" s="97"/>
      <c r="AO536" s="97"/>
      <c r="AP536" s="97"/>
      <c r="AQ536" s="97"/>
      <c r="AR536" s="97"/>
      <c r="AS536" s="97"/>
      <c r="AT536" s="97"/>
      <c r="AU536" s="97"/>
      <c r="AV536" s="97"/>
      <c r="AW536" s="97"/>
      <c r="AX536" s="97"/>
    </row>
    <row r="537" ht="15.75" customHeight="1">
      <c r="A537" s="131" t="s">
        <v>150</v>
      </c>
      <c r="B537" s="164" t="s">
        <v>4470</v>
      </c>
      <c r="C537" s="133"/>
      <c r="D537" s="133"/>
      <c r="E537" s="133"/>
      <c r="F537" s="134"/>
      <c r="G537" s="134"/>
      <c r="H537" s="134"/>
      <c r="I537" s="134"/>
      <c r="J537" s="134"/>
      <c r="K537" s="134"/>
      <c r="L537" s="134"/>
      <c r="M537" s="134"/>
      <c r="N537" s="134"/>
      <c r="O537" s="134"/>
      <c r="P537" s="134"/>
      <c r="Q537" s="134"/>
      <c r="R537" s="134"/>
      <c r="S537" s="134"/>
      <c r="T537" s="291" t="s">
        <v>156</v>
      </c>
      <c r="U537" s="134"/>
      <c r="V537" s="134"/>
      <c r="W537" s="134"/>
      <c r="X537" s="134"/>
      <c r="Y537" s="134"/>
      <c r="Z537" s="134"/>
      <c r="AA537" s="134"/>
      <c r="AB537" s="134"/>
      <c r="AC537" s="134"/>
      <c r="AD537" s="97"/>
      <c r="AE537" s="97"/>
      <c r="AF537" s="97"/>
      <c r="AG537" s="97"/>
      <c r="AH537" s="97"/>
      <c r="AI537" s="97"/>
      <c r="AJ537" s="97"/>
      <c r="AK537" s="97"/>
      <c r="AL537" s="97"/>
      <c r="AM537" s="97"/>
      <c r="AN537" s="97"/>
      <c r="AO537" s="97"/>
      <c r="AP537" s="97"/>
      <c r="AQ537" s="97"/>
      <c r="AR537" s="97"/>
      <c r="AS537" s="97"/>
      <c r="AT537" s="97"/>
      <c r="AU537" s="97"/>
      <c r="AV537" s="97"/>
      <c r="AW537" s="97"/>
      <c r="AX537" s="97"/>
    </row>
    <row r="538" ht="15.75" customHeight="1">
      <c r="A538" s="167" t="s">
        <v>807</v>
      </c>
      <c r="B538" s="168" t="s">
        <v>4471</v>
      </c>
      <c r="C538" s="168" t="s">
        <v>4472</v>
      </c>
      <c r="D538" s="169" t="s">
        <v>4473</v>
      </c>
      <c r="E538" s="169" t="s">
        <v>4475</v>
      </c>
      <c r="F538" s="205"/>
      <c r="G538" s="205"/>
      <c r="H538" s="205"/>
      <c r="I538" s="205"/>
      <c r="J538" s="205"/>
      <c r="K538" s="205"/>
      <c r="L538" s="205"/>
      <c r="M538" s="207"/>
      <c r="N538" s="207"/>
      <c r="O538" s="207" t="s">
        <v>5556</v>
      </c>
      <c r="P538" s="205"/>
      <c r="Q538" s="205"/>
      <c r="R538" s="205"/>
      <c r="S538" s="205"/>
      <c r="T538" s="205"/>
      <c r="U538" s="207" t="s">
        <v>4791</v>
      </c>
      <c r="V538" s="205"/>
      <c r="W538" s="205"/>
      <c r="X538" s="205"/>
      <c r="Y538" s="205"/>
      <c r="Z538" s="205"/>
      <c r="AA538" s="205"/>
      <c r="AB538" s="205"/>
      <c r="AC538" s="205"/>
      <c r="AD538" s="97"/>
      <c r="AE538" s="97"/>
      <c r="AF538" s="97"/>
      <c r="AG538" s="97"/>
      <c r="AH538" s="97"/>
      <c r="AI538" s="97"/>
      <c r="AJ538" s="97"/>
      <c r="AK538" s="97"/>
      <c r="AL538" s="97"/>
      <c r="AM538" s="97"/>
      <c r="AN538" s="97"/>
      <c r="AO538" s="97"/>
      <c r="AP538" s="97"/>
      <c r="AQ538" s="97"/>
      <c r="AR538" s="97"/>
      <c r="AS538" s="97"/>
      <c r="AT538" s="97"/>
      <c r="AU538" s="97"/>
      <c r="AV538" s="97"/>
      <c r="AW538" s="97"/>
      <c r="AX538" s="97"/>
    </row>
    <row r="539" ht="15.75" customHeight="1">
      <c r="A539" s="131" t="s">
        <v>115</v>
      </c>
      <c r="B539" s="132" t="s">
        <v>4477</v>
      </c>
      <c r="C539" s="133"/>
      <c r="D539" s="133"/>
      <c r="E539" s="133"/>
      <c r="F539" s="134"/>
      <c r="G539" s="134"/>
      <c r="H539" s="134"/>
      <c r="I539" s="134"/>
      <c r="J539" s="134"/>
      <c r="K539" s="134"/>
      <c r="L539" s="134"/>
      <c r="M539" s="134"/>
      <c r="N539" s="134"/>
      <c r="O539" s="134"/>
      <c r="P539" s="134"/>
      <c r="Q539" s="134"/>
      <c r="R539" s="134"/>
      <c r="S539" s="134"/>
      <c r="T539" s="149" t="s">
        <v>5557</v>
      </c>
      <c r="U539" s="134"/>
      <c r="V539" s="134"/>
      <c r="W539" s="134"/>
      <c r="X539" s="134"/>
      <c r="Y539" s="134"/>
      <c r="Z539" s="134"/>
      <c r="AA539" s="134"/>
      <c r="AB539" s="134"/>
      <c r="AC539" s="134"/>
      <c r="AD539" s="97"/>
      <c r="AE539" s="97"/>
      <c r="AF539" s="97"/>
      <c r="AG539" s="97"/>
      <c r="AH539" s="97"/>
      <c r="AI539" s="97"/>
      <c r="AJ539" s="97"/>
      <c r="AK539" s="97"/>
      <c r="AL539" s="97"/>
      <c r="AM539" s="97"/>
      <c r="AN539" s="97"/>
      <c r="AO539" s="97"/>
      <c r="AP539" s="97"/>
      <c r="AQ539" s="97"/>
      <c r="AR539" s="97"/>
      <c r="AS539" s="97"/>
      <c r="AT539" s="97"/>
      <c r="AU539" s="97"/>
      <c r="AV539" s="97"/>
      <c r="AW539" s="97"/>
      <c r="AX539" s="97"/>
    </row>
    <row r="540" ht="15.75" customHeight="1">
      <c r="A540" s="131" t="s">
        <v>115</v>
      </c>
      <c r="B540" s="132" t="s">
        <v>4478</v>
      </c>
      <c r="C540" s="133"/>
      <c r="D540" s="133"/>
      <c r="E540" s="133"/>
      <c r="F540" s="134"/>
      <c r="G540" s="134"/>
      <c r="H540" s="134"/>
      <c r="I540" s="134"/>
      <c r="J540" s="134"/>
      <c r="K540" s="134"/>
      <c r="L540" s="134"/>
      <c r="M540" s="134"/>
      <c r="N540" s="134"/>
      <c r="O540" s="134"/>
      <c r="P540" s="134"/>
      <c r="Q540" s="134"/>
      <c r="R540" s="134"/>
      <c r="S540" s="134"/>
      <c r="T540" s="149" t="s">
        <v>5558</v>
      </c>
      <c r="U540" s="134"/>
      <c r="V540" s="134"/>
      <c r="W540" s="134"/>
      <c r="X540" s="134"/>
      <c r="Y540" s="134"/>
      <c r="Z540" s="134"/>
      <c r="AA540" s="134"/>
      <c r="AB540" s="134"/>
      <c r="AC540" s="134"/>
      <c r="AD540" s="97"/>
      <c r="AE540" s="97"/>
      <c r="AF540" s="97"/>
      <c r="AG540" s="97"/>
      <c r="AH540" s="97"/>
      <c r="AI540" s="97"/>
      <c r="AJ540" s="97"/>
      <c r="AK540" s="97"/>
      <c r="AL540" s="97"/>
      <c r="AM540" s="97"/>
      <c r="AN540" s="97"/>
      <c r="AO540" s="97"/>
      <c r="AP540" s="97"/>
      <c r="AQ540" s="97"/>
      <c r="AR540" s="97"/>
      <c r="AS540" s="97"/>
      <c r="AT540" s="97"/>
      <c r="AU540" s="97"/>
      <c r="AV540" s="97"/>
      <c r="AW540" s="97"/>
      <c r="AX540" s="97"/>
    </row>
    <row r="541" ht="15.75" customHeight="1">
      <c r="A541" s="170" t="s">
        <v>238</v>
      </c>
      <c r="B541" s="171" t="s">
        <v>4479</v>
      </c>
      <c r="C541" s="76" t="s">
        <v>5559</v>
      </c>
      <c r="D541" s="76" t="s">
        <v>5560</v>
      </c>
      <c r="E541" s="117" t="s">
        <v>5561</v>
      </c>
      <c r="F541" s="76"/>
      <c r="G541" s="76"/>
      <c r="H541" s="76"/>
      <c r="I541" s="209"/>
      <c r="J541" s="209"/>
      <c r="K541" s="210" t="s">
        <v>5525</v>
      </c>
      <c r="L541" s="210"/>
      <c r="M541" s="209"/>
      <c r="N541" s="209"/>
      <c r="O541" s="209" t="s">
        <v>5562</v>
      </c>
      <c r="P541" s="209"/>
      <c r="Q541" s="209" t="s">
        <v>184</v>
      </c>
      <c r="R541" s="209"/>
      <c r="S541" s="209"/>
      <c r="T541" s="209"/>
      <c r="U541" s="209"/>
      <c r="V541" s="209"/>
      <c r="W541" s="209"/>
      <c r="X541" s="209"/>
      <c r="Y541" s="209"/>
      <c r="Z541" s="209"/>
      <c r="AA541" s="209"/>
      <c r="AB541" s="209"/>
      <c r="AC541" s="209"/>
      <c r="AD541" s="97"/>
      <c r="AE541" s="97"/>
      <c r="AF541" s="97"/>
      <c r="AG541" s="97"/>
      <c r="AH541" s="97"/>
      <c r="AI541" s="97"/>
      <c r="AJ541" s="97"/>
      <c r="AK541" s="97"/>
      <c r="AL541" s="97"/>
      <c r="AM541" s="97"/>
      <c r="AN541" s="97"/>
      <c r="AO541" s="97"/>
      <c r="AP541" s="97"/>
      <c r="AQ541" s="97"/>
      <c r="AR541" s="97"/>
      <c r="AS541" s="97"/>
      <c r="AT541" s="97"/>
      <c r="AU541" s="97"/>
      <c r="AV541" s="97"/>
      <c r="AW541" s="97"/>
      <c r="AX541" s="97"/>
    </row>
    <row r="542" ht="15.75" customHeight="1">
      <c r="A542" s="170" t="s">
        <v>238</v>
      </c>
      <c r="B542" s="171" t="s">
        <v>4483</v>
      </c>
      <c r="C542" s="76" t="s">
        <v>5563</v>
      </c>
      <c r="D542" s="76" t="s">
        <v>5564</v>
      </c>
      <c r="E542" s="117" t="s">
        <v>5565</v>
      </c>
      <c r="F542" s="76"/>
      <c r="G542" s="76"/>
      <c r="H542" s="76"/>
      <c r="I542" s="209"/>
      <c r="J542" s="209"/>
      <c r="K542" s="210"/>
      <c r="L542" s="210"/>
      <c r="M542" s="209"/>
      <c r="N542" s="209"/>
      <c r="O542" s="209" t="s">
        <v>5566</v>
      </c>
      <c r="P542" s="209"/>
      <c r="Q542" s="209" t="s">
        <v>184</v>
      </c>
      <c r="R542" s="209"/>
      <c r="S542" s="209"/>
      <c r="T542" s="209"/>
      <c r="U542" s="209"/>
      <c r="V542" s="209"/>
      <c r="W542" s="209"/>
      <c r="X542" s="209"/>
      <c r="Y542" s="209"/>
      <c r="Z542" s="209"/>
      <c r="AA542" s="209"/>
      <c r="AB542" s="209"/>
      <c r="AC542" s="209"/>
      <c r="AD542" s="97"/>
      <c r="AE542" s="97"/>
      <c r="AF542" s="97"/>
      <c r="AG542" s="97"/>
      <c r="AH542" s="97"/>
      <c r="AI542" s="97"/>
      <c r="AJ542" s="97"/>
      <c r="AK542" s="97"/>
      <c r="AL542" s="97"/>
      <c r="AM542" s="97"/>
      <c r="AN542" s="97"/>
      <c r="AO542" s="97"/>
      <c r="AP542" s="97"/>
      <c r="AQ542" s="97"/>
      <c r="AR542" s="97"/>
      <c r="AS542" s="97"/>
      <c r="AT542" s="97"/>
      <c r="AU542" s="97"/>
      <c r="AV542" s="97"/>
      <c r="AW542" s="97"/>
      <c r="AX542" s="97"/>
    </row>
    <row r="543" ht="15.75" customHeight="1">
      <c r="A543" s="131" t="s">
        <v>115</v>
      </c>
      <c r="B543" s="132" t="s">
        <v>4489</v>
      </c>
      <c r="C543" s="133" t="s">
        <v>4490</v>
      </c>
      <c r="D543" s="133" t="s">
        <v>4491</v>
      </c>
      <c r="E543" s="133" t="s">
        <v>4492</v>
      </c>
      <c r="F543" s="134"/>
      <c r="G543" s="134"/>
      <c r="H543" s="134"/>
      <c r="I543" s="134"/>
      <c r="J543" s="134"/>
      <c r="K543" s="134"/>
      <c r="L543" s="134"/>
      <c r="M543" s="134"/>
      <c r="N543" s="134"/>
      <c r="O543" s="134"/>
      <c r="P543" s="134"/>
      <c r="Q543" s="134"/>
      <c r="R543" s="134"/>
      <c r="S543" s="134"/>
      <c r="T543" s="149" t="s">
        <v>5567</v>
      </c>
      <c r="U543" s="134"/>
      <c r="V543" s="134"/>
      <c r="W543" s="134"/>
      <c r="X543" s="134"/>
      <c r="Y543" s="134"/>
      <c r="Z543" s="134"/>
      <c r="AA543" s="134"/>
      <c r="AB543" s="134"/>
      <c r="AC543" s="134"/>
      <c r="AD543" s="97"/>
      <c r="AE543" s="97"/>
      <c r="AF543" s="97"/>
      <c r="AG543" s="97"/>
      <c r="AH543" s="97"/>
      <c r="AI543" s="97"/>
      <c r="AJ543" s="97"/>
      <c r="AK543" s="97"/>
      <c r="AL543" s="97"/>
      <c r="AM543" s="97"/>
      <c r="AN543" s="97"/>
      <c r="AO543" s="97"/>
      <c r="AP543" s="97"/>
      <c r="AQ543" s="97"/>
      <c r="AR543" s="97"/>
      <c r="AS543" s="97"/>
      <c r="AT543" s="97"/>
      <c r="AU543" s="97"/>
      <c r="AV543" s="97"/>
      <c r="AW543" s="97"/>
      <c r="AX543" s="97"/>
    </row>
    <row r="544" ht="15.75" customHeight="1">
      <c r="A544" s="167" t="s">
        <v>842</v>
      </c>
      <c r="B544" s="169" t="s">
        <v>4471</v>
      </c>
      <c r="C544" s="169"/>
      <c r="D544" s="169"/>
      <c r="E544" s="169"/>
      <c r="F544" s="205"/>
      <c r="G544" s="205"/>
      <c r="H544" s="205"/>
      <c r="I544" s="205"/>
      <c r="J544" s="205"/>
      <c r="K544" s="205"/>
      <c r="L544" s="205"/>
      <c r="M544" s="205"/>
      <c r="N544" s="205"/>
      <c r="O544" s="205"/>
      <c r="P544" s="205"/>
      <c r="Q544" s="205"/>
      <c r="R544" s="205"/>
      <c r="S544" s="205"/>
      <c r="T544" s="205"/>
      <c r="U544" s="205"/>
      <c r="V544" s="205"/>
      <c r="W544" s="205"/>
      <c r="X544" s="205"/>
      <c r="Y544" s="205"/>
      <c r="Z544" s="205"/>
      <c r="AA544" s="205"/>
      <c r="AB544" s="205"/>
      <c r="AC544" s="205"/>
      <c r="AD544" s="97"/>
      <c r="AE544" s="97"/>
      <c r="AF544" s="97"/>
      <c r="AG544" s="97"/>
      <c r="AH544" s="97"/>
      <c r="AI544" s="97"/>
      <c r="AJ544" s="97"/>
      <c r="AK544" s="97"/>
      <c r="AL544" s="97"/>
      <c r="AM544" s="97"/>
      <c r="AN544" s="97"/>
      <c r="AO544" s="97"/>
      <c r="AP544" s="97"/>
      <c r="AQ544" s="97"/>
      <c r="AR544" s="97"/>
      <c r="AS544" s="97"/>
      <c r="AT544" s="97"/>
      <c r="AU544" s="97"/>
      <c r="AV544" s="97"/>
      <c r="AW544" s="97"/>
      <c r="AX544" s="97"/>
    </row>
    <row r="545" ht="15.75" customHeight="1">
      <c r="A545" s="131" t="s">
        <v>150</v>
      </c>
      <c r="B545" s="164" t="s">
        <v>4493</v>
      </c>
      <c r="C545" s="133"/>
      <c r="D545" s="133"/>
      <c r="E545" s="133"/>
      <c r="F545" s="134"/>
      <c r="G545" s="134"/>
      <c r="H545" s="134"/>
      <c r="I545" s="134"/>
      <c r="J545" s="134"/>
      <c r="K545" s="134"/>
      <c r="L545" s="134"/>
      <c r="M545" s="134"/>
      <c r="N545" s="134"/>
      <c r="O545" s="134"/>
      <c r="P545" s="134"/>
      <c r="Q545" s="134"/>
      <c r="R545" s="134"/>
      <c r="S545" s="134"/>
      <c r="T545" s="291" t="s">
        <v>156</v>
      </c>
      <c r="U545" s="134"/>
      <c r="V545" s="134"/>
      <c r="W545" s="134"/>
      <c r="X545" s="134"/>
      <c r="Y545" s="134"/>
      <c r="Z545" s="134"/>
      <c r="AA545" s="134"/>
      <c r="AB545" s="134"/>
      <c r="AC545" s="134"/>
      <c r="AD545" s="97"/>
      <c r="AE545" s="97"/>
      <c r="AF545" s="97"/>
      <c r="AG545" s="97"/>
      <c r="AH545" s="97"/>
      <c r="AI545" s="97"/>
      <c r="AJ545" s="97"/>
      <c r="AK545" s="97"/>
      <c r="AL545" s="97"/>
      <c r="AM545" s="97"/>
      <c r="AN545" s="97"/>
      <c r="AO545" s="97"/>
      <c r="AP545" s="97"/>
      <c r="AQ545" s="97"/>
      <c r="AR545" s="97"/>
      <c r="AS545" s="97"/>
      <c r="AT545" s="97"/>
      <c r="AU545" s="97"/>
      <c r="AV545" s="97"/>
      <c r="AW545" s="97"/>
      <c r="AX545" s="97"/>
    </row>
    <row r="546" ht="15.75" customHeight="1">
      <c r="A546" s="80" t="s">
        <v>115</v>
      </c>
      <c r="B546" s="81" t="s">
        <v>4496</v>
      </c>
      <c r="C546" s="82"/>
      <c r="D546" s="83"/>
      <c r="E546" s="83"/>
      <c r="F546" s="84"/>
      <c r="G546" s="84"/>
      <c r="H546" s="84"/>
      <c r="I546" s="86"/>
      <c r="J546" s="86"/>
      <c r="K546" s="84"/>
      <c r="L546" s="86"/>
      <c r="M546" s="86"/>
      <c r="N546" s="86"/>
      <c r="O546" s="86"/>
      <c r="P546" s="84"/>
      <c r="Q546" s="84"/>
      <c r="R546" s="84"/>
      <c r="S546" s="84"/>
      <c r="T546" s="80" t="s">
        <v>5568</v>
      </c>
      <c r="U546" s="84"/>
      <c r="V546" s="84"/>
      <c r="W546" s="84"/>
      <c r="X546" s="84"/>
      <c r="Y546" s="84"/>
      <c r="Z546" s="84"/>
      <c r="AA546" s="84"/>
      <c r="AB546" s="84"/>
      <c r="AC546" s="84"/>
      <c r="AD546" s="97"/>
      <c r="AE546" s="97"/>
      <c r="AF546" s="97"/>
      <c r="AG546" s="97"/>
      <c r="AH546" s="97"/>
      <c r="AI546" s="97"/>
      <c r="AJ546" s="97"/>
      <c r="AK546" s="97"/>
      <c r="AL546" s="97"/>
      <c r="AM546" s="97"/>
      <c r="AN546" s="97"/>
      <c r="AO546" s="97"/>
      <c r="AP546" s="97"/>
      <c r="AQ546" s="97"/>
      <c r="AR546" s="97"/>
      <c r="AS546" s="97"/>
      <c r="AT546" s="97"/>
      <c r="AU546" s="97"/>
      <c r="AV546" s="97"/>
      <c r="AW546" s="97"/>
      <c r="AX546" s="97"/>
    </row>
    <row r="547" ht="15.75" customHeight="1">
      <c r="A547" s="114" t="s">
        <v>541</v>
      </c>
      <c r="B547" s="165" t="s">
        <v>4497</v>
      </c>
      <c r="C547" s="76" t="s">
        <v>5569</v>
      </c>
      <c r="D547" s="76" t="s">
        <v>5570</v>
      </c>
      <c r="E547" s="117" t="s">
        <v>5571</v>
      </c>
      <c r="F547" s="76"/>
      <c r="G547" s="76"/>
      <c r="H547" s="76"/>
      <c r="I547" s="118"/>
      <c r="J547" s="120"/>
      <c r="K547" s="118"/>
      <c r="L547" s="118"/>
      <c r="M547" s="118"/>
      <c r="N547" s="118"/>
      <c r="O547" s="118"/>
      <c r="P547" s="118"/>
      <c r="Q547" s="118" t="s">
        <v>184</v>
      </c>
      <c r="R547" s="118"/>
      <c r="S547" s="118"/>
      <c r="T547" s="118"/>
      <c r="U547" s="118"/>
      <c r="V547" s="118"/>
      <c r="W547" s="118"/>
      <c r="X547" s="118"/>
      <c r="Y547" s="118"/>
      <c r="Z547" s="118"/>
      <c r="AA547" s="118"/>
      <c r="AB547" s="118"/>
      <c r="AC547" s="118"/>
      <c r="AD547" s="97"/>
      <c r="AE547" s="97"/>
      <c r="AF547" s="97"/>
      <c r="AG547" s="97"/>
      <c r="AH547" s="97"/>
      <c r="AI547" s="97"/>
      <c r="AJ547" s="97"/>
      <c r="AK547" s="97"/>
      <c r="AL547" s="97"/>
      <c r="AM547" s="97"/>
      <c r="AN547" s="97"/>
      <c r="AO547" s="97"/>
      <c r="AP547" s="97"/>
      <c r="AQ547" s="97"/>
      <c r="AR547" s="97"/>
      <c r="AS547" s="97"/>
      <c r="AT547" s="97"/>
      <c r="AU547" s="97"/>
      <c r="AV547" s="97"/>
      <c r="AW547" s="97"/>
      <c r="AX547" s="97"/>
    </row>
    <row r="548" ht="15.75" customHeight="1">
      <c r="A548" s="162" t="s">
        <v>217</v>
      </c>
      <c r="B548" s="166" t="s">
        <v>4505</v>
      </c>
      <c r="C548" s="76" t="s">
        <v>5572</v>
      </c>
      <c r="D548" s="76" t="s">
        <v>5573</v>
      </c>
      <c r="E548" s="117" t="s">
        <v>5574</v>
      </c>
      <c r="F548" s="76"/>
      <c r="G548" s="76"/>
      <c r="H548" s="76"/>
      <c r="I548" s="182"/>
      <c r="J548" s="183"/>
      <c r="K548" s="182"/>
      <c r="L548" s="182"/>
      <c r="M548" s="182"/>
      <c r="N548" s="182"/>
      <c r="O548" s="182" t="s">
        <v>5575</v>
      </c>
      <c r="P548" s="182"/>
      <c r="Q548" s="182" t="s">
        <v>184</v>
      </c>
      <c r="R548" s="182"/>
      <c r="S548" s="182"/>
      <c r="T548" s="182"/>
      <c r="U548" s="182"/>
      <c r="V548" s="182"/>
      <c r="W548" s="182"/>
      <c r="X548" s="182"/>
      <c r="Y548" s="182"/>
      <c r="Z548" s="182"/>
      <c r="AA548" s="182"/>
      <c r="AB548" s="182"/>
      <c r="AC548" s="182"/>
      <c r="AD548" s="97"/>
      <c r="AE548" s="97"/>
      <c r="AF548" s="97"/>
      <c r="AG548" s="97"/>
      <c r="AH548" s="97"/>
      <c r="AI548" s="97"/>
      <c r="AJ548" s="97"/>
      <c r="AK548" s="97"/>
      <c r="AL548" s="97"/>
      <c r="AM548" s="97"/>
      <c r="AN548" s="97"/>
      <c r="AO548" s="97"/>
      <c r="AP548" s="97"/>
      <c r="AQ548" s="97"/>
      <c r="AR548" s="97"/>
      <c r="AS548" s="97"/>
      <c r="AT548" s="97"/>
      <c r="AU548" s="97"/>
      <c r="AV548" s="97"/>
      <c r="AW548" s="97"/>
      <c r="AX548" s="97"/>
    </row>
    <row r="549" ht="15.75" customHeight="1">
      <c r="A549" s="170" t="s">
        <v>238</v>
      </c>
      <c r="B549" s="171" t="s">
        <v>4511</v>
      </c>
      <c r="C549" s="76" t="s">
        <v>5576</v>
      </c>
      <c r="D549" s="76" t="s">
        <v>5577</v>
      </c>
      <c r="E549" s="117" t="s">
        <v>5578</v>
      </c>
      <c r="F549" s="76"/>
      <c r="G549" s="76"/>
      <c r="H549" s="76"/>
      <c r="I549" s="209"/>
      <c r="J549" s="209"/>
      <c r="K549" s="210"/>
      <c r="L549" s="210"/>
      <c r="M549" s="209"/>
      <c r="N549" s="209"/>
      <c r="O549" s="209" t="s">
        <v>5575</v>
      </c>
      <c r="P549" s="209"/>
      <c r="Q549" s="209" t="s">
        <v>184</v>
      </c>
      <c r="R549" s="209"/>
      <c r="S549" s="209"/>
      <c r="T549" s="209"/>
      <c r="U549" s="209"/>
      <c r="V549" s="209"/>
      <c r="W549" s="209"/>
      <c r="X549" s="209"/>
      <c r="Y549" s="209"/>
      <c r="Z549" s="209"/>
      <c r="AA549" s="209"/>
      <c r="AB549" s="209"/>
      <c r="AC549" s="209"/>
      <c r="AD549" s="97"/>
      <c r="AE549" s="97"/>
      <c r="AF549" s="97"/>
      <c r="AG549" s="97"/>
      <c r="AH549" s="97"/>
      <c r="AI549" s="97"/>
      <c r="AJ549" s="97"/>
      <c r="AK549" s="97"/>
      <c r="AL549" s="97"/>
      <c r="AM549" s="97"/>
      <c r="AN549" s="97"/>
      <c r="AO549" s="97"/>
      <c r="AP549" s="97"/>
      <c r="AQ549" s="97"/>
      <c r="AR549" s="97"/>
      <c r="AS549" s="97"/>
      <c r="AT549" s="97"/>
      <c r="AU549" s="97"/>
      <c r="AV549" s="97"/>
      <c r="AW549" s="97"/>
      <c r="AX549" s="97"/>
    </row>
    <row r="550" ht="15.75" customHeight="1">
      <c r="A550" s="131" t="s">
        <v>115</v>
      </c>
      <c r="B550" s="132" t="s">
        <v>4515</v>
      </c>
      <c r="C550" s="133" t="s">
        <v>4516</v>
      </c>
      <c r="D550" s="133"/>
      <c r="E550" s="133"/>
      <c r="F550" s="134"/>
      <c r="G550" s="134"/>
      <c r="H550" s="134"/>
      <c r="I550" s="134"/>
      <c r="J550" s="134"/>
      <c r="K550" s="134"/>
      <c r="L550" s="134"/>
      <c r="M550" s="134"/>
      <c r="N550" s="134"/>
      <c r="O550" s="134"/>
      <c r="P550" s="134"/>
      <c r="Q550" s="134"/>
      <c r="R550" s="134"/>
      <c r="S550" s="134"/>
      <c r="T550" s="149" t="s">
        <v>5579</v>
      </c>
      <c r="U550" s="134"/>
      <c r="V550" s="134"/>
      <c r="W550" s="134"/>
      <c r="X550" s="134"/>
      <c r="Y550" s="134"/>
      <c r="Z550" s="134"/>
      <c r="AA550" s="134"/>
      <c r="AB550" s="134"/>
      <c r="AC550" s="134"/>
      <c r="AD550" s="97"/>
      <c r="AE550" s="97"/>
      <c r="AF550" s="97"/>
      <c r="AG550" s="97"/>
      <c r="AH550" s="97"/>
      <c r="AI550" s="97"/>
      <c r="AJ550" s="97"/>
      <c r="AK550" s="97"/>
      <c r="AL550" s="97"/>
      <c r="AM550" s="97"/>
      <c r="AN550" s="97"/>
      <c r="AO550" s="97"/>
      <c r="AP550" s="97"/>
      <c r="AQ550" s="97"/>
      <c r="AR550" s="97"/>
      <c r="AS550" s="97"/>
      <c r="AT550" s="97"/>
      <c r="AU550" s="97"/>
      <c r="AV550" s="97"/>
      <c r="AW550" s="97"/>
      <c r="AX550" s="97"/>
    </row>
    <row r="551" ht="15.75" customHeight="1">
      <c r="A551" s="131" t="s">
        <v>115</v>
      </c>
      <c r="B551" s="132" t="s">
        <v>4517</v>
      </c>
      <c r="C551" s="133" t="s">
        <v>4519</v>
      </c>
      <c r="D551" s="133"/>
      <c r="E551" s="133"/>
      <c r="F551" s="134"/>
      <c r="G551" s="134"/>
      <c r="H551" s="134"/>
      <c r="I551" s="134"/>
      <c r="J551" s="134"/>
      <c r="K551" s="134"/>
      <c r="L551" s="134"/>
      <c r="M551" s="134"/>
      <c r="N551" s="134"/>
      <c r="O551" s="134"/>
      <c r="P551" s="134"/>
      <c r="Q551" s="134"/>
      <c r="R551" s="134"/>
      <c r="S551" s="134"/>
      <c r="T551" s="302" t="s">
        <v>5580</v>
      </c>
      <c r="U551" s="134"/>
      <c r="V551" s="134"/>
      <c r="W551" s="134"/>
      <c r="X551" s="134"/>
      <c r="Y551" s="134"/>
      <c r="Z551" s="134"/>
      <c r="AA551" s="134"/>
      <c r="AB551" s="134"/>
      <c r="AC551" s="134"/>
      <c r="AD551" s="97"/>
      <c r="AE551" s="97"/>
      <c r="AF551" s="97"/>
      <c r="AG551" s="97"/>
      <c r="AH551" s="97"/>
      <c r="AI551" s="97"/>
      <c r="AJ551" s="97"/>
      <c r="AK551" s="97"/>
      <c r="AL551" s="97"/>
      <c r="AM551" s="97"/>
      <c r="AN551" s="97"/>
      <c r="AO551" s="97"/>
      <c r="AP551" s="97"/>
      <c r="AQ551" s="97"/>
      <c r="AR551" s="97"/>
      <c r="AS551" s="97"/>
      <c r="AT551" s="97"/>
      <c r="AU551" s="97"/>
      <c r="AV551" s="97"/>
      <c r="AW551" s="97"/>
      <c r="AX551" s="97"/>
    </row>
    <row r="552" ht="15.75" customHeight="1">
      <c r="A552" s="131" t="s">
        <v>115</v>
      </c>
      <c r="B552" s="132" t="s">
        <v>4520</v>
      </c>
      <c r="C552" s="133" t="s">
        <v>4521</v>
      </c>
      <c r="D552" s="133"/>
      <c r="E552" s="133"/>
      <c r="F552" s="134"/>
      <c r="G552" s="134"/>
      <c r="H552" s="134"/>
      <c r="I552" s="134"/>
      <c r="J552" s="134"/>
      <c r="K552" s="134"/>
      <c r="L552" s="134"/>
      <c r="M552" s="134"/>
      <c r="N552" s="134"/>
      <c r="O552" s="134"/>
      <c r="P552" s="134"/>
      <c r="Q552" s="134"/>
      <c r="R552" s="134"/>
      <c r="S552" s="134"/>
      <c r="T552" s="149" t="s">
        <v>5581</v>
      </c>
      <c r="U552" s="134"/>
      <c r="V552" s="134"/>
      <c r="W552" s="134"/>
      <c r="X552" s="134"/>
      <c r="Y552" s="134"/>
      <c r="Z552" s="134"/>
      <c r="AA552" s="134"/>
      <c r="AB552" s="134"/>
      <c r="AC552" s="134"/>
      <c r="AD552" s="97"/>
      <c r="AE552" s="97"/>
      <c r="AF552" s="97"/>
      <c r="AG552" s="97"/>
      <c r="AH552" s="97"/>
      <c r="AI552" s="97"/>
      <c r="AJ552" s="97"/>
      <c r="AK552" s="97"/>
      <c r="AL552" s="97"/>
      <c r="AM552" s="97"/>
      <c r="AN552" s="97"/>
      <c r="AO552" s="97"/>
      <c r="AP552" s="97"/>
      <c r="AQ552" s="97"/>
      <c r="AR552" s="97"/>
      <c r="AS552" s="97"/>
      <c r="AT552" s="97"/>
      <c r="AU552" s="97"/>
      <c r="AV552" s="97"/>
      <c r="AW552" s="97"/>
      <c r="AX552" s="97"/>
    </row>
    <row r="553" ht="15.75" customHeight="1">
      <c r="A553" s="131" t="s">
        <v>115</v>
      </c>
      <c r="B553" s="132" t="s">
        <v>4523</v>
      </c>
      <c r="C553" s="133" t="s">
        <v>4524</v>
      </c>
      <c r="D553" s="133"/>
      <c r="E553" s="133"/>
      <c r="F553" s="134"/>
      <c r="G553" s="134"/>
      <c r="H553" s="134"/>
      <c r="I553" s="134"/>
      <c r="J553" s="134"/>
      <c r="K553" s="134"/>
      <c r="L553" s="134"/>
      <c r="M553" s="134"/>
      <c r="N553" s="134"/>
      <c r="O553" s="134"/>
      <c r="P553" s="134"/>
      <c r="Q553" s="134"/>
      <c r="R553" s="134"/>
      <c r="S553" s="134"/>
      <c r="T553" s="149" t="s">
        <v>5582</v>
      </c>
      <c r="U553" s="134"/>
      <c r="V553" s="134"/>
      <c r="W553" s="134"/>
      <c r="X553" s="134"/>
      <c r="Y553" s="134"/>
      <c r="Z553" s="134"/>
      <c r="AA553" s="134"/>
      <c r="AB553" s="134"/>
      <c r="AC553" s="134"/>
      <c r="AD553" s="97"/>
      <c r="AE553" s="97"/>
      <c r="AF553" s="97"/>
      <c r="AG553" s="97"/>
      <c r="AH553" s="97"/>
      <c r="AI553" s="97"/>
      <c r="AJ553" s="97"/>
      <c r="AK553" s="97"/>
      <c r="AL553" s="97"/>
      <c r="AM553" s="97"/>
      <c r="AN553" s="97"/>
      <c r="AO553" s="97"/>
      <c r="AP553" s="97"/>
      <c r="AQ553" s="97"/>
      <c r="AR553" s="97"/>
      <c r="AS553" s="97"/>
      <c r="AT553" s="97"/>
      <c r="AU553" s="97"/>
      <c r="AV553" s="97"/>
      <c r="AW553" s="97"/>
      <c r="AX553" s="97"/>
    </row>
    <row r="554" ht="15.75" customHeight="1">
      <c r="A554" s="131" t="s">
        <v>115</v>
      </c>
      <c r="B554" s="132" t="s">
        <v>4526</v>
      </c>
      <c r="C554" s="133" t="s">
        <v>4527</v>
      </c>
      <c r="D554" s="133"/>
      <c r="E554" s="133"/>
      <c r="F554" s="134"/>
      <c r="G554" s="134"/>
      <c r="H554" s="134"/>
      <c r="I554" s="134"/>
      <c r="J554" s="134"/>
      <c r="K554" s="134"/>
      <c r="L554" s="134"/>
      <c r="M554" s="134"/>
      <c r="N554" s="134"/>
      <c r="O554" s="134"/>
      <c r="P554" s="134"/>
      <c r="Q554" s="134"/>
      <c r="R554" s="134"/>
      <c r="S554" s="134"/>
      <c r="T554" s="149" t="s">
        <v>5583</v>
      </c>
      <c r="U554" s="134"/>
      <c r="V554" s="134"/>
      <c r="W554" s="134"/>
      <c r="X554" s="134"/>
      <c r="Y554" s="134"/>
      <c r="Z554" s="134"/>
      <c r="AA554" s="134"/>
      <c r="AB554" s="134"/>
      <c r="AC554" s="134"/>
      <c r="AD554" s="97"/>
      <c r="AE554" s="97"/>
      <c r="AF554" s="97"/>
      <c r="AG554" s="97"/>
      <c r="AH554" s="97"/>
      <c r="AI554" s="97"/>
      <c r="AJ554" s="97"/>
      <c r="AK554" s="97"/>
      <c r="AL554" s="97"/>
      <c r="AM554" s="97"/>
      <c r="AN554" s="97"/>
      <c r="AO554" s="97"/>
      <c r="AP554" s="97"/>
      <c r="AQ554" s="97"/>
      <c r="AR554" s="97"/>
      <c r="AS554" s="97"/>
      <c r="AT554" s="97"/>
      <c r="AU554" s="97"/>
      <c r="AV554" s="97"/>
      <c r="AW554" s="97"/>
      <c r="AX554" s="97"/>
    </row>
    <row r="555" ht="15.75" customHeight="1">
      <c r="A555" s="131" t="s">
        <v>115</v>
      </c>
      <c r="B555" s="132" t="s">
        <v>4528</v>
      </c>
      <c r="C555" s="133" t="s">
        <v>4529</v>
      </c>
      <c r="D555" s="133"/>
      <c r="E555" s="133"/>
      <c r="F555" s="134"/>
      <c r="G555" s="134"/>
      <c r="H555" s="134"/>
      <c r="I555" s="134"/>
      <c r="J555" s="134"/>
      <c r="K555" s="134"/>
      <c r="L555" s="134"/>
      <c r="M555" s="134"/>
      <c r="N555" s="134"/>
      <c r="O555" s="134"/>
      <c r="P555" s="134"/>
      <c r="Q555" s="134"/>
      <c r="R555" s="134"/>
      <c r="S555" s="134"/>
      <c r="T555" s="149" t="s">
        <v>5584</v>
      </c>
      <c r="U555" s="134"/>
      <c r="V555" s="134"/>
      <c r="W555" s="134"/>
      <c r="X555" s="134"/>
      <c r="Y555" s="134"/>
      <c r="Z555" s="134"/>
      <c r="AA555" s="134"/>
      <c r="AB555" s="134"/>
      <c r="AC555" s="134"/>
      <c r="AD555" s="97"/>
      <c r="AE555" s="97"/>
      <c r="AF555" s="97"/>
      <c r="AG555" s="97"/>
      <c r="AH555" s="97"/>
      <c r="AI555" s="97"/>
      <c r="AJ555" s="97"/>
      <c r="AK555" s="97"/>
      <c r="AL555" s="97"/>
      <c r="AM555" s="97"/>
      <c r="AN555" s="97"/>
      <c r="AO555" s="97"/>
      <c r="AP555" s="97"/>
      <c r="AQ555" s="97"/>
      <c r="AR555" s="97"/>
      <c r="AS555" s="97"/>
      <c r="AT555" s="97"/>
      <c r="AU555" s="97"/>
      <c r="AV555" s="97"/>
      <c r="AW555" s="97"/>
      <c r="AX555" s="97"/>
    </row>
    <row r="556" ht="15.75" customHeight="1">
      <c r="A556" s="131" t="s">
        <v>115</v>
      </c>
      <c r="B556" s="132" t="s">
        <v>4530</v>
      </c>
      <c r="C556" s="133" t="s">
        <v>4531</v>
      </c>
      <c r="D556" s="133"/>
      <c r="E556" s="133"/>
      <c r="F556" s="134"/>
      <c r="G556" s="134"/>
      <c r="H556" s="134"/>
      <c r="I556" s="134"/>
      <c r="J556" s="134"/>
      <c r="K556" s="134"/>
      <c r="L556" s="134"/>
      <c r="M556" s="134"/>
      <c r="N556" s="134"/>
      <c r="O556" s="134"/>
      <c r="P556" s="134"/>
      <c r="Q556" s="134"/>
      <c r="R556" s="134"/>
      <c r="S556" s="134"/>
      <c r="T556" s="149" t="s">
        <v>5585</v>
      </c>
      <c r="U556" s="134"/>
      <c r="V556" s="134"/>
      <c r="W556" s="134"/>
      <c r="X556" s="134"/>
      <c r="Y556" s="134"/>
      <c r="Z556" s="134"/>
      <c r="AA556" s="134"/>
      <c r="AB556" s="134"/>
      <c r="AC556" s="134"/>
      <c r="AD556" s="97"/>
      <c r="AE556" s="97"/>
      <c r="AF556" s="97"/>
      <c r="AG556" s="97"/>
      <c r="AH556" s="97"/>
      <c r="AI556" s="97"/>
      <c r="AJ556" s="97"/>
      <c r="AK556" s="97"/>
      <c r="AL556" s="97"/>
      <c r="AM556" s="97"/>
      <c r="AN556" s="97"/>
      <c r="AO556" s="97"/>
      <c r="AP556" s="97"/>
      <c r="AQ556" s="97"/>
      <c r="AR556" s="97"/>
      <c r="AS556" s="97"/>
      <c r="AT556" s="97"/>
      <c r="AU556" s="97"/>
      <c r="AV556" s="97"/>
      <c r="AW556" s="97"/>
      <c r="AX556" s="97"/>
    </row>
    <row r="557" ht="15.75" customHeight="1">
      <c r="A557" s="131" t="s">
        <v>115</v>
      </c>
      <c r="B557" s="132" t="s">
        <v>4532</v>
      </c>
      <c r="C557" s="133" t="s">
        <v>4533</v>
      </c>
      <c r="D557" s="133"/>
      <c r="E557" s="133"/>
      <c r="F557" s="134"/>
      <c r="G557" s="134"/>
      <c r="H557" s="134"/>
      <c r="I557" s="134"/>
      <c r="J557" s="134"/>
      <c r="K557" s="134"/>
      <c r="L557" s="134"/>
      <c r="M557" s="134"/>
      <c r="N557" s="134"/>
      <c r="O557" s="134"/>
      <c r="P557" s="134"/>
      <c r="Q557" s="134"/>
      <c r="R557" s="134"/>
      <c r="S557" s="134"/>
      <c r="T557" s="149" t="s">
        <v>5586</v>
      </c>
      <c r="U557" s="134"/>
      <c r="V557" s="134"/>
      <c r="W557" s="134"/>
      <c r="X557" s="134"/>
      <c r="Y557" s="134"/>
      <c r="Z557" s="134"/>
      <c r="AA557" s="134"/>
      <c r="AB557" s="134"/>
      <c r="AC557" s="134"/>
      <c r="AD557" s="97"/>
      <c r="AE557" s="97"/>
      <c r="AF557" s="97"/>
      <c r="AG557" s="97"/>
      <c r="AH557" s="97"/>
      <c r="AI557" s="97"/>
      <c r="AJ557" s="97"/>
      <c r="AK557" s="97"/>
      <c r="AL557" s="97"/>
      <c r="AM557" s="97"/>
      <c r="AN557" s="97"/>
      <c r="AO557" s="97"/>
      <c r="AP557" s="97"/>
      <c r="AQ557" s="97"/>
      <c r="AR557" s="97"/>
      <c r="AS557" s="97"/>
      <c r="AT557" s="97"/>
      <c r="AU557" s="97"/>
      <c r="AV557" s="97"/>
      <c r="AW557" s="97"/>
      <c r="AX557" s="97"/>
    </row>
    <row r="558" ht="15.75" customHeight="1">
      <c r="A558" s="131" t="s">
        <v>115</v>
      </c>
      <c r="B558" s="132" t="s">
        <v>4534</v>
      </c>
      <c r="C558" s="133"/>
      <c r="D558" s="133"/>
      <c r="E558" s="133"/>
      <c r="F558" s="134"/>
      <c r="G558" s="134"/>
      <c r="H558" s="134"/>
      <c r="I558" s="134"/>
      <c r="J558" s="134"/>
      <c r="K558" s="134"/>
      <c r="L558" s="134"/>
      <c r="M558" s="134"/>
      <c r="N558" s="134"/>
      <c r="O558" s="134"/>
      <c r="P558" s="134"/>
      <c r="Q558" s="134"/>
      <c r="R558" s="134"/>
      <c r="S558" s="134"/>
      <c r="T558" s="149" t="s">
        <v>5587</v>
      </c>
      <c r="U558" s="134"/>
      <c r="V558" s="134"/>
      <c r="W558" s="134"/>
      <c r="X558" s="134"/>
      <c r="Y558" s="134"/>
      <c r="Z558" s="134"/>
      <c r="AA558" s="134"/>
      <c r="AB558" s="134"/>
      <c r="AC558" s="134"/>
      <c r="AD558" s="97"/>
      <c r="AE558" s="97"/>
      <c r="AF558" s="97"/>
      <c r="AG558" s="97"/>
      <c r="AH558" s="97"/>
      <c r="AI558" s="97"/>
      <c r="AJ558" s="97"/>
      <c r="AK558" s="97"/>
      <c r="AL558" s="97"/>
      <c r="AM558" s="97"/>
      <c r="AN558" s="97"/>
      <c r="AO558" s="97"/>
      <c r="AP558" s="97"/>
      <c r="AQ558" s="97"/>
      <c r="AR558" s="97"/>
      <c r="AS558" s="97"/>
      <c r="AT558" s="97"/>
      <c r="AU558" s="97"/>
      <c r="AV558" s="97"/>
      <c r="AW558" s="97"/>
      <c r="AX558" s="97"/>
    </row>
    <row r="559" ht="15.75" customHeight="1">
      <c r="A559" s="114" t="s">
        <v>541</v>
      </c>
      <c r="B559" s="165" t="s">
        <v>4537</v>
      </c>
      <c r="C559" s="76" t="s">
        <v>5588</v>
      </c>
      <c r="D559" s="76" t="s">
        <v>5589</v>
      </c>
      <c r="E559" s="117" t="s">
        <v>5590</v>
      </c>
      <c r="F559" s="76"/>
      <c r="G559" s="76"/>
      <c r="H559" s="76"/>
      <c r="I559" s="118"/>
      <c r="J559" s="120"/>
      <c r="K559" s="118" t="s">
        <v>5547</v>
      </c>
      <c r="L559" s="118" t="s">
        <v>5591</v>
      </c>
      <c r="M559" s="118"/>
      <c r="N559" s="118"/>
      <c r="O559" s="118"/>
      <c r="P559" s="118"/>
      <c r="Q559" s="118" t="s">
        <v>184</v>
      </c>
      <c r="R559" s="118"/>
      <c r="S559" s="118"/>
      <c r="T559" s="118"/>
      <c r="U559" s="118"/>
      <c r="V559" s="118"/>
      <c r="W559" s="118"/>
      <c r="X559" s="118"/>
      <c r="Y559" s="118"/>
      <c r="Z559" s="118"/>
      <c r="AA559" s="118"/>
      <c r="AB559" s="118"/>
      <c r="AC559" s="118"/>
      <c r="AD559" s="97"/>
      <c r="AE559" s="97"/>
      <c r="AF559" s="97"/>
      <c r="AG559" s="97"/>
      <c r="AH559" s="97"/>
      <c r="AI559" s="97"/>
      <c r="AJ559" s="97"/>
      <c r="AK559" s="97"/>
      <c r="AL559" s="97"/>
      <c r="AM559" s="97"/>
      <c r="AN559" s="97"/>
      <c r="AO559" s="97"/>
      <c r="AP559" s="97"/>
      <c r="AQ559" s="97"/>
      <c r="AR559" s="97"/>
      <c r="AS559" s="97"/>
      <c r="AT559" s="97"/>
      <c r="AU559" s="97"/>
      <c r="AV559" s="97"/>
      <c r="AW559" s="97"/>
      <c r="AX559" s="97"/>
    </row>
    <row r="560" ht="15.75" customHeight="1">
      <c r="A560" s="152" t="s">
        <v>44</v>
      </c>
      <c r="B560" s="253" t="s">
        <v>4543</v>
      </c>
      <c r="C560" s="76" t="s">
        <v>5592</v>
      </c>
      <c r="D560" s="76" t="s">
        <v>5593</v>
      </c>
      <c r="E560" s="117" t="s">
        <v>5594</v>
      </c>
      <c r="F560" s="76"/>
      <c r="G560" s="76"/>
      <c r="H560" s="76"/>
      <c r="I560" s="176"/>
      <c r="J560" s="176"/>
      <c r="K560" s="176"/>
      <c r="L560" s="176"/>
      <c r="M560" s="176"/>
      <c r="N560" s="176"/>
      <c r="O560" s="153" t="s">
        <v>5400</v>
      </c>
      <c r="P560" s="176"/>
      <c r="Q560" s="176"/>
      <c r="R560" s="176"/>
      <c r="S560" s="176"/>
      <c r="T560" s="176"/>
      <c r="U560" s="176"/>
      <c r="V560" s="176"/>
      <c r="W560" s="176"/>
      <c r="X560" s="176"/>
      <c r="Y560" s="176"/>
      <c r="Z560" s="176"/>
      <c r="AA560" s="176"/>
      <c r="AB560" s="176"/>
      <c r="AC560" s="176"/>
      <c r="AD560" s="97"/>
      <c r="AE560" s="97"/>
      <c r="AF560" s="97"/>
      <c r="AG560" s="97"/>
      <c r="AH560" s="97"/>
      <c r="AI560" s="97"/>
      <c r="AJ560" s="97"/>
      <c r="AK560" s="97"/>
      <c r="AL560" s="97"/>
      <c r="AM560" s="97"/>
      <c r="AN560" s="97"/>
      <c r="AO560" s="97"/>
      <c r="AP560" s="97"/>
      <c r="AQ560" s="97"/>
      <c r="AR560" s="97"/>
      <c r="AS560" s="97"/>
      <c r="AT560" s="97"/>
      <c r="AU560" s="97"/>
      <c r="AV560" s="97"/>
      <c r="AW560" s="97"/>
      <c r="AX560" s="97"/>
    </row>
    <row r="561" ht="15.75" customHeight="1">
      <c r="A561" s="131" t="s">
        <v>150</v>
      </c>
      <c r="B561" s="164" t="s">
        <v>4546</v>
      </c>
      <c r="C561" s="133"/>
      <c r="D561" s="133"/>
      <c r="E561" s="133"/>
      <c r="F561" s="134"/>
      <c r="G561" s="134"/>
      <c r="H561" s="134"/>
      <c r="I561" s="134"/>
      <c r="J561" s="134"/>
      <c r="K561" s="134"/>
      <c r="L561" s="134"/>
      <c r="M561" s="134"/>
      <c r="N561" s="134"/>
      <c r="O561" s="134"/>
      <c r="P561" s="134"/>
      <c r="Q561" s="134"/>
      <c r="R561" s="134"/>
      <c r="S561" s="134"/>
      <c r="T561" s="291" t="s">
        <v>156</v>
      </c>
      <c r="U561" s="134"/>
      <c r="V561" s="134"/>
      <c r="W561" s="134"/>
      <c r="X561" s="134"/>
      <c r="Y561" s="134"/>
      <c r="Z561" s="134"/>
      <c r="AA561" s="134"/>
      <c r="AB561" s="134"/>
      <c r="AC561" s="134"/>
      <c r="AD561" s="97"/>
      <c r="AE561" s="97"/>
      <c r="AF561" s="97"/>
      <c r="AG561" s="97"/>
      <c r="AH561" s="97"/>
      <c r="AI561" s="97"/>
      <c r="AJ561" s="97"/>
      <c r="AK561" s="97"/>
      <c r="AL561" s="97"/>
      <c r="AM561" s="97"/>
      <c r="AN561" s="97"/>
      <c r="AO561" s="97"/>
      <c r="AP561" s="97"/>
      <c r="AQ561" s="97"/>
      <c r="AR561" s="97"/>
      <c r="AS561" s="97"/>
      <c r="AT561" s="97"/>
      <c r="AU561" s="97"/>
      <c r="AV561" s="97"/>
      <c r="AW561" s="97"/>
      <c r="AX561" s="97"/>
    </row>
    <row r="562" ht="15.75" customHeight="1">
      <c r="A562" s="167" t="s">
        <v>807</v>
      </c>
      <c r="B562" s="168" t="s">
        <v>4548</v>
      </c>
      <c r="C562" s="168" t="s">
        <v>4549</v>
      </c>
      <c r="D562" s="169" t="s">
        <v>4550</v>
      </c>
      <c r="E562" s="169" t="s">
        <v>4551</v>
      </c>
      <c r="F562" s="205"/>
      <c r="G562" s="205"/>
      <c r="H562" s="205"/>
      <c r="I562" s="205"/>
      <c r="J562" s="205"/>
      <c r="K562" s="205"/>
      <c r="L562" s="205"/>
      <c r="M562" s="207"/>
      <c r="N562" s="207"/>
      <c r="O562" s="207"/>
      <c r="P562" s="205"/>
      <c r="Q562" s="205"/>
      <c r="R562" s="205"/>
      <c r="S562" s="205"/>
      <c r="T562" s="205"/>
      <c r="U562" s="248">
        <v>7.0</v>
      </c>
      <c r="V562" s="205"/>
      <c r="W562" s="205"/>
      <c r="X562" s="205"/>
      <c r="Y562" s="205"/>
      <c r="Z562" s="205"/>
      <c r="AA562" s="205"/>
      <c r="AB562" s="205"/>
      <c r="AC562" s="205"/>
      <c r="AD562" s="97"/>
      <c r="AE562" s="97"/>
      <c r="AF562" s="97"/>
      <c r="AG562" s="97"/>
      <c r="AH562" s="97"/>
      <c r="AI562" s="97"/>
      <c r="AJ562" s="97"/>
      <c r="AK562" s="97"/>
      <c r="AL562" s="97"/>
      <c r="AM562" s="97"/>
      <c r="AN562" s="97"/>
      <c r="AO562" s="97"/>
      <c r="AP562" s="97"/>
      <c r="AQ562" s="97"/>
      <c r="AR562" s="97"/>
      <c r="AS562" s="97"/>
      <c r="AT562" s="97"/>
      <c r="AU562" s="97"/>
      <c r="AV562" s="97"/>
      <c r="AW562" s="97"/>
      <c r="AX562" s="97"/>
    </row>
    <row r="563" ht="15.75" customHeight="1">
      <c r="A563" s="131" t="s">
        <v>115</v>
      </c>
      <c r="B563" s="132" t="s">
        <v>4552</v>
      </c>
      <c r="C563" s="133"/>
      <c r="D563" s="133"/>
      <c r="E563" s="133"/>
      <c r="F563" s="134"/>
      <c r="G563" s="134"/>
      <c r="H563" s="134"/>
      <c r="I563" s="134"/>
      <c r="J563" s="134"/>
      <c r="K563" s="134"/>
      <c r="L563" s="134"/>
      <c r="M563" s="134"/>
      <c r="N563" s="134"/>
      <c r="O563" s="134"/>
      <c r="P563" s="134"/>
      <c r="Q563" s="134"/>
      <c r="R563" s="134"/>
      <c r="S563" s="134"/>
      <c r="T563" s="151" t="s">
        <v>5595</v>
      </c>
      <c r="U563" s="134"/>
      <c r="V563" s="134"/>
      <c r="W563" s="134"/>
      <c r="X563" s="134"/>
      <c r="Y563" s="134"/>
      <c r="Z563" s="134"/>
      <c r="AA563" s="134"/>
      <c r="AB563" s="134"/>
      <c r="AC563" s="134"/>
      <c r="AD563" s="97"/>
      <c r="AE563" s="97"/>
      <c r="AF563" s="97"/>
      <c r="AG563" s="97"/>
      <c r="AH563" s="97"/>
      <c r="AI563" s="97"/>
      <c r="AJ563" s="97"/>
      <c r="AK563" s="97"/>
      <c r="AL563" s="97"/>
      <c r="AM563" s="97"/>
      <c r="AN563" s="97"/>
      <c r="AO563" s="97"/>
      <c r="AP563" s="97"/>
      <c r="AQ563" s="97"/>
      <c r="AR563" s="97"/>
      <c r="AS563" s="97"/>
      <c r="AT563" s="97"/>
      <c r="AU563" s="97"/>
      <c r="AV563" s="97"/>
      <c r="AW563" s="97"/>
      <c r="AX563" s="97"/>
    </row>
    <row r="564" ht="15.75" customHeight="1">
      <c r="A564" s="170" t="s">
        <v>238</v>
      </c>
      <c r="B564" s="171" t="s">
        <v>4553</v>
      </c>
      <c r="C564" s="76" t="s">
        <v>5596</v>
      </c>
      <c r="D564" s="76" t="s">
        <v>5597</v>
      </c>
      <c r="E564" s="117" t="s">
        <v>5598</v>
      </c>
      <c r="F564" s="76"/>
      <c r="G564" s="76"/>
      <c r="H564" s="76"/>
      <c r="I564" s="209"/>
      <c r="J564" s="209"/>
      <c r="K564" s="218" t="s">
        <v>2607</v>
      </c>
      <c r="L564" s="210"/>
      <c r="M564" s="209"/>
      <c r="N564" s="209"/>
      <c r="O564" s="209"/>
      <c r="P564" s="209"/>
      <c r="Q564" s="209" t="s">
        <v>184</v>
      </c>
      <c r="R564" s="209"/>
      <c r="S564" s="209"/>
      <c r="T564" s="209"/>
      <c r="U564" s="209"/>
      <c r="V564" s="209"/>
      <c r="W564" s="209"/>
      <c r="X564" s="209"/>
      <c r="Y564" s="209"/>
      <c r="Z564" s="209"/>
      <c r="AA564" s="209"/>
      <c r="AB564" s="209"/>
      <c r="AC564" s="209"/>
      <c r="AD564" s="97"/>
      <c r="AE564" s="97"/>
      <c r="AF564" s="97"/>
      <c r="AG564" s="97"/>
      <c r="AH564" s="97"/>
      <c r="AI564" s="97"/>
      <c r="AJ564" s="97"/>
      <c r="AK564" s="97"/>
      <c r="AL564" s="97"/>
      <c r="AM564" s="97"/>
      <c r="AN564" s="97"/>
      <c r="AO564" s="97"/>
      <c r="AP564" s="97"/>
      <c r="AQ564" s="97"/>
      <c r="AR564" s="97"/>
      <c r="AS564" s="97"/>
      <c r="AT564" s="97"/>
      <c r="AU564" s="97"/>
      <c r="AV564" s="97"/>
      <c r="AW564" s="97"/>
      <c r="AX564" s="97"/>
    </row>
    <row r="565" ht="15.75" customHeight="1">
      <c r="A565" s="170" t="s">
        <v>238</v>
      </c>
      <c r="B565" s="266" t="s">
        <v>4558</v>
      </c>
      <c r="C565" s="76" t="s">
        <v>5599</v>
      </c>
      <c r="D565" s="117" t="s">
        <v>5600</v>
      </c>
      <c r="E565" s="117" t="s">
        <v>5601</v>
      </c>
      <c r="F565" s="76" t="s">
        <v>5602</v>
      </c>
      <c r="G565" s="76"/>
      <c r="H565" s="76"/>
      <c r="I565" s="209"/>
      <c r="J565" s="209"/>
      <c r="K565" s="218" t="s">
        <v>2607</v>
      </c>
      <c r="L565" s="210"/>
      <c r="M565" s="209"/>
      <c r="N565" s="209"/>
      <c r="O565" s="239" t="s">
        <v>5603</v>
      </c>
      <c r="P565" s="209"/>
      <c r="Q565" s="209" t="s">
        <v>184</v>
      </c>
      <c r="R565" s="209"/>
      <c r="S565" s="209"/>
      <c r="T565" s="209"/>
      <c r="U565" s="209"/>
      <c r="V565" s="209"/>
      <c r="W565" s="209"/>
      <c r="X565" s="209"/>
      <c r="Y565" s="209"/>
      <c r="Z565" s="209"/>
      <c r="AA565" s="209"/>
      <c r="AB565" s="209"/>
      <c r="AC565" s="209"/>
      <c r="AD565" s="97"/>
      <c r="AE565" s="97"/>
      <c r="AF565" s="97"/>
      <c r="AG565" s="97"/>
      <c r="AH565" s="97"/>
      <c r="AI565" s="97"/>
      <c r="AJ565" s="97"/>
      <c r="AK565" s="97"/>
      <c r="AL565" s="97"/>
      <c r="AM565" s="97"/>
      <c r="AN565" s="97"/>
      <c r="AO565" s="97"/>
      <c r="AP565" s="97"/>
      <c r="AQ565" s="97"/>
      <c r="AR565" s="97"/>
      <c r="AS565" s="97"/>
      <c r="AT565" s="97"/>
      <c r="AU565" s="97"/>
      <c r="AV565" s="97"/>
      <c r="AW565" s="97"/>
      <c r="AX565" s="97"/>
    </row>
    <row r="566" ht="15.75" customHeight="1">
      <c r="A566" s="170" t="s">
        <v>238</v>
      </c>
      <c r="B566" s="171" t="s">
        <v>4563</v>
      </c>
      <c r="C566" s="76" t="s">
        <v>5604</v>
      </c>
      <c r="D566" s="76" t="s">
        <v>5605</v>
      </c>
      <c r="E566" s="117" t="s">
        <v>5606</v>
      </c>
      <c r="F566" s="76"/>
      <c r="G566" s="76"/>
      <c r="H566" s="76"/>
      <c r="I566" s="209"/>
      <c r="J566" s="209"/>
      <c r="K566" s="218" t="s">
        <v>2607</v>
      </c>
      <c r="L566" s="210"/>
      <c r="M566" s="209"/>
      <c r="N566" s="209"/>
      <c r="O566" s="209"/>
      <c r="P566" s="209"/>
      <c r="Q566" s="209" t="s">
        <v>184</v>
      </c>
      <c r="R566" s="209"/>
      <c r="S566" s="209"/>
      <c r="T566" s="209"/>
      <c r="U566" s="209"/>
      <c r="V566" s="209"/>
      <c r="W566" s="209"/>
      <c r="X566" s="209"/>
      <c r="Y566" s="209"/>
      <c r="Z566" s="209"/>
      <c r="AA566" s="209"/>
      <c r="AB566" s="209"/>
      <c r="AC566" s="209"/>
      <c r="AD566" s="97"/>
      <c r="AE566" s="97"/>
      <c r="AF566" s="97"/>
      <c r="AG566" s="97"/>
      <c r="AH566" s="97"/>
      <c r="AI566" s="97"/>
      <c r="AJ566" s="97"/>
      <c r="AK566" s="97"/>
      <c r="AL566" s="97"/>
      <c r="AM566" s="97"/>
      <c r="AN566" s="97"/>
      <c r="AO566" s="97"/>
      <c r="AP566" s="97"/>
      <c r="AQ566" s="97"/>
      <c r="AR566" s="97"/>
      <c r="AS566" s="97"/>
      <c r="AT566" s="97"/>
      <c r="AU566" s="97"/>
      <c r="AV566" s="97"/>
      <c r="AW566" s="97"/>
      <c r="AX566" s="97"/>
    </row>
    <row r="567" ht="15.75" customHeight="1">
      <c r="A567" s="170" t="s">
        <v>238</v>
      </c>
      <c r="B567" s="266" t="s">
        <v>4568</v>
      </c>
      <c r="C567" s="76" t="s">
        <v>5607</v>
      </c>
      <c r="D567" s="117" t="s">
        <v>5608</v>
      </c>
      <c r="E567" s="117" t="s">
        <v>5609</v>
      </c>
      <c r="F567" s="76" t="s">
        <v>5610</v>
      </c>
      <c r="G567" s="76"/>
      <c r="H567" s="76"/>
      <c r="I567" s="209"/>
      <c r="J567" s="209"/>
      <c r="K567" s="218" t="s">
        <v>2607</v>
      </c>
      <c r="L567" s="210"/>
      <c r="M567" s="209"/>
      <c r="N567" s="209"/>
      <c r="O567" s="239" t="s">
        <v>5611</v>
      </c>
      <c r="P567" s="209"/>
      <c r="Q567" s="209" t="s">
        <v>184</v>
      </c>
      <c r="R567" s="209"/>
      <c r="S567" s="209"/>
      <c r="T567" s="209"/>
      <c r="U567" s="209"/>
      <c r="V567" s="209"/>
      <c r="W567" s="209"/>
      <c r="X567" s="209"/>
      <c r="Y567" s="209"/>
      <c r="Z567" s="209"/>
      <c r="AA567" s="209"/>
      <c r="AB567" s="209"/>
      <c r="AC567" s="209"/>
      <c r="AD567" s="97"/>
      <c r="AE567" s="97"/>
      <c r="AF567" s="97"/>
      <c r="AG567" s="97"/>
      <c r="AH567" s="97"/>
      <c r="AI567" s="97"/>
      <c r="AJ567" s="97"/>
      <c r="AK567" s="97"/>
      <c r="AL567" s="97"/>
      <c r="AM567" s="97"/>
      <c r="AN567" s="97"/>
      <c r="AO567" s="97"/>
      <c r="AP567" s="97"/>
      <c r="AQ567" s="97"/>
      <c r="AR567" s="97"/>
      <c r="AS567" s="97"/>
      <c r="AT567" s="97"/>
      <c r="AU567" s="97"/>
      <c r="AV567" s="97"/>
      <c r="AW567" s="97"/>
      <c r="AX567" s="97"/>
    </row>
    <row r="568" ht="15.75" customHeight="1">
      <c r="A568" s="170" t="s">
        <v>238</v>
      </c>
      <c r="B568" s="171" t="s">
        <v>4570</v>
      </c>
      <c r="C568" s="76" t="s">
        <v>5612</v>
      </c>
      <c r="D568" s="76" t="s">
        <v>5613</v>
      </c>
      <c r="E568" s="117" t="s">
        <v>5614</v>
      </c>
      <c r="F568" s="76"/>
      <c r="G568" s="76"/>
      <c r="H568" s="76"/>
      <c r="I568" s="209"/>
      <c r="J568" s="209"/>
      <c r="K568" s="218" t="s">
        <v>2607</v>
      </c>
      <c r="L568" s="210"/>
      <c r="M568" s="209"/>
      <c r="N568" s="209"/>
      <c r="O568" s="209"/>
      <c r="P568" s="209"/>
      <c r="Q568" s="209" t="s">
        <v>184</v>
      </c>
      <c r="R568" s="209"/>
      <c r="S568" s="209"/>
      <c r="T568" s="209"/>
      <c r="U568" s="209"/>
      <c r="V568" s="209"/>
      <c r="W568" s="209"/>
      <c r="X568" s="209"/>
      <c r="Y568" s="209"/>
      <c r="Z568" s="209"/>
      <c r="AA568" s="209"/>
      <c r="AB568" s="209"/>
      <c r="AC568" s="209"/>
      <c r="AD568" s="97"/>
      <c r="AE568" s="97"/>
      <c r="AF568" s="97"/>
      <c r="AG568" s="97"/>
      <c r="AH568" s="97"/>
      <c r="AI568" s="97"/>
      <c r="AJ568" s="97"/>
      <c r="AK568" s="97"/>
      <c r="AL568" s="97"/>
      <c r="AM568" s="97"/>
      <c r="AN568" s="97"/>
      <c r="AO568" s="97"/>
      <c r="AP568" s="97"/>
      <c r="AQ568" s="97"/>
      <c r="AR568" s="97"/>
      <c r="AS568" s="97"/>
      <c r="AT568" s="97"/>
      <c r="AU568" s="97"/>
      <c r="AV568" s="97"/>
      <c r="AW568" s="97"/>
      <c r="AX568" s="97"/>
    </row>
    <row r="569" ht="15.75" customHeight="1">
      <c r="A569" s="170" t="s">
        <v>238</v>
      </c>
      <c r="B569" s="266" t="s">
        <v>4574</v>
      </c>
      <c r="C569" s="76" t="s">
        <v>5615</v>
      </c>
      <c r="D569" s="117" t="s">
        <v>5616</v>
      </c>
      <c r="E569" s="117" t="s">
        <v>5617</v>
      </c>
      <c r="F569" s="76" t="s">
        <v>5618</v>
      </c>
      <c r="G569" s="205"/>
      <c r="H569" s="205"/>
      <c r="I569" s="205"/>
      <c r="J569" s="205"/>
      <c r="K569" s="218" t="s">
        <v>2607</v>
      </c>
      <c r="L569" s="205"/>
      <c r="M569" s="205"/>
      <c r="N569" s="205"/>
      <c r="O569" s="239" t="s">
        <v>5619</v>
      </c>
      <c r="P569" s="205"/>
      <c r="Q569" s="209" t="s">
        <v>184</v>
      </c>
      <c r="R569" s="205"/>
      <c r="S569" s="205"/>
      <c r="T569" s="205"/>
      <c r="U569" s="205"/>
      <c r="V569" s="205"/>
      <c r="W569" s="205"/>
      <c r="X569" s="205"/>
      <c r="Y569" s="205"/>
      <c r="Z569" s="205"/>
      <c r="AA569" s="205"/>
      <c r="AB569" s="205"/>
      <c r="AC569" s="205"/>
      <c r="AD569" s="97"/>
      <c r="AE569" s="97"/>
      <c r="AF569" s="97"/>
      <c r="AG569" s="97"/>
      <c r="AH569" s="97"/>
      <c r="AI569" s="97"/>
      <c r="AJ569" s="97"/>
      <c r="AK569" s="97"/>
      <c r="AL569" s="97"/>
      <c r="AM569" s="97"/>
      <c r="AN569" s="97"/>
      <c r="AO569" s="97"/>
      <c r="AP569" s="97"/>
      <c r="AQ569" s="97"/>
      <c r="AR569" s="97"/>
      <c r="AS569" s="97"/>
      <c r="AT569" s="97"/>
      <c r="AU569" s="97"/>
      <c r="AV569" s="97"/>
      <c r="AW569" s="97"/>
      <c r="AX569" s="97"/>
    </row>
    <row r="570" ht="15.75" customHeight="1">
      <c r="A570" s="167" t="s">
        <v>842</v>
      </c>
      <c r="B570" s="169" t="s">
        <v>4548</v>
      </c>
      <c r="C570" s="169" t="s">
        <v>4549</v>
      </c>
      <c r="D570" s="169" t="s">
        <v>4550</v>
      </c>
      <c r="E570" s="169" t="s">
        <v>4551</v>
      </c>
      <c r="F570" s="205"/>
      <c r="G570" s="205"/>
      <c r="H570" s="205"/>
      <c r="I570" s="205"/>
      <c r="J570" s="205"/>
      <c r="K570" s="205"/>
      <c r="L570" s="205"/>
      <c r="M570" s="205"/>
      <c r="N570" s="205"/>
      <c r="O570" s="205"/>
      <c r="P570" s="205"/>
      <c r="Q570" s="205"/>
      <c r="R570" s="205"/>
      <c r="S570" s="205"/>
      <c r="T570" s="205"/>
      <c r="U570" s="205"/>
      <c r="V570" s="205"/>
      <c r="W570" s="205"/>
      <c r="X570" s="205"/>
      <c r="Y570" s="205"/>
      <c r="Z570" s="205"/>
      <c r="AA570" s="205"/>
      <c r="AB570" s="205"/>
      <c r="AC570" s="205"/>
      <c r="AD570" s="97"/>
      <c r="AE570" s="97"/>
      <c r="AF570" s="97"/>
      <c r="AG570" s="97"/>
      <c r="AH570" s="97"/>
      <c r="AI570" s="97"/>
      <c r="AJ570" s="97"/>
      <c r="AK570" s="97"/>
      <c r="AL570" s="97"/>
      <c r="AM570" s="97"/>
      <c r="AN570" s="97"/>
      <c r="AO570" s="97"/>
      <c r="AP570" s="97"/>
      <c r="AQ570" s="97"/>
      <c r="AR570" s="97"/>
      <c r="AS570" s="97"/>
      <c r="AT570" s="97"/>
      <c r="AU570" s="97"/>
      <c r="AV570" s="97"/>
      <c r="AW570" s="97"/>
      <c r="AX570" s="97"/>
    </row>
    <row r="571">
      <c r="A571" s="270"/>
      <c r="B571" s="270"/>
      <c r="C571" s="141"/>
      <c r="D571" s="141"/>
      <c r="E571" s="261"/>
      <c r="F571" s="270"/>
      <c r="G571" s="270"/>
      <c r="H571" s="270"/>
      <c r="I571" s="270"/>
      <c r="J571" s="270"/>
      <c r="K571" s="270"/>
      <c r="L571" s="270"/>
      <c r="M571" s="270"/>
      <c r="N571" s="270"/>
      <c r="O571" s="270"/>
      <c r="P571" s="270"/>
      <c r="Q571" s="270"/>
      <c r="R571" s="270"/>
      <c r="S571" s="270"/>
      <c r="T571" s="301"/>
      <c r="U571" s="270"/>
      <c r="V571" s="270"/>
      <c r="W571" s="270"/>
      <c r="X571" s="270"/>
      <c r="Y571" s="270"/>
      <c r="Z571" s="270"/>
      <c r="AA571" s="270"/>
      <c r="AB571" s="270"/>
      <c r="AC571" s="270"/>
      <c r="AD571" s="270"/>
      <c r="AE571" s="270"/>
      <c r="AF571" s="270"/>
      <c r="AG571" s="270"/>
      <c r="AH571" s="270"/>
      <c r="AI571" s="270"/>
      <c r="AJ571" s="270"/>
      <c r="AK571" s="270"/>
      <c r="AL571" s="270"/>
      <c r="AM571" s="270"/>
      <c r="AN571" s="270"/>
      <c r="AO571" s="270"/>
      <c r="AP571" s="270"/>
      <c r="AQ571" s="270"/>
      <c r="AR571" s="270"/>
      <c r="AS571" s="270"/>
      <c r="AT571" s="270"/>
      <c r="AU571" s="270"/>
      <c r="AV571" s="270"/>
      <c r="AW571" s="270"/>
      <c r="AX571" s="270"/>
    </row>
    <row r="572">
      <c r="A572" s="270"/>
      <c r="B572" s="270"/>
      <c r="C572" s="141"/>
      <c r="D572" s="141"/>
      <c r="E572" s="261"/>
      <c r="F572" s="270"/>
      <c r="G572" s="270"/>
      <c r="H572" s="270"/>
      <c r="I572" s="270"/>
      <c r="J572" s="270"/>
      <c r="K572" s="270"/>
      <c r="L572" s="270"/>
      <c r="M572" s="270"/>
      <c r="N572" s="270"/>
      <c r="O572" s="270"/>
      <c r="P572" s="270"/>
      <c r="Q572" s="270"/>
      <c r="R572" s="270"/>
      <c r="S572" s="270"/>
      <c r="T572" s="301"/>
      <c r="U572" s="270"/>
      <c r="V572" s="270"/>
      <c r="W572" s="270"/>
      <c r="X572" s="270"/>
      <c r="Y572" s="270"/>
      <c r="Z572" s="270"/>
      <c r="AA572" s="270"/>
      <c r="AB572" s="270"/>
      <c r="AC572" s="270"/>
      <c r="AD572" s="270"/>
      <c r="AE572" s="270"/>
      <c r="AF572" s="270"/>
      <c r="AG572" s="270"/>
      <c r="AH572" s="270"/>
      <c r="AI572" s="270"/>
      <c r="AJ572" s="270"/>
      <c r="AK572" s="270"/>
      <c r="AL572" s="270"/>
      <c r="AM572" s="270"/>
      <c r="AN572" s="270"/>
      <c r="AO572" s="270"/>
      <c r="AP572" s="270"/>
      <c r="AQ572" s="270"/>
      <c r="AR572" s="270"/>
      <c r="AS572" s="270"/>
      <c r="AT572" s="270"/>
      <c r="AU572" s="270"/>
      <c r="AV572" s="270"/>
      <c r="AW572" s="270"/>
      <c r="AX572" s="270"/>
    </row>
    <row r="573" ht="15.75" customHeight="1">
      <c r="A573" s="170" t="s">
        <v>238</v>
      </c>
      <c r="B573" s="171" t="s">
        <v>4577</v>
      </c>
      <c r="C573" s="76" t="s">
        <v>5620</v>
      </c>
      <c r="D573" s="76" t="s">
        <v>5621</v>
      </c>
      <c r="E573" s="117" t="s">
        <v>5622</v>
      </c>
      <c r="F573" s="76"/>
      <c r="G573" s="76"/>
      <c r="H573" s="76"/>
      <c r="I573" s="209"/>
      <c r="J573" s="209"/>
      <c r="K573" s="210"/>
      <c r="L573" s="210"/>
      <c r="M573" s="209"/>
      <c r="N573" s="209"/>
      <c r="O573" s="209"/>
      <c r="P573" s="209"/>
      <c r="Q573" s="209" t="s">
        <v>184</v>
      </c>
      <c r="R573" s="209"/>
      <c r="S573" s="209"/>
      <c r="T573" s="209"/>
      <c r="U573" s="209"/>
      <c r="V573" s="209"/>
      <c r="W573" s="209"/>
      <c r="X573" s="209"/>
      <c r="Y573" s="209"/>
      <c r="Z573" s="209"/>
      <c r="AA573" s="209"/>
      <c r="AB573" s="209"/>
      <c r="AC573" s="209"/>
      <c r="AD573" s="97"/>
      <c r="AE573" s="97"/>
      <c r="AF573" s="97"/>
      <c r="AG573" s="97"/>
      <c r="AH573" s="97"/>
      <c r="AI573" s="97"/>
      <c r="AJ573" s="97"/>
      <c r="AK573" s="97"/>
      <c r="AL573" s="97"/>
      <c r="AM573" s="97"/>
      <c r="AN573" s="97"/>
      <c r="AO573" s="97"/>
      <c r="AP573" s="97"/>
      <c r="AQ573" s="97"/>
      <c r="AR573" s="97"/>
      <c r="AS573" s="97"/>
      <c r="AT573" s="97"/>
      <c r="AU573" s="97"/>
      <c r="AV573" s="97"/>
      <c r="AW573" s="97"/>
      <c r="AX573" s="97"/>
    </row>
    <row r="574" ht="15.75" customHeight="1">
      <c r="A574" s="152" t="s">
        <v>44</v>
      </c>
      <c r="B574" s="77" t="s">
        <v>4584</v>
      </c>
      <c r="C574" s="76" t="s">
        <v>5623</v>
      </c>
      <c r="D574" s="76" t="s">
        <v>5624</v>
      </c>
      <c r="E574" s="117" t="s">
        <v>5625</v>
      </c>
      <c r="F574" s="76"/>
      <c r="G574" s="76"/>
      <c r="H574" s="76"/>
      <c r="I574" s="176"/>
      <c r="J574" s="176"/>
      <c r="K574" s="176"/>
      <c r="L574" s="176"/>
      <c r="M574" s="176"/>
      <c r="N574" s="176"/>
      <c r="O574" s="176"/>
      <c r="P574" s="176"/>
      <c r="Q574" s="176"/>
      <c r="R574" s="176"/>
      <c r="S574" s="176"/>
      <c r="T574" s="176"/>
      <c r="U574" s="176"/>
      <c r="V574" s="176"/>
      <c r="W574" s="176"/>
      <c r="X574" s="176"/>
      <c r="Y574" s="176"/>
      <c r="Z574" s="176"/>
      <c r="AA574" s="176"/>
      <c r="AB574" s="176"/>
      <c r="AC574" s="176"/>
      <c r="AD574" s="97"/>
      <c r="AE574" s="97"/>
      <c r="AF574" s="97"/>
      <c r="AG574" s="97"/>
      <c r="AH574" s="97"/>
      <c r="AI574" s="97"/>
      <c r="AJ574" s="97"/>
      <c r="AK574" s="97"/>
      <c r="AL574" s="97"/>
      <c r="AM574" s="97"/>
      <c r="AN574" s="97"/>
      <c r="AO574" s="97"/>
      <c r="AP574" s="97"/>
      <c r="AQ574" s="97"/>
      <c r="AR574" s="97"/>
      <c r="AS574" s="97"/>
      <c r="AT574" s="97"/>
      <c r="AU574" s="97"/>
      <c r="AV574" s="97"/>
      <c r="AW574" s="97"/>
      <c r="AX574" s="97"/>
    </row>
    <row r="575" ht="15.75" customHeight="1">
      <c r="A575" s="170" t="s">
        <v>238</v>
      </c>
      <c r="B575" s="171" t="s">
        <v>4588</v>
      </c>
      <c r="C575" s="76" t="s">
        <v>5626</v>
      </c>
      <c r="D575" s="76" t="s">
        <v>5627</v>
      </c>
      <c r="E575" s="117" t="s">
        <v>5628</v>
      </c>
      <c r="F575" s="76"/>
      <c r="G575" s="76"/>
      <c r="H575" s="76"/>
      <c r="I575" s="209"/>
      <c r="J575" s="209"/>
      <c r="K575" s="210" t="s">
        <v>5629</v>
      </c>
      <c r="L575" s="210"/>
      <c r="M575" s="209"/>
      <c r="N575" s="209"/>
      <c r="O575" s="209" t="s">
        <v>5400</v>
      </c>
      <c r="P575" s="209"/>
      <c r="Q575" s="209" t="s">
        <v>184</v>
      </c>
      <c r="R575" s="209"/>
      <c r="S575" s="209"/>
      <c r="T575" s="209"/>
      <c r="U575" s="209"/>
      <c r="V575" s="209"/>
      <c r="W575" s="209"/>
      <c r="X575" s="209"/>
      <c r="Y575" s="209"/>
      <c r="Z575" s="209"/>
      <c r="AA575" s="209"/>
      <c r="AB575" s="209"/>
      <c r="AC575" s="209"/>
      <c r="AD575" s="97"/>
      <c r="AE575" s="97"/>
      <c r="AF575" s="97"/>
      <c r="AG575" s="97"/>
      <c r="AH575" s="97"/>
      <c r="AI575" s="97"/>
      <c r="AJ575" s="97"/>
      <c r="AK575" s="97"/>
      <c r="AL575" s="97"/>
      <c r="AM575" s="97"/>
      <c r="AN575" s="97"/>
      <c r="AO575" s="97"/>
      <c r="AP575" s="97"/>
      <c r="AQ575" s="97"/>
      <c r="AR575" s="97"/>
      <c r="AS575" s="97"/>
      <c r="AT575" s="97"/>
      <c r="AU575" s="97"/>
      <c r="AV575" s="97"/>
      <c r="AW575" s="97"/>
      <c r="AX575" s="97"/>
    </row>
    <row r="576" ht="15.75" customHeight="1">
      <c r="A576" s="114" t="s">
        <v>541</v>
      </c>
      <c r="B576" s="165" t="s">
        <v>4593</v>
      </c>
      <c r="C576" s="76" t="s">
        <v>5630</v>
      </c>
      <c r="D576" s="76" t="s">
        <v>5631</v>
      </c>
      <c r="E576" s="117" t="s">
        <v>5632</v>
      </c>
      <c r="F576" s="76"/>
      <c r="G576" s="76"/>
      <c r="H576" s="76"/>
      <c r="I576" s="118"/>
      <c r="J576" s="120"/>
      <c r="K576" s="118"/>
      <c r="L576" s="118"/>
      <c r="M576" s="118"/>
      <c r="N576" s="118"/>
      <c r="O576" s="118" t="s">
        <v>5400</v>
      </c>
      <c r="P576" s="118"/>
      <c r="Q576" s="118" t="s">
        <v>184</v>
      </c>
      <c r="R576" s="118"/>
      <c r="S576" s="118"/>
      <c r="T576" s="118"/>
      <c r="U576" s="118"/>
      <c r="V576" s="118"/>
      <c r="W576" s="118"/>
      <c r="X576" s="118"/>
      <c r="Y576" s="118"/>
      <c r="Z576" s="118"/>
      <c r="AA576" s="118"/>
      <c r="AB576" s="118"/>
      <c r="AC576" s="118"/>
      <c r="AD576" s="97"/>
      <c r="AE576" s="97"/>
      <c r="AF576" s="97"/>
      <c r="AG576" s="97"/>
      <c r="AH576" s="97"/>
      <c r="AI576" s="97"/>
      <c r="AJ576" s="97"/>
      <c r="AK576" s="97"/>
      <c r="AL576" s="97"/>
      <c r="AM576" s="97"/>
      <c r="AN576" s="97"/>
      <c r="AO576" s="97"/>
      <c r="AP576" s="97"/>
      <c r="AQ576" s="97"/>
      <c r="AR576" s="97"/>
      <c r="AS576" s="97"/>
      <c r="AT576" s="97"/>
      <c r="AU576" s="97"/>
      <c r="AV576" s="97"/>
      <c r="AW576" s="97"/>
      <c r="AX576" s="97"/>
    </row>
    <row r="577" ht="15.75" customHeight="1">
      <c r="A577" s="170" t="s">
        <v>238</v>
      </c>
      <c r="B577" s="171" t="s">
        <v>4602</v>
      </c>
      <c r="C577" s="76" t="s">
        <v>5633</v>
      </c>
      <c r="D577" s="76" t="s">
        <v>5634</v>
      </c>
      <c r="E577" s="117" t="s">
        <v>5635</v>
      </c>
      <c r="F577" s="76"/>
      <c r="G577" s="76"/>
      <c r="H577" s="76"/>
      <c r="I577" s="209"/>
      <c r="J577" s="209"/>
      <c r="K577" s="210" t="s">
        <v>5636</v>
      </c>
      <c r="L577" s="210"/>
      <c r="M577" s="209"/>
      <c r="N577" s="209"/>
      <c r="O577" s="209" t="s">
        <v>5637</v>
      </c>
      <c r="P577" s="209"/>
      <c r="Q577" s="209" t="s">
        <v>184</v>
      </c>
      <c r="R577" s="209"/>
      <c r="S577" s="209"/>
      <c r="T577" s="209"/>
      <c r="U577" s="209"/>
      <c r="V577" s="209"/>
      <c r="W577" s="209"/>
      <c r="X577" s="209"/>
      <c r="Y577" s="209"/>
      <c r="Z577" s="209"/>
      <c r="AA577" s="209"/>
      <c r="AB577" s="209"/>
      <c r="AC577" s="209"/>
      <c r="AD577" s="97"/>
      <c r="AE577" s="97"/>
      <c r="AF577" s="97"/>
      <c r="AG577" s="97"/>
      <c r="AH577" s="97"/>
      <c r="AI577" s="97"/>
      <c r="AJ577" s="97"/>
      <c r="AK577" s="97"/>
      <c r="AL577" s="97"/>
      <c r="AM577" s="97"/>
      <c r="AN577" s="97"/>
      <c r="AO577" s="97"/>
      <c r="AP577" s="97"/>
      <c r="AQ577" s="97"/>
      <c r="AR577" s="97"/>
      <c r="AS577" s="97"/>
      <c r="AT577" s="97"/>
      <c r="AU577" s="97"/>
      <c r="AV577" s="97"/>
      <c r="AW577" s="97"/>
      <c r="AX577" s="97"/>
    </row>
    <row r="578" ht="15.75" customHeight="1">
      <c r="A578" s="170" t="s">
        <v>238</v>
      </c>
      <c r="B578" s="171" t="s">
        <v>4606</v>
      </c>
      <c r="C578" s="76" t="s">
        <v>5638</v>
      </c>
      <c r="D578" s="76" t="s">
        <v>5639</v>
      </c>
      <c r="E578" s="117" t="s">
        <v>5640</v>
      </c>
      <c r="F578" s="76"/>
      <c r="G578" s="76"/>
      <c r="H578" s="76"/>
      <c r="I578" s="209"/>
      <c r="J578" s="209"/>
      <c r="K578" s="210"/>
      <c r="L578" s="210"/>
      <c r="M578" s="209"/>
      <c r="N578" s="209"/>
      <c r="O578" s="209" t="s">
        <v>5637</v>
      </c>
      <c r="P578" s="209"/>
      <c r="Q578" s="209" t="s">
        <v>184</v>
      </c>
      <c r="R578" s="209"/>
      <c r="S578" s="209"/>
      <c r="T578" s="209"/>
      <c r="U578" s="209"/>
      <c r="V578" s="209"/>
      <c r="W578" s="209"/>
      <c r="X578" s="209"/>
      <c r="Y578" s="209"/>
      <c r="Z578" s="209"/>
      <c r="AA578" s="209"/>
      <c r="AB578" s="209"/>
      <c r="AC578" s="209"/>
      <c r="AD578" s="97"/>
      <c r="AE578" s="97"/>
      <c r="AF578" s="97"/>
      <c r="AG578" s="97"/>
      <c r="AH578" s="97"/>
      <c r="AI578" s="97"/>
      <c r="AJ578" s="97"/>
      <c r="AK578" s="97"/>
      <c r="AL578" s="97"/>
      <c r="AM578" s="97"/>
      <c r="AN578" s="97"/>
      <c r="AO578" s="97"/>
      <c r="AP578" s="97"/>
      <c r="AQ578" s="97"/>
      <c r="AR578" s="97"/>
      <c r="AS578" s="97"/>
      <c r="AT578" s="97"/>
      <c r="AU578" s="97"/>
      <c r="AV578" s="97"/>
      <c r="AW578" s="97"/>
      <c r="AX578" s="97"/>
    </row>
    <row r="579" ht="15.75" customHeight="1">
      <c r="A579" s="131" t="s">
        <v>115</v>
      </c>
      <c r="B579" s="132" t="s">
        <v>4613</v>
      </c>
      <c r="C579" s="133"/>
      <c r="D579" s="133"/>
      <c r="E579" s="133"/>
      <c r="F579" s="134"/>
      <c r="G579" s="134"/>
      <c r="H579" s="134"/>
      <c r="I579" s="134"/>
      <c r="J579" s="134"/>
      <c r="K579" s="134"/>
      <c r="L579" s="134"/>
      <c r="M579" s="134"/>
      <c r="N579" s="134"/>
      <c r="O579" s="134"/>
      <c r="P579" s="134"/>
      <c r="Q579" s="134"/>
      <c r="R579" s="134"/>
      <c r="S579" s="134"/>
      <c r="T579" s="149" t="s">
        <v>5641</v>
      </c>
      <c r="U579" s="134"/>
      <c r="V579" s="134"/>
      <c r="W579" s="134"/>
      <c r="X579" s="134"/>
      <c r="Y579" s="134"/>
      <c r="Z579" s="134"/>
      <c r="AA579" s="134"/>
      <c r="AB579" s="134"/>
      <c r="AC579" s="134"/>
      <c r="AD579" s="97"/>
      <c r="AE579" s="97"/>
      <c r="AF579" s="97"/>
      <c r="AG579" s="97"/>
      <c r="AH579" s="97"/>
      <c r="AI579" s="97"/>
      <c r="AJ579" s="97"/>
      <c r="AK579" s="97"/>
      <c r="AL579" s="97"/>
      <c r="AM579" s="97"/>
      <c r="AN579" s="97"/>
      <c r="AO579" s="97"/>
      <c r="AP579" s="97"/>
      <c r="AQ579" s="97"/>
      <c r="AR579" s="97"/>
      <c r="AS579" s="97"/>
      <c r="AT579" s="97"/>
      <c r="AU579" s="97"/>
      <c r="AV579" s="97"/>
      <c r="AW579" s="97"/>
      <c r="AX579" s="97"/>
    </row>
    <row r="580" ht="15.75" customHeight="1">
      <c r="A580" s="114" t="s">
        <v>541</v>
      </c>
      <c r="B580" s="165" t="s">
        <v>4614</v>
      </c>
      <c r="C580" s="76" t="s">
        <v>5642</v>
      </c>
      <c r="D580" s="76" t="s">
        <v>5643</v>
      </c>
      <c r="E580" s="117" t="s">
        <v>5644</v>
      </c>
      <c r="F580" s="76"/>
      <c r="G580" s="76"/>
      <c r="H580" s="76"/>
      <c r="I580" s="118"/>
      <c r="J580" s="120"/>
      <c r="K580" s="118"/>
      <c r="L580" s="118"/>
      <c r="M580" s="118"/>
      <c r="N580" s="118"/>
      <c r="O580" s="118" t="s">
        <v>5637</v>
      </c>
      <c r="P580" s="118"/>
      <c r="Q580" s="118" t="s">
        <v>184</v>
      </c>
      <c r="R580" s="118"/>
      <c r="S580" s="118"/>
      <c r="T580" s="118"/>
      <c r="U580" s="118"/>
      <c r="V580" s="118"/>
      <c r="W580" s="118"/>
      <c r="X580" s="118"/>
      <c r="Y580" s="118"/>
      <c r="Z580" s="118"/>
      <c r="AA580" s="118"/>
      <c r="AB580" s="118"/>
      <c r="AC580" s="118"/>
      <c r="AD580" s="97"/>
      <c r="AE580" s="97"/>
      <c r="AF580" s="97"/>
      <c r="AG580" s="97"/>
      <c r="AH580" s="97"/>
      <c r="AI580" s="97"/>
      <c r="AJ580" s="97"/>
      <c r="AK580" s="97"/>
      <c r="AL580" s="97"/>
      <c r="AM580" s="97"/>
      <c r="AN580" s="97"/>
      <c r="AO580" s="97"/>
      <c r="AP580" s="97"/>
      <c r="AQ580" s="97"/>
      <c r="AR580" s="97"/>
      <c r="AS580" s="97"/>
      <c r="AT580" s="97"/>
      <c r="AU580" s="97"/>
      <c r="AV580" s="97"/>
      <c r="AW580" s="97"/>
      <c r="AX580" s="97"/>
    </row>
    <row r="581" ht="15.75" customHeight="1">
      <c r="A581" s="114" t="s">
        <v>541</v>
      </c>
      <c r="B581" s="165" t="s">
        <v>4620</v>
      </c>
      <c r="C581" s="76" t="s">
        <v>5645</v>
      </c>
      <c r="D581" s="76" t="s">
        <v>5646</v>
      </c>
      <c r="E581" s="117" t="s">
        <v>5647</v>
      </c>
      <c r="F581" s="76"/>
      <c r="G581" s="76"/>
      <c r="H581" s="76"/>
      <c r="I581" s="118"/>
      <c r="J581" s="120"/>
      <c r="K581" s="118"/>
      <c r="L581" s="118"/>
      <c r="M581" s="118"/>
      <c r="N581" s="118"/>
      <c r="O581" s="118"/>
      <c r="P581" s="118"/>
      <c r="Q581" s="118" t="s">
        <v>184</v>
      </c>
      <c r="R581" s="118"/>
      <c r="S581" s="118"/>
      <c r="T581" s="118"/>
      <c r="U581" s="118"/>
      <c r="V581" s="118"/>
      <c r="W581" s="118"/>
      <c r="X581" s="118"/>
      <c r="Y581" s="118"/>
      <c r="Z581" s="118"/>
      <c r="AA581" s="118"/>
      <c r="AB581" s="118"/>
      <c r="AC581" s="118"/>
      <c r="AD581" s="97"/>
      <c r="AE581" s="97"/>
      <c r="AF581" s="97"/>
      <c r="AG581" s="97"/>
      <c r="AH581" s="97"/>
      <c r="AI581" s="97"/>
      <c r="AJ581" s="97"/>
      <c r="AK581" s="97"/>
      <c r="AL581" s="97"/>
      <c r="AM581" s="97"/>
      <c r="AN581" s="97"/>
      <c r="AO581" s="97"/>
      <c r="AP581" s="97"/>
      <c r="AQ581" s="97"/>
      <c r="AR581" s="97"/>
      <c r="AS581" s="97"/>
      <c r="AT581" s="97"/>
      <c r="AU581" s="97"/>
      <c r="AV581" s="97"/>
      <c r="AW581" s="97"/>
      <c r="AX581" s="97"/>
    </row>
    <row r="582" ht="15.75" customHeight="1">
      <c r="A582" s="170" t="s">
        <v>238</v>
      </c>
      <c r="B582" s="171" t="s">
        <v>4627</v>
      </c>
      <c r="C582" s="76" t="s">
        <v>5648</v>
      </c>
      <c r="D582" s="76" t="s">
        <v>5649</v>
      </c>
      <c r="E582" s="117" t="s">
        <v>5650</v>
      </c>
      <c r="F582" s="76"/>
      <c r="G582" s="76"/>
      <c r="H582" s="76"/>
      <c r="I582" s="209"/>
      <c r="J582" s="209"/>
      <c r="K582" s="210" t="s">
        <v>5629</v>
      </c>
      <c r="L582" s="210"/>
      <c r="M582" s="209"/>
      <c r="N582" s="209"/>
      <c r="O582" s="209" t="s">
        <v>5651</v>
      </c>
      <c r="P582" s="209"/>
      <c r="Q582" s="209" t="s">
        <v>184</v>
      </c>
      <c r="R582" s="209"/>
      <c r="S582" s="209"/>
      <c r="T582" s="209"/>
      <c r="U582" s="209"/>
      <c r="V582" s="209"/>
      <c r="W582" s="209"/>
      <c r="X582" s="209"/>
      <c r="Y582" s="209"/>
      <c r="Z582" s="209"/>
      <c r="AA582" s="209"/>
      <c r="AB582" s="209"/>
      <c r="AC582" s="209"/>
      <c r="AD582" s="97"/>
      <c r="AE582" s="97"/>
      <c r="AF582" s="97"/>
      <c r="AG582" s="97"/>
      <c r="AH582" s="97"/>
      <c r="AI582" s="97"/>
      <c r="AJ582" s="97"/>
      <c r="AK582" s="97"/>
      <c r="AL582" s="97"/>
      <c r="AM582" s="97"/>
      <c r="AN582" s="97"/>
      <c r="AO582" s="97"/>
      <c r="AP582" s="97"/>
      <c r="AQ582" s="97"/>
      <c r="AR582" s="97"/>
      <c r="AS582" s="97"/>
      <c r="AT582" s="97"/>
      <c r="AU582" s="97"/>
      <c r="AV582" s="97"/>
      <c r="AW582" s="97"/>
      <c r="AX582" s="97"/>
    </row>
    <row r="583" ht="15.75" customHeight="1">
      <c r="A583" s="170" t="s">
        <v>238</v>
      </c>
      <c r="B583" s="171" t="s">
        <v>4630</v>
      </c>
      <c r="C583" s="76" t="s">
        <v>5652</v>
      </c>
      <c r="D583" s="76" t="s">
        <v>5653</v>
      </c>
      <c r="E583" s="117" t="s">
        <v>5654</v>
      </c>
      <c r="F583" s="76"/>
      <c r="G583" s="76"/>
      <c r="H583" s="76"/>
      <c r="I583" s="209"/>
      <c r="J583" s="209"/>
      <c r="K583" s="210"/>
      <c r="L583" s="210"/>
      <c r="M583" s="209"/>
      <c r="N583" s="209"/>
      <c r="O583" s="209" t="s">
        <v>5651</v>
      </c>
      <c r="P583" s="209"/>
      <c r="Q583" s="209" t="s">
        <v>184</v>
      </c>
      <c r="R583" s="209"/>
      <c r="S583" s="209"/>
      <c r="T583" s="209"/>
      <c r="U583" s="209"/>
      <c r="V583" s="209"/>
      <c r="W583" s="209"/>
      <c r="X583" s="209"/>
      <c r="Y583" s="209"/>
      <c r="Z583" s="209"/>
      <c r="AA583" s="209"/>
      <c r="AB583" s="209"/>
      <c r="AC583" s="209"/>
      <c r="AD583" s="97"/>
      <c r="AE583" s="97"/>
      <c r="AF583" s="97"/>
      <c r="AG583" s="97"/>
      <c r="AH583" s="97"/>
      <c r="AI583" s="97"/>
      <c r="AJ583" s="97"/>
      <c r="AK583" s="97"/>
      <c r="AL583" s="97"/>
      <c r="AM583" s="97"/>
      <c r="AN583" s="97"/>
      <c r="AO583" s="97"/>
      <c r="AP583" s="97"/>
      <c r="AQ583" s="97"/>
      <c r="AR583" s="97"/>
      <c r="AS583" s="97"/>
      <c r="AT583" s="97"/>
      <c r="AU583" s="97"/>
      <c r="AV583" s="97"/>
      <c r="AW583" s="97"/>
      <c r="AX583" s="97"/>
    </row>
    <row r="584" ht="15.75" customHeight="1">
      <c r="A584" s="152" t="s">
        <v>44</v>
      </c>
      <c r="B584" s="77" t="s">
        <v>4634</v>
      </c>
      <c r="C584" s="76" t="s">
        <v>5655</v>
      </c>
      <c r="D584" s="76" t="s">
        <v>5656</v>
      </c>
      <c r="E584" s="117" t="s">
        <v>5657</v>
      </c>
      <c r="F584" s="76"/>
      <c r="G584" s="76"/>
      <c r="H584" s="76"/>
      <c r="I584" s="176"/>
      <c r="J584" s="176"/>
      <c r="K584" s="176"/>
      <c r="L584" s="176"/>
      <c r="M584" s="176"/>
      <c r="N584" s="176"/>
      <c r="O584" s="176"/>
      <c r="P584" s="176"/>
      <c r="Q584" s="176"/>
      <c r="R584" s="176"/>
      <c r="S584" s="176"/>
      <c r="T584" s="176"/>
      <c r="U584" s="176"/>
      <c r="V584" s="176"/>
      <c r="W584" s="176"/>
      <c r="X584" s="176"/>
      <c r="Y584" s="176"/>
      <c r="Z584" s="176"/>
      <c r="AA584" s="176"/>
      <c r="AB584" s="176"/>
      <c r="AC584" s="176"/>
      <c r="AD584" s="97"/>
      <c r="AE584" s="97"/>
      <c r="AF584" s="97"/>
      <c r="AG584" s="97"/>
      <c r="AH584" s="97"/>
      <c r="AI584" s="97"/>
      <c r="AJ584" s="97"/>
      <c r="AK584" s="97"/>
      <c r="AL584" s="97"/>
      <c r="AM584" s="97"/>
      <c r="AN584" s="97"/>
      <c r="AO584" s="97"/>
      <c r="AP584" s="97"/>
      <c r="AQ584" s="97"/>
      <c r="AR584" s="97"/>
      <c r="AS584" s="97"/>
      <c r="AT584" s="97"/>
      <c r="AU584" s="97"/>
      <c r="AV584" s="97"/>
      <c r="AW584" s="97"/>
      <c r="AX584" s="97"/>
    </row>
    <row r="585" ht="15.75" customHeight="1">
      <c r="A585" s="114" t="s">
        <v>541</v>
      </c>
      <c r="B585" s="165" t="s">
        <v>4641</v>
      </c>
      <c r="C585" s="76" t="s">
        <v>5658</v>
      </c>
      <c r="D585" s="76" t="s">
        <v>5659</v>
      </c>
      <c r="E585" s="117" t="s">
        <v>5660</v>
      </c>
      <c r="F585" s="76"/>
      <c r="G585" s="76"/>
      <c r="H585" s="76"/>
      <c r="I585" s="118"/>
      <c r="J585" s="120"/>
      <c r="K585" s="118"/>
      <c r="L585" s="118"/>
      <c r="M585" s="118"/>
      <c r="N585" s="118"/>
      <c r="O585" s="118"/>
      <c r="P585" s="118"/>
      <c r="Q585" s="118" t="s">
        <v>184</v>
      </c>
      <c r="R585" s="118"/>
      <c r="S585" s="118"/>
      <c r="T585" s="118"/>
      <c r="U585" s="118"/>
      <c r="V585" s="118"/>
      <c r="W585" s="118"/>
      <c r="X585" s="118"/>
      <c r="Y585" s="118"/>
      <c r="Z585" s="118"/>
      <c r="AA585" s="118"/>
      <c r="AB585" s="118"/>
      <c r="AC585" s="118"/>
      <c r="AD585" s="97"/>
      <c r="AE585" s="97"/>
      <c r="AF585" s="97"/>
      <c r="AG585" s="97"/>
      <c r="AH585" s="97"/>
      <c r="AI585" s="97"/>
      <c r="AJ585" s="97"/>
      <c r="AK585" s="97"/>
      <c r="AL585" s="97"/>
      <c r="AM585" s="97"/>
      <c r="AN585" s="97"/>
      <c r="AO585" s="97"/>
      <c r="AP585" s="97"/>
      <c r="AQ585" s="97"/>
      <c r="AR585" s="97"/>
      <c r="AS585" s="97"/>
      <c r="AT585" s="97"/>
      <c r="AU585" s="97"/>
      <c r="AV585" s="97"/>
      <c r="AW585" s="97"/>
      <c r="AX585" s="97"/>
    </row>
    <row r="586" ht="15.75" customHeight="1">
      <c r="A586" s="170" t="s">
        <v>238</v>
      </c>
      <c r="B586" s="171" t="s">
        <v>4646</v>
      </c>
      <c r="C586" s="76" t="s">
        <v>5661</v>
      </c>
      <c r="D586" s="76" t="s">
        <v>5662</v>
      </c>
      <c r="E586" s="117" t="s">
        <v>5663</v>
      </c>
      <c r="F586" s="76"/>
      <c r="G586" s="76"/>
      <c r="H586" s="76"/>
      <c r="I586" s="209"/>
      <c r="J586" s="209"/>
      <c r="K586" s="210"/>
      <c r="L586" s="210"/>
      <c r="M586" s="209"/>
      <c r="N586" s="209"/>
      <c r="O586" s="209" t="s">
        <v>5664</v>
      </c>
      <c r="P586" s="209"/>
      <c r="Q586" s="209" t="s">
        <v>184</v>
      </c>
      <c r="R586" s="209"/>
      <c r="S586" s="209"/>
      <c r="T586" s="209"/>
      <c r="U586" s="209"/>
      <c r="V586" s="209"/>
      <c r="W586" s="209"/>
      <c r="X586" s="209"/>
      <c r="Y586" s="209"/>
      <c r="Z586" s="209"/>
      <c r="AA586" s="209"/>
      <c r="AB586" s="209"/>
      <c r="AC586" s="209"/>
      <c r="AD586" s="97"/>
      <c r="AE586" s="97"/>
      <c r="AF586" s="97"/>
      <c r="AG586" s="97"/>
      <c r="AH586" s="97"/>
      <c r="AI586" s="97"/>
      <c r="AJ586" s="97"/>
      <c r="AK586" s="97"/>
      <c r="AL586" s="97"/>
      <c r="AM586" s="97"/>
      <c r="AN586" s="97"/>
      <c r="AO586" s="97"/>
      <c r="AP586" s="97"/>
      <c r="AQ586" s="97"/>
      <c r="AR586" s="97"/>
      <c r="AS586" s="97"/>
      <c r="AT586" s="97"/>
      <c r="AU586" s="97"/>
      <c r="AV586" s="97"/>
      <c r="AW586" s="97"/>
      <c r="AX586" s="97"/>
    </row>
    <row r="587" ht="15.75" customHeight="1">
      <c r="A587" s="170" t="s">
        <v>238</v>
      </c>
      <c r="B587" s="171" t="s">
        <v>4648</v>
      </c>
      <c r="C587" s="76" t="s">
        <v>5665</v>
      </c>
      <c r="D587" s="76" t="s">
        <v>5666</v>
      </c>
      <c r="E587" s="117" t="s">
        <v>5667</v>
      </c>
      <c r="F587" s="76"/>
      <c r="G587" s="76"/>
      <c r="H587" s="76"/>
      <c r="I587" s="209"/>
      <c r="J587" s="209"/>
      <c r="K587" s="210"/>
      <c r="L587" s="210"/>
      <c r="M587" s="209"/>
      <c r="N587" s="209"/>
      <c r="O587" s="209"/>
      <c r="P587" s="209"/>
      <c r="Q587" s="209" t="s">
        <v>184</v>
      </c>
      <c r="R587" s="209"/>
      <c r="S587" s="209"/>
      <c r="T587" s="209"/>
      <c r="U587" s="209"/>
      <c r="V587" s="209"/>
      <c r="W587" s="209"/>
      <c r="X587" s="209"/>
      <c r="Y587" s="209"/>
      <c r="Z587" s="209"/>
      <c r="AA587" s="209"/>
      <c r="AB587" s="209"/>
      <c r="AC587" s="209"/>
      <c r="AD587" s="97"/>
      <c r="AE587" s="97"/>
      <c r="AF587" s="97"/>
      <c r="AG587" s="97"/>
      <c r="AH587" s="97"/>
      <c r="AI587" s="97"/>
      <c r="AJ587" s="97"/>
      <c r="AK587" s="97"/>
      <c r="AL587" s="97"/>
      <c r="AM587" s="97"/>
      <c r="AN587" s="97"/>
      <c r="AO587" s="97"/>
      <c r="AP587" s="97"/>
      <c r="AQ587" s="97"/>
      <c r="AR587" s="97"/>
      <c r="AS587" s="97"/>
      <c r="AT587" s="97"/>
      <c r="AU587" s="97"/>
      <c r="AV587" s="97"/>
      <c r="AW587" s="97"/>
      <c r="AX587" s="97"/>
    </row>
    <row r="588" ht="15.75" customHeight="1">
      <c r="A588" s="131" t="s">
        <v>150</v>
      </c>
      <c r="B588" s="164" t="s">
        <v>4652</v>
      </c>
      <c r="C588" s="133"/>
      <c r="D588" s="133"/>
      <c r="E588" s="133"/>
      <c r="F588" s="134"/>
      <c r="G588" s="134"/>
      <c r="H588" s="134"/>
      <c r="I588" s="134"/>
      <c r="J588" s="134"/>
      <c r="K588" s="134"/>
      <c r="L588" s="134"/>
      <c r="M588" s="134"/>
      <c r="N588" s="134"/>
      <c r="O588" s="134"/>
      <c r="P588" s="134"/>
      <c r="Q588" s="134"/>
      <c r="R588" s="134"/>
      <c r="S588" s="134"/>
      <c r="T588" s="291" t="s">
        <v>156</v>
      </c>
      <c r="U588" s="134"/>
      <c r="V588" s="134"/>
      <c r="W588" s="134"/>
      <c r="X588" s="134"/>
      <c r="Y588" s="134"/>
      <c r="Z588" s="134"/>
      <c r="AA588" s="134"/>
      <c r="AB588" s="134"/>
      <c r="AC588" s="134"/>
      <c r="AD588" s="97"/>
      <c r="AE588" s="97"/>
      <c r="AF588" s="97"/>
      <c r="AG588" s="97"/>
      <c r="AH588" s="97"/>
      <c r="AI588" s="97"/>
      <c r="AJ588" s="97"/>
      <c r="AK588" s="97"/>
      <c r="AL588" s="97"/>
      <c r="AM588" s="97"/>
      <c r="AN588" s="97"/>
      <c r="AO588" s="97"/>
      <c r="AP588" s="97"/>
      <c r="AQ588" s="97"/>
      <c r="AR588" s="97"/>
      <c r="AS588" s="97"/>
      <c r="AT588" s="97"/>
      <c r="AU588" s="97"/>
      <c r="AV588" s="97"/>
      <c r="AW588" s="97"/>
      <c r="AX588" s="97"/>
    </row>
    <row r="589" ht="15.75" customHeight="1">
      <c r="A589" s="80" t="s">
        <v>115</v>
      </c>
      <c r="B589" s="81" t="s">
        <v>4655</v>
      </c>
      <c r="C589" s="82"/>
      <c r="D589" s="83"/>
      <c r="E589" s="83"/>
      <c r="F589" s="84"/>
      <c r="G589" s="84"/>
      <c r="H589" s="84"/>
      <c r="I589" s="86"/>
      <c r="J589" s="86"/>
      <c r="K589" s="84"/>
      <c r="L589" s="86"/>
      <c r="M589" s="86"/>
      <c r="N589" s="86"/>
      <c r="O589" s="86"/>
      <c r="P589" s="84"/>
      <c r="Q589" s="84"/>
      <c r="R589" s="84"/>
      <c r="S589" s="84"/>
      <c r="T589" s="80" t="s">
        <v>5668</v>
      </c>
      <c r="U589" s="84"/>
      <c r="V589" s="84"/>
      <c r="W589" s="84"/>
      <c r="X589" s="84"/>
      <c r="Y589" s="84"/>
      <c r="Z589" s="84"/>
      <c r="AA589" s="84"/>
      <c r="AB589" s="84"/>
      <c r="AC589" s="84"/>
      <c r="AD589" s="97"/>
      <c r="AE589" s="97"/>
      <c r="AF589" s="97"/>
      <c r="AG589" s="97"/>
      <c r="AH589" s="97"/>
      <c r="AI589" s="97"/>
      <c r="AJ589" s="97"/>
      <c r="AK589" s="97"/>
      <c r="AL589" s="97"/>
      <c r="AM589" s="97"/>
      <c r="AN589" s="97"/>
      <c r="AO589" s="97"/>
      <c r="AP589" s="97"/>
      <c r="AQ589" s="97"/>
      <c r="AR589" s="97"/>
      <c r="AS589" s="97"/>
      <c r="AT589" s="97"/>
      <c r="AU589" s="97"/>
      <c r="AV589" s="97"/>
      <c r="AW589" s="97"/>
      <c r="AX589" s="97"/>
    </row>
    <row r="590" ht="15.75" customHeight="1">
      <c r="A590" s="203"/>
      <c r="B590" s="203"/>
      <c r="C590" s="204"/>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7"/>
      <c r="AR590" s="97"/>
      <c r="AS590" s="97"/>
      <c r="AT590" s="97"/>
      <c r="AU590" s="97"/>
      <c r="AV590" s="97"/>
      <c r="AW590" s="97"/>
      <c r="AX590" s="97"/>
    </row>
    <row r="591" ht="15.75" customHeight="1">
      <c r="A591" s="131" t="s">
        <v>150</v>
      </c>
      <c r="B591" s="164" t="s">
        <v>4657</v>
      </c>
      <c r="C591" s="133"/>
      <c r="D591" s="133"/>
      <c r="E591" s="133"/>
      <c r="F591" s="134"/>
      <c r="G591" s="134"/>
      <c r="H591" s="134"/>
      <c r="I591" s="134"/>
      <c r="J591" s="134"/>
      <c r="K591" s="134"/>
      <c r="L591" s="134"/>
      <c r="M591" s="134"/>
      <c r="N591" s="134"/>
      <c r="O591" s="134"/>
      <c r="P591" s="134"/>
      <c r="Q591" s="134"/>
      <c r="R591" s="134"/>
      <c r="S591" s="134"/>
      <c r="T591" s="291" t="s">
        <v>156</v>
      </c>
      <c r="U591" s="134"/>
      <c r="V591" s="134"/>
      <c r="W591" s="134"/>
      <c r="X591" s="134"/>
      <c r="Y591" s="134"/>
      <c r="Z591" s="134"/>
      <c r="AA591" s="134"/>
      <c r="AB591" s="134"/>
      <c r="AC591" s="134"/>
      <c r="AD591" s="97"/>
      <c r="AE591" s="97"/>
      <c r="AF591" s="97"/>
      <c r="AG591" s="97"/>
      <c r="AH591" s="97"/>
      <c r="AI591" s="97"/>
      <c r="AJ591" s="97"/>
      <c r="AK591" s="97"/>
      <c r="AL591" s="97"/>
      <c r="AM591" s="97"/>
      <c r="AN591" s="97"/>
      <c r="AO591" s="97"/>
      <c r="AP591" s="97"/>
      <c r="AQ591" s="97"/>
      <c r="AR591" s="97"/>
      <c r="AS591" s="97"/>
      <c r="AT591" s="97"/>
      <c r="AU591" s="97"/>
      <c r="AV591" s="97"/>
      <c r="AW591" s="97"/>
      <c r="AX591" s="97"/>
    </row>
    <row r="592" ht="15.75" customHeight="1">
      <c r="A592" s="114" t="s">
        <v>541</v>
      </c>
      <c r="B592" s="165" t="s">
        <v>4658</v>
      </c>
      <c r="C592" s="76" t="s">
        <v>5669</v>
      </c>
      <c r="D592" s="76" t="s">
        <v>5670</v>
      </c>
      <c r="E592" s="117" t="s">
        <v>5671</v>
      </c>
      <c r="F592" s="76"/>
      <c r="G592" s="76"/>
      <c r="H592" s="76"/>
      <c r="I592" s="118"/>
      <c r="J592" s="120"/>
      <c r="K592" s="118"/>
      <c r="L592" s="118"/>
      <c r="M592" s="118"/>
      <c r="N592" s="118"/>
      <c r="O592" s="118"/>
      <c r="P592" s="118"/>
      <c r="Q592" s="118" t="s">
        <v>184</v>
      </c>
      <c r="R592" s="118"/>
      <c r="S592" s="118"/>
      <c r="T592" s="118"/>
      <c r="U592" s="118"/>
      <c r="V592" s="118"/>
      <c r="W592" s="118"/>
      <c r="X592" s="118"/>
      <c r="Y592" s="118"/>
      <c r="Z592" s="118"/>
      <c r="AA592" s="118"/>
      <c r="AB592" s="118"/>
      <c r="AC592" s="118"/>
      <c r="AD592" s="97"/>
      <c r="AE592" s="97"/>
      <c r="AF592" s="97"/>
      <c r="AG592" s="97"/>
      <c r="AH592" s="97"/>
      <c r="AI592" s="97"/>
      <c r="AJ592" s="97"/>
      <c r="AK592" s="97"/>
      <c r="AL592" s="97"/>
      <c r="AM592" s="97"/>
      <c r="AN592" s="97"/>
      <c r="AO592" s="97"/>
      <c r="AP592" s="97"/>
      <c r="AQ592" s="97"/>
      <c r="AR592" s="97"/>
      <c r="AS592" s="97"/>
      <c r="AT592" s="97"/>
      <c r="AU592" s="97"/>
      <c r="AV592" s="97"/>
      <c r="AW592" s="97"/>
      <c r="AX592" s="97"/>
    </row>
    <row r="593" ht="15.75" customHeight="1">
      <c r="A593" s="114" t="s">
        <v>4666</v>
      </c>
      <c r="B593" s="165" t="s">
        <v>4667</v>
      </c>
      <c r="C593" s="76" t="s">
        <v>5672</v>
      </c>
      <c r="D593" s="76" t="s">
        <v>5673</v>
      </c>
      <c r="E593" s="117" t="s">
        <v>5674</v>
      </c>
      <c r="F593" s="76" t="s">
        <v>1746</v>
      </c>
      <c r="G593" s="76" t="s">
        <v>4716</v>
      </c>
      <c r="H593" s="76" t="s">
        <v>1748</v>
      </c>
      <c r="I593" s="118"/>
      <c r="J593" s="120"/>
      <c r="K593" s="118"/>
      <c r="L593" s="118"/>
      <c r="M593" s="118"/>
      <c r="N593" s="118"/>
      <c r="O593" s="118" t="s">
        <v>5675</v>
      </c>
      <c r="P593" s="118"/>
      <c r="Q593" s="118" t="s">
        <v>184</v>
      </c>
      <c r="R593" s="118"/>
      <c r="S593" s="118"/>
      <c r="T593" s="118"/>
      <c r="U593" s="118"/>
      <c r="V593" s="118"/>
      <c r="W593" s="118"/>
      <c r="X593" s="118"/>
      <c r="Y593" s="118"/>
      <c r="Z593" s="118"/>
      <c r="AA593" s="118"/>
      <c r="AB593" s="118"/>
      <c r="AC593" s="118"/>
      <c r="AD593" s="97"/>
      <c r="AE593" s="97"/>
      <c r="AF593" s="97"/>
      <c r="AG593" s="97"/>
      <c r="AH593" s="97"/>
      <c r="AI593" s="97"/>
      <c r="AJ593" s="97"/>
      <c r="AK593" s="97"/>
      <c r="AL593" s="97"/>
      <c r="AM593" s="97"/>
      <c r="AN593" s="97"/>
      <c r="AO593" s="97"/>
      <c r="AP593" s="97"/>
      <c r="AQ593" s="97"/>
      <c r="AR593" s="97"/>
      <c r="AS593" s="97"/>
      <c r="AT593" s="97"/>
      <c r="AU593" s="97"/>
      <c r="AV593" s="97"/>
      <c r="AW593" s="97"/>
      <c r="AX593" s="97"/>
    </row>
    <row r="594" ht="15.75" customHeight="1">
      <c r="A594" s="162" t="s">
        <v>217</v>
      </c>
      <c r="B594" s="166" t="s">
        <v>4668</v>
      </c>
      <c r="C594" s="76" t="s">
        <v>5676</v>
      </c>
      <c r="D594" s="76" t="s">
        <v>5677</v>
      </c>
      <c r="E594" s="117" t="s">
        <v>5678</v>
      </c>
      <c r="F594" s="76"/>
      <c r="G594" s="76"/>
      <c r="H594" s="76"/>
      <c r="I594" s="182"/>
      <c r="J594" s="183"/>
      <c r="K594" s="182"/>
      <c r="L594" s="182"/>
      <c r="M594" s="182"/>
      <c r="N594" s="182"/>
      <c r="O594" s="182" t="s">
        <v>5679</v>
      </c>
      <c r="P594" s="182"/>
      <c r="Q594" s="182"/>
      <c r="R594" s="182"/>
      <c r="S594" s="182"/>
      <c r="T594" s="182"/>
      <c r="U594" s="182"/>
      <c r="V594" s="182"/>
      <c r="W594" s="182"/>
      <c r="X594" s="182"/>
      <c r="Y594" s="182"/>
      <c r="Z594" s="182"/>
      <c r="AA594" s="182"/>
      <c r="AB594" s="182"/>
      <c r="AC594" s="182"/>
      <c r="AD594" s="97"/>
      <c r="AE594" s="97"/>
      <c r="AF594" s="97"/>
      <c r="AG594" s="97"/>
      <c r="AH594" s="97"/>
      <c r="AI594" s="97"/>
      <c r="AJ594" s="97"/>
      <c r="AK594" s="97"/>
      <c r="AL594" s="97"/>
      <c r="AM594" s="97"/>
      <c r="AN594" s="97"/>
      <c r="AO594" s="97"/>
      <c r="AP594" s="97"/>
      <c r="AQ594" s="97"/>
      <c r="AR594" s="97"/>
      <c r="AS594" s="97"/>
      <c r="AT594" s="97"/>
      <c r="AU594" s="97"/>
      <c r="AV594" s="97"/>
      <c r="AW594" s="97"/>
      <c r="AX594" s="97"/>
    </row>
    <row r="595" ht="15.75" customHeight="1">
      <c r="A595" s="131" t="s">
        <v>115</v>
      </c>
      <c r="B595" s="132" t="s">
        <v>4669</v>
      </c>
      <c r="C595" s="133"/>
      <c r="D595" s="133"/>
      <c r="E595" s="133"/>
      <c r="F595" s="134"/>
      <c r="G595" s="134"/>
      <c r="H595" s="134"/>
      <c r="I595" s="134"/>
      <c r="J595" s="134"/>
      <c r="K595" s="134"/>
      <c r="L595" s="134"/>
      <c r="M595" s="134"/>
      <c r="N595" s="134"/>
      <c r="O595" s="134"/>
      <c r="P595" s="134"/>
      <c r="Q595" s="134"/>
      <c r="R595" s="134"/>
      <c r="S595" s="134"/>
      <c r="T595" s="149" t="s">
        <v>5680</v>
      </c>
      <c r="U595" s="134"/>
      <c r="V595" s="134"/>
      <c r="W595" s="134"/>
      <c r="X595" s="134"/>
      <c r="Y595" s="134"/>
      <c r="Z595" s="134"/>
      <c r="AA595" s="134"/>
      <c r="AB595" s="134"/>
      <c r="AC595" s="134"/>
      <c r="AD595" s="97"/>
      <c r="AE595" s="97"/>
      <c r="AF595" s="97"/>
      <c r="AG595" s="97"/>
      <c r="AH595" s="97"/>
      <c r="AI595" s="97"/>
      <c r="AJ595" s="97"/>
      <c r="AK595" s="97"/>
      <c r="AL595" s="97"/>
      <c r="AM595" s="97"/>
      <c r="AN595" s="97"/>
      <c r="AO595" s="97"/>
      <c r="AP595" s="97"/>
      <c r="AQ595" s="97"/>
      <c r="AR595" s="97"/>
      <c r="AS595" s="97"/>
      <c r="AT595" s="97"/>
      <c r="AU595" s="97"/>
      <c r="AV595" s="97"/>
      <c r="AW595" s="97"/>
      <c r="AX595" s="97"/>
    </row>
    <row r="596" ht="15.75" customHeight="1">
      <c r="A596" s="114" t="s">
        <v>541</v>
      </c>
      <c r="B596" s="165" t="s">
        <v>4670</v>
      </c>
      <c r="C596" s="76" t="s">
        <v>5681</v>
      </c>
      <c r="D596" s="76" t="s">
        <v>5682</v>
      </c>
      <c r="E596" s="117" t="s">
        <v>5683</v>
      </c>
      <c r="F596" s="76"/>
      <c r="G596" s="76"/>
      <c r="H596" s="76"/>
      <c r="I596" s="118"/>
      <c r="J596" s="120"/>
      <c r="K596" s="118"/>
      <c r="L596" s="118"/>
      <c r="M596" s="118"/>
      <c r="N596" s="118"/>
      <c r="O596" s="118" t="s">
        <v>5675</v>
      </c>
      <c r="P596" s="118"/>
      <c r="Q596" s="118" t="s">
        <v>184</v>
      </c>
      <c r="R596" s="118"/>
      <c r="S596" s="118"/>
      <c r="T596" s="118"/>
      <c r="U596" s="118"/>
      <c r="V596" s="118"/>
      <c r="W596" s="118"/>
      <c r="X596" s="118"/>
      <c r="Y596" s="118"/>
      <c r="Z596" s="118"/>
      <c r="AA596" s="118"/>
      <c r="AB596" s="118"/>
      <c r="AC596" s="118"/>
      <c r="AD596" s="97"/>
      <c r="AE596" s="97"/>
      <c r="AF596" s="97"/>
      <c r="AG596" s="97"/>
      <c r="AH596" s="97"/>
      <c r="AI596" s="97"/>
      <c r="AJ596" s="97"/>
      <c r="AK596" s="97"/>
      <c r="AL596" s="97"/>
      <c r="AM596" s="97"/>
      <c r="AN596" s="97"/>
      <c r="AO596" s="97"/>
      <c r="AP596" s="97"/>
      <c r="AQ596" s="97"/>
      <c r="AR596" s="97"/>
      <c r="AS596" s="97"/>
      <c r="AT596" s="97"/>
      <c r="AU596" s="97"/>
      <c r="AV596" s="97"/>
      <c r="AW596" s="97"/>
      <c r="AX596" s="97"/>
    </row>
    <row r="597" ht="15.75" customHeight="1">
      <c r="A597" s="170" t="s">
        <v>238</v>
      </c>
      <c r="B597" s="171" t="s">
        <v>4679</v>
      </c>
      <c r="C597" s="76" t="s">
        <v>5684</v>
      </c>
      <c r="D597" s="76" t="s">
        <v>5685</v>
      </c>
      <c r="E597" s="117" t="s">
        <v>5686</v>
      </c>
      <c r="F597" s="76"/>
      <c r="G597" s="76"/>
      <c r="H597" s="76"/>
      <c r="I597" s="209"/>
      <c r="J597" s="209"/>
      <c r="K597" s="210"/>
      <c r="L597" s="210"/>
      <c r="M597" s="209"/>
      <c r="N597" s="209"/>
      <c r="O597" s="209" t="s">
        <v>5675</v>
      </c>
      <c r="P597" s="209"/>
      <c r="Q597" s="209" t="s">
        <v>184</v>
      </c>
      <c r="R597" s="209"/>
      <c r="S597" s="209"/>
      <c r="T597" s="209"/>
      <c r="U597" s="209"/>
      <c r="V597" s="209"/>
      <c r="W597" s="209"/>
      <c r="X597" s="209"/>
      <c r="Y597" s="209"/>
      <c r="Z597" s="209"/>
      <c r="AA597" s="209"/>
      <c r="AB597" s="209"/>
      <c r="AC597" s="209"/>
      <c r="AD597" s="97"/>
      <c r="AE597" s="97"/>
      <c r="AF597" s="97"/>
      <c r="AG597" s="97"/>
      <c r="AH597" s="97"/>
      <c r="AI597" s="97"/>
      <c r="AJ597" s="97"/>
      <c r="AK597" s="97"/>
      <c r="AL597" s="97"/>
      <c r="AM597" s="97"/>
      <c r="AN597" s="97"/>
      <c r="AO597" s="97"/>
      <c r="AP597" s="97"/>
      <c r="AQ597" s="97"/>
      <c r="AR597" s="97"/>
      <c r="AS597" s="97"/>
      <c r="AT597" s="97"/>
      <c r="AU597" s="97"/>
      <c r="AV597" s="97"/>
      <c r="AW597" s="97"/>
      <c r="AX597" s="97"/>
    </row>
    <row r="598" ht="15.75" customHeight="1">
      <c r="A598" s="170" t="s">
        <v>238</v>
      </c>
      <c r="B598" s="171" t="s">
        <v>4682</v>
      </c>
      <c r="C598" s="76" t="s">
        <v>5687</v>
      </c>
      <c r="D598" s="76" t="s">
        <v>5688</v>
      </c>
      <c r="E598" s="117" t="s">
        <v>5689</v>
      </c>
      <c r="F598" s="76"/>
      <c r="G598" s="76"/>
      <c r="H598" s="76"/>
      <c r="I598" s="209"/>
      <c r="J598" s="209"/>
      <c r="K598" s="210"/>
      <c r="L598" s="210"/>
      <c r="M598" s="209"/>
      <c r="N598" s="209"/>
      <c r="O598" s="209" t="s">
        <v>5690</v>
      </c>
      <c r="P598" s="209"/>
      <c r="Q598" s="209" t="s">
        <v>184</v>
      </c>
      <c r="R598" s="209"/>
      <c r="S598" s="209"/>
      <c r="T598" s="209"/>
      <c r="U598" s="209"/>
      <c r="V598" s="209"/>
      <c r="W598" s="209"/>
      <c r="X598" s="209"/>
      <c r="Y598" s="209"/>
      <c r="Z598" s="209"/>
      <c r="AA598" s="209"/>
      <c r="AB598" s="209"/>
      <c r="AC598" s="209"/>
      <c r="AD598" s="97"/>
      <c r="AE598" s="97"/>
      <c r="AF598" s="97"/>
      <c r="AG598" s="97"/>
      <c r="AH598" s="97"/>
      <c r="AI598" s="97"/>
      <c r="AJ598" s="97"/>
      <c r="AK598" s="97"/>
      <c r="AL598" s="97"/>
      <c r="AM598" s="97"/>
      <c r="AN598" s="97"/>
      <c r="AO598" s="97"/>
      <c r="AP598" s="97"/>
      <c r="AQ598" s="97"/>
      <c r="AR598" s="97"/>
      <c r="AS598" s="97"/>
      <c r="AT598" s="97"/>
      <c r="AU598" s="97"/>
      <c r="AV598" s="97"/>
      <c r="AW598" s="97"/>
      <c r="AX598" s="97"/>
    </row>
    <row r="599">
      <c r="A599" s="270"/>
      <c r="B599" s="270"/>
      <c r="C599" s="141"/>
      <c r="D599" s="141"/>
      <c r="E599" s="261"/>
      <c r="F599" s="270"/>
      <c r="G599" s="270"/>
      <c r="H599" s="270"/>
      <c r="I599" s="270"/>
      <c r="J599" s="270"/>
      <c r="K599" s="270"/>
      <c r="L599" s="270"/>
      <c r="M599" s="270"/>
      <c r="N599" s="270"/>
      <c r="O599" s="270"/>
      <c r="P599" s="270"/>
      <c r="Q599" s="270"/>
      <c r="R599" s="270"/>
      <c r="S599" s="270"/>
      <c r="T599" s="301"/>
      <c r="U599" s="270"/>
      <c r="V599" s="270"/>
      <c r="W599" s="270"/>
      <c r="X599" s="270"/>
      <c r="Y599" s="270"/>
      <c r="Z599" s="270"/>
      <c r="AA599" s="270"/>
      <c r="AB599" s="270"/>
      <c r="AC599" s="270"/>
      <c r="AD599" s="270"/>
      <c r="AE599" s="270"/>
      <c r="AF599" s="270"/>
      <c r="AG599" s="270"/>
      <c r="AH599" s="270"/>
      <c r="AI599" s="270"/>
      <c r="AJ599" s="270"/>
      <c r="AK599" s="270"/>
      <c r="AL599" s="270"/>
      <c r="AM599" s="270"/>
      <c r="AN599" s="270"/>
      <c r="AO599" s="270"/>
      <c r="AP599" s="270"/>
      <c r="AQ599" s="270"/>
      <c r="AR599" s="270"/>
      <c r="AS599" s="270"/>
      <c r="AT599" s="270"/>
      <c r="AU599" s="270"/>
      <c r="AV599" s="270"/>
      <c r="AW599" s="270"/>
      <c r="AX599" s="270"/>
    </row>
    <row r="600" ht="15.75" customHeight="1">
      <c r="A600" s="167" t="s">
        <v>807</v>
      </c>
      <c r="B600" s="168" t="s">
        <v>4689</v>
      </c>
      <c r="C600" s="168" t="s">
        <v>4690</v>
      </c>
      <c r="D600" s="169"/>
      <c r="E600" s="169"/>
      <c r="F600" s="205"/>
      <c r="G600" s="205"/>
      <c r="H600" s="205"/>
      <c r="I600" s="205"/>
      <c r="J600" s="205"/>
      <c r="K600" s="205"/>
      <c r="L600" s="205"/>
      <c r="M600" s="207"/>
      <c r="N600" s="207"/>
      <c r="O600" s="207"/>
      <c r="P600" s="205"/>
      <c r="Q600" s="205"/>
      <c r="R600" s="205"/>
      <c r="S600" s="205"/>
      <c r="T600" s="205"/>
      <c r="U600" s="207" t="s">
        <v>5691</v>
      </c>
      <c r="V600" s="205"/>
      <c r="W600" s="205"/>
      <c r="X600" s="205"/>
      <c r="Y600" s="205"/>
      <c r="Z600" s="205"/>
      <c r="AA600" s="205"/>
      <c r="AB600" s="205"/>
      <c r="AC600" s="205"/>
      <c r="AD600" s="97"/>
      <c r="AE600" s="97"/>
      <c r="AF600" s="97"/>
      <c r="AG600" s="97"/>
      <c r="AH600" s="97"/>
      <c r="AI600" s="97"/>
      <c r="AJ600" s="97"/>
      <c r="AK600" s="97"/>
      <c r="AL600" s="97"/>
      <c r="AM600" s="97"/>
      <c r="AN600" s="97"/>
      <c r="AO600" s="97"/>
      <c r="AP600" s="97"/>
      <c r="AQ600" s="97"/>
      <c r="AR600" s="97"/>
      <c r="AS600" s="97"/>
      <c r="AT600" s="97"/>
      <c r="AU600" s="97"/>
      <c r="AV600" s="97"/>
      <c r="AW600" s="97"/>
      <c r="AX600" s="97"/>
    </row>
    <row r="601" ht="15.75" customHeight="1">
      <c r="A601" s="131" t="s">
        <v>115</v>
      </c>
      <c r="B601" s="132" t="s">
        <v>4691</v>
      </c>
      <c r="C601" s="133"/>
      <c r="D601" s="133"/>
      <c r="E601" s="133"/>
      <c r="F601" s="134"/>
      <c r="G601" s="134"/>
      <c r="H601" s="134"/>
      <c r="I601" s="134"/>
      <c r="J601" s="134"/>
      <c r="K601" s="134"/>
      <c r="L601" s="134"/>
      <c r="M601" s="134"/>
      <c r="N601" s="134"/>
      <c r="O601" s="134"/>
      <c r="P601" s="134"/>
      <c r="Q601" s="134"/>
      <c r="R601" s="134"/>
      <c r="S601" s="134"/>
      <c r="T601" s="149" t="s">
        <v>5692</v>
      </c>
      <c r="U601" s="134"/>
      <c r="V601" s="134"/>
      <c r="W601" s="134"/>
      <c r="X601" s="134"/>
      <c r="Y601" s="134"/>
      <c r="Z601" s="134"/>
      <c r="AA601" s="134"/>
      <c r="AB601" s="134"/>
      <c r="AC601" s="134"/>
      <c r="AD601" s="97"/>
      <c r="AE601" s="97"/>
      <c r="AF601" s="97"/>
      <c r="AG601" s="97"/>
      <c r="AH601" s="97"/>
      <c r="AI601" s="97"/>
      <c r="AJ601" s="97"/>
      <c r="AK601" s="97"/>
      <c r="AL601" s="97"/>
      <c r="AM601" s="97"/>
      <c r="AN601" s="97"/>
      <c r="AO601" s="97"/>
      <c r="AP601" s="97"/>
      <c r="AQ601" s="97"/>
      <c r="AR601" s="97"/>
      <c r="AS601" s="97"/>
      <c r="AT601" s="97"/>
      <c r="AU601" s="97"/>
      <c r="AV601" s="97"/>
      <c r="AW601" s="97"/>
      <c r="AX601" s="97"/>
    </row>
    <row r="602" ht="15.75" customHeight="1">
      <c r="A602" s="131" t="s">
        <v>115</v>
      </c>
      <c r="B602" s="132" t="s">
        <v>4693</v>
      </c>
      <c r="C602" s="133"/>
      <c r="D602" s="133"/>
      <c r="E602" s="133"/>
      <c r="F602" s="134"/>
      <c r="G602" s="134"/>
      <c r="H602" s="134"/>
      <c r="I602" s="134"/>
      <c r="J602" s="134"/>
      <c r="K602" s="134"/>
      <c r="L602" s="134"/>
      <c r="M602" s="134"/>
      <c r="N602" s="134"/>
      <c r="O602" s="134"/>
      <c r="P602" s="134"/>
      <c r="Q602" s="134"/>
      <c r="R602" s="134"/>
      <c r="S602" s="134"/>
      <c r="T602" s="149" t="s">
        <v>5693</v>
      </c>
      <c r="U602" s="134"/>
      <c r="V602" s="134"/>
      <c r="W602" s="134"/>
      <c r="X602" s="134"/>
      <c r="Y602" s="134"/>
      <c r="Z602" s="134"/>
      <c r="AA602" s="134"/>
      <c r="AB602" s="134"/>
      <c r="AC602" s="134"/>
      <c r="AD602" s="97"/>
      <c r="AE602" s="97"/>
      <c r="AF602" s="97"/>
      <c r="AG602" s="97"/>
      <c r="AH602" s="97"/>
      <c r="AI602" s="97"/>
      <c r="AJ602" s="97"/>
      <c r="AK602" s="97"/>
      <c r="AL602" s="97"/>
      <c r="AM602" s="97"/>
      <c r="AN602" s="97"/>
      <c r="AO602" s="97"/>
      <c r="AP602" s="97"/>
      <c r="AQ602" s="97"/>
      <c r="AR602" s="97"/>
      <c r="AS602" s="97"/>
      <c r="AT602" s="97"/>
      <c r="AU602" s="97"/>
      <c r="AV602" s="97"/>
      <c r="AW602" s="97"/>
      <c r="AX602" s="97"/>
    </row>
    <row r="603" ht="15.75" customHeight="1">
      <c r="A603" s="131" t="s">
        <v>115</v>
      </c>
      <c r="B603" s="132" t="s">
        <v>4696</v>
      </c>
      <c r="C603" s="133"/>
      <c r="D603" s="133"/>
      <c r="E603" s="133"/>
      <c r="F603" s="134"/>
      <c r="G603" s="134"/>
      <c r="H603" s="134"/>
      <c r="I603" s="134"/>
      <c r="J603" s="134"/>
      <c r="K603" s="134"/>
      <c r="L603" s="134"/>
      <c r="M603" s="134"/>
      <c r="N603" s="134"/>
      <c r="O603" s="134"/>
      <c r="P603" s="134"/>
      <c r="Q603" s="134"/>
      <c r="R603" s="134"/>
      <c r="S603" s="134"/>
      <c r="T603" s="149" t="s">
        <v>5694</v>
      </c>
      <c r="U603" s="134"/>
      <c r="V603" s="134"/>
      <c r="W603" s="134"/>
      <c r="X603" s="134"/>
      <c r="Y603" s="134"/>
      <c r="Z603" s="134"/>
      <c r="AA603" s="134"/>
      <c r="AB603" s="134"/>
      <c r="AC603" s="134"/>
      <c r="AD603" s="97"/>
      <c r="AE603" s="97"/>
      <c r="AF603" s="97"/>
      <c r="AG603" s="97"/>
      <c r="AH603" s="97"/>
      <c r="AI603" s="97"/>
      <c r="AJ603" s="97"/>
      <c r="AK603" s="97"/>
      <c r="AL603" s="97"/>
      <c r="AM603" s="97"/>
      <c r="AN603" s="97"/>
      <c r="AO603" s="97"/>
      <c r="AP603" s="97"/>
      <c r="AQ603" s="97"/>
      <c r="AR603" s="97"/>
      <c r="AS603" s="97"/>
      <c r="AT603" s="97"/>
      <c r="AU603" s="97"/>
      <c r="AV603" s="97"/>
      <c r="AW603" s="97"/>
      <c r="AX603" s="97"/>
    </row>
    <row r="604" ht="15.75" customHeight="1">
      <c r="A604" s="170" t="s">
        <v>238</v>
      </c>
      <c r="B604" s="171" t="s">
        <v>4697</v>
      </c>
      <c r="C604" s="76" t="s">
        <v>5695</v>
      </c>
      <c r="D604" s="76" t="s">
        <v>5696</v>
      </c>
      <c r="E604" s="117" t="s">
        <v>5697</v>
      </c>
      <c r="F604" s="76"/>
      <c r="G604" s="76"/>
      <c r="H604" s="76"/>
      <c r="I604" s="209"/>
      <c r="J604" s="209"/>
      <c r="K604" s="210" t="s">
        <v>5629</v>
      </c>
      <c r="L604" s="210"/>
      <c r="M604" s="209"/>
      <c r="N604" s="209"/>
      <c r="O604" s="209" t="s">
        <v>5698</v>
      </c>
      <c r="P604" s="209"/>
      <c r="Q604" s="209" t="s">
        <v>184</v>
      </c>
      <c r="R604" s="209"/>
      <c r="S604" s="209"/>
      <c r="T604" s="209"/>
      <c r="U604" s="209"/>
      <c r="V604" s="209"/>
      <c r="W604" s="209"/>
      <c r="X604" s="209"/>
      <c r="Y604" s="209"/>
      <c r="Z604" s="209"/>
      <c r="AA604" s="209"/>
      <c r="AB604" s="209"/>
      <c r="AC604" s="209"/>
      <c r="AD604" s="97"/>
      <c r="AE604" s="97"/>
      <c r="AF604" s="97"/>
      <c r="AG604" s="97"/>
      <c r="AH604" s="97"/>
      <c r="AI604" s="97"/>
      <c r="AJ604" s="97"/>
      <c r="AK604" s="97"/>
      <c r="AL604" s="97"/>
      <c r="AM604" s="97"/>
      <c r="AN604" s="97"/>
      <c r="AO604" s="97"/>
      <c r="AP604" s="97"/>
      <c r="AQ604" s="97"/>
      <c r="AR604" s="97"/>
      <c r="AS604" s="97"/>
      <c r="AT604" s="97"/>
      <c r="AU604" s="97"/>
      <c r="AV604" s="97"/>
      <c r="AW604" s="97"/>
      <c r="AX604" s="97"/>
    </row>
    <row r="605" ht="15.75" customHeight="1">
      <c r="A605" s="167" t="s">
        <v>842</v>
      </c>
      <c r="B605" s="169" t="s">
        <v>4689</v>
      </c>
      <c r="C605" s="169" t="s">
        <v>4690</v>
      </c>
      <c r="D605" s="169"/>
      <c r="E605" s="169"/>
      <c r="F605" s="205"/>
      <c r="G605" s="205"/>
      <c r="H605" s="205"/>
      <c r="I605" s="205"/>
      <c r="J605" s="205"/>
      <c r="K605" s="205"/>
      <c r="L605" s="205"/>
      <c r="M605" s="205"/>
      <c r="N605" s="205"/>
      <c r="O605" s="205"/>
      <c r="P605" s="205"/>
      <c r="Q605" s="205"/>
      <c r="R605" s="205"/>
      <c r="S605" s="205"/>
      <c r="T605" s="205"/>
      <c r="U605" s="205"/>
      <c r="V605" s="205"/>
      <c r="W605" s="205"/>
      <c r="X605" s="205"/>
      <c r="Y605" s="205"/>
      <c r="Z605" s="205"/>
      <c r="AA605" s="205"/>
      <c r="AB605" s="205"/>
      <c r="AC605" s="205"/>
      <c r="AD605" s="97"/>
      <c r="AE605" s="97"/>
      <c r="AF605" s="97"/>
      <c r="AG605" s="97"/>
      <c r="AH605" s="97"/>
      <c r="AI605" s="97"/>
      <c r="AJ605" s="97"/>
      <c r="AK605" s="97"/>
      <c r="AL605" s="97"/>
      <c r="AM605" s="97"/>
      <c r="AN605" s="97"/>
      <c r="AO605" s="97"/>
      <c r="AP605" s="97"/>
      <c r="AQ605" s="97"/>
      <c r="AR605" s="97"/>
      <c r="AS605" s="97"/>
      <c r="AT605" s="97"/>
      <c r="AU605" s="97"/>
      <c r="AV605" s="97"/>
      <c r="AW605" s="97"/>
      <c r="AX605" s="97"/>
    </row>
    <row r="606" ht="15.75" customHeight="1">
      <c r="A606" s="131" t="s">
        <v>150</v>
      </c>
      <c r="B606" s="164" t="s">
        <v>4701</v>
      </c>
      <c r="C606" s="133"/>
      <c r="D606" s="133"/>
      <c r="E606" s="133"/>
      <c r="F606" s="134"/>
      <c r="G606" s="134"/>
      <c r="H606" s="134"/>
      <c r="I606" s="134"/>
      <c r="J606" s="134"/>
      <c r="K606" s="134"/>
      <c r="L606" s="134"/>
      <c r="M606" s="134"/>
      <c r="N606" s="134"/>
      <c r="O606" s="134"/>
      <c r="P606" s="134"/>
      <c r="Q606" s="134"/>
      <c r="R606" s="134"/>
      <c r="S606" s="134"/>
      <c r="T606" s="291" t="s">
        <v>156</v>
      </c>
      <c r="U606" s="134"/>
      <c r="V606" s="134"/>
      <c r="W606" s="134"/>
      <c r="X606" s="134"/>
      <c r="Y606" s="134"/>
      <c r="Z606" s="134"/>
      <c r="AA606" s="134"/>
      <c r="AB606" s="134"/>
      <c r="AC606" s="134"/>
      <c r="AD606" s="97"/>
      <c r="AE606" s="97"/>
      <c r="AF606" s="97"/>
      <c r="AG606" s="97"/>
      <c r="AH606" s="97"/>
      <c r="AI606" s="97"/>
      <c r="AJ606" s="97"/>
      <c r="AK606" s="97"/>
      <c r="AL606" s="97"/>
      <c r="AM606" s="97"/>
      <c r="AN606" s="97"/>
      <c r="AO606" s="97"/>
      <c r="AP606" s="97"/>
      <c r="AQ606" s="97"/>
      <c r="AR606" s="97"/>
      <c r="AS606" s="97"/>
      <c r="AT606" s="97"/>
      <c r="AU606" s="97"/>
      <c r="AV606" s="97"/>
      <c r="AW606" s="97"/>
      <c r="AX606" s="97"/>
    </row>
    <row r="607" ht="15.75" customHeight="1">
      <c r="A607" s="80" t="s">
        <v>115</v>
      </c>
      <c r="B607" s="81" t="s">
        <v>4703</v>
      </c>
      <c r="C607" s="82"/>
      <c r="D607" s="83"/>
      <c r="E607" s="83"/>
      <c r="F607" s="84"/>
      <c r="G607" s="84"/>
      <c r="H607" s="84"/>
      <c r="I607" s="86"/>
      <c r="J607" s="86"/>
      <c r="K607" s="84"/>
      <c r="L607" s="86"/>
      <c r="M607" s="86"/>
      <c r="N607" s="86"/>
      <c r="O607" s="86"/>
      <c r="P607" s="84"/>
      <c r="Q607" s="84"/>
      <c r="R607" s="84"/>
      <c r="S607" s="84"/>
      <c r="T607" s="80" t="s">
        <v>5699</v>
      </c>
      <c r="U607" s="84"/>
      <c r="V607" s="84"/>
      <c r="W607" s="84"/>
      <c r="X607" s="84"/>
      <c r="Y607" s="84"/>
      <c r="Z607" s="84"/>
      <c r="AA607" s="84"/>
      <c r="AB607" s="84"/>
      <c r="AC607" s="84"/>
      <c r="AD607" s="97"/>
      <c r="AE607" s="97"/>
      <c r="AF607" s="97"/>
      <c r="AG607" s="97"/>
      <c r="AH607" s="97"/>
      <c r="AI607" s="97"/>
      <c r="AJ607" s="97"/>
      <c r="AK607" s="97"/>
      <c r="AL607" s="97"/>
      <c r="AM607" s="97"/>
      <c r="AN607" s="97"/>
      <c r="AO607" s="97"/>
      <c r="AP607" s="97"/>
      <c r="AQ607" s="97"/>
      <c r="AR607" s="97"/>
      <c r="AS607" s="97"/>
      <c r="AT607" s="97"/>
      <c r="AU607" s="97"/>
      <c r="AV607" s="97"/>
      <c r="AW607" s="97"/>
      <c r="AX607" s="97"/>
    </row>
    <row r="608" ht="15.75" customHeight="1">
      <c r="A608" s="170" t="s">
        <v>238</v>
      </c>
      <c r="B608" s="171" t="s">
        <v>4706</v>
      </c>
      <c r="C608" s="76" t="s">
        <v>5700</v>
      </c>
      <c r="D608" s="76" t="s">
        <v>5701</v>
      </c>
      <c r="E608" s="117" t="s">
        <v>5702</v>
      </c>
      <c r="F608" s="76"/>
      <c r="G608" s="76"/>
      <c r="H608" s="76"/>
      <c r="I608" s="209"/>
      <c r="J608" s="209"/>
      <c r="K608" s="210"/>
      <c r="L608" s="210"/>
      <c r="M608" s="209"/>
      <c r="N608" s="209"/>
      <c r="O608" s="209" t="s">
        <v>5675</v>
      </c>
      <c r="P608" s="209"/>
      <c r="Q608" s="209" t="s">
        <v>184</v>
      </c>
      <c r="R608" s="209"/>
      <c r="S608" s="209"/>
      <c r="T608" s="209"/>
      <c r="U608" s="209"/>
      <c r="V608" s="209"/>
      <c r="W608" s="209"/>
      <c r="X608" s="209"/>
      <c r="Y608" s="209"/>
      <c r="Z608" s="209"/>
      <c r="AA608" s="209"/>
      <c r="AB608" s="209"/>
      <c r="AC608" s="209"/>
      <c r="AD608" s="97"/>
      <c r="AE608" s="97"/>
      <c r="AF608" s="97"/>
      <c r="AG608" s="97"/>
      <c r="AH608" s="97"/>
      <c r="AI608" s="97"/>
      <c r="AJ608" s="97"/>
      <c r="AK608" s="97"/>
      <c r="AL608" s="97"/>
      <c r="AM608" s="97"/>
      <c r="AN608" s="97"/>
      <c r="AO608" s="97"/>
      <c r="AP608" s="97"/>
      <c r="AQ608" s="97"/>
      <c r="AR608" s="97"/>
      <c r="AS608" s="97"/>
      <c r="AT608" s="97"/>
      <c r="AU608" s="97"/>
      <c r="AV608" s="97"/>
      <c r="AW608" s="97"/>
      <c r="AX608" s="97"/>
    </row>
    <row r="609" ht="15.75" customHeight="1">
      <c r="A609" s="170" t="s">
        <v>238</v>
      </c>
      <c r="B609" s="171" t="s">
        <v>4711</v>
      </c>
      <c r="C609" s="76" t="s">
        <v>5703</v>
      </c>
      <c r="D609" s="76" t="s">
        <v>5704</v>
      </c>
      <c r="E609" s="117" t="s">
        <v>5705</v>
      </c>
      <c r="F609" s="76"/>
      <c r="G609" s="76"/>
      <c r="H609" s="76"/>
      <c r="I609" s="209"/>
      <c r="J609" s="209"/>
      <c r="K609" s="210"/>
      <c r="L609" s="210"/>
      <c r="M609" s="209"/>
      <c r="N609" s="209"/>
      <c r="O609" s="209" t="s">
        <v>5675</v>
      </c>
      <c r="P609" s="209"/>
      <c r="Q609" s="209" t="s">
        <v>184</v>
      </c>
      <c r="R609" s="209"/>
      <c r="S609" s="209"/>
      <c r="T609" s="209"/>
      <c r="U609" s="209"/>
      <c r="V609" s="209"/>
      <c r="W609" s="209"/>
      <c r="X609" s="209"/>
      <c r="Y609" s="209"/>
      <c r="Z609" s="209"/>
      <c r="AA609" s="209"/>
      <c r="AB609" s="209"/>
      <c r="AC609" s="209"/>
      <c r="AD609" s="97"/>
      <c r="AE609" s="97"/>
      <c r="AF609" s="97"/>
      <c r="AG609" s="97"/>
      <c r="AH609" s="97"/>
      <c r="AI609" s="97"/>
      <c r="AJ609" s="97"/>
      <c r="AK609" s="97"/>
      <c r="AL609" s="97"/>
      <c r="AM609" s="97"/>
      <c r="AN609" s="97"/>
      <c r="AO609" s="97"/>
      <c r="AP609" s="97"/>
      <c r="AQ609" s="97"/>
      <c r="AR609" s="97"/>
      <c r="AS609" s="97"/>
      <c r="AT609" s="97"/>
      <c r="AU609" s="97"/>
      <c r="AV609" s="97"/>
      <c r="AW609" s="97"/>
      <c r="AX609" s="97"/>
    </row>
    <row r="610" ht="15.75" customHeight="1">
      <c r="A610" s="131" t="s">
        <v>115</v>
      </c>
      <c r="B610" s="132" t="s">
        <v>4719</v>
      </c>
      <c r="C610" s="133"/>
      <c r="D610" s="133"/>
      <c r="E610" s="133"/>
      <c r="F610" s="134"/>
      <c r="G610" s="134"/>
      <c r="H610" s="134"/>
      <c r="I610" s="134"/>
      <c r="J610" s="134"/>
      <c r="K610" s="134"/>
      <c r="L610" s="134"/>
      <c r="M610" s="134"/>
      <c r="N610" s="134"/>
      <c r="O610" s="134"/>
      <c r="P610" s="134"/>
      <c r="Q610" s="134"/>
      <c r="R610" s="134"/>
      <c r="S610" s="134"/>
      <c r="T610" s="149" t="s">
        <v>5706</v>
      </c>
      <c r="U610" s="134"/>
      <c r="V610" s="134"/>
      <c r="W610" s="134"/>
      <c r="X610" s="134"/>
      <c r="Y610" s="134"/>
      <c r="Z610" s="134"/>
      <c r="AA610" s="134"/>
      <c r="AB610" s="134"/>
      <c r="AC610" s="134"/>
      <c r="AD610" s="97"/>
      <c r="AE610" s="97"/>
      <c r="AF610" s="97"/>
      <c r="AG610" s="97"/>
      <c r="AH610" s="97"/>
      <c r="AI610" s="97"/>
      <c r="AJ610" s="97"/>
      <c r="AK610" s="97"/>
      <c r="AL610" s="97"/>
      <c r="AM610" s="97"/>
      <c r="AN610" s="97"/>
      <c r="AO610" s="97"/>
      <c r="AP610" s="97"/>
      <c r="AQ610" s="97"/>
      <c r="AR610" s="97"/>
      <c r="AS610" s="97"/>
      <c r="AT610" s="97"/>
      <c r="AU610" s="97"/>
      <c r="AV610" s="97"/>
      <c r="AW610" s="97"/>
      <c r="AX610" s="97"/>
    </row>
    <row r="611" ht="15.75" customHeight="1">
      <c r="A611" s="114" t="s">
        <v>541</v>
      </c>
      <c r="B611" s="165" t="s">
        <v>4720</v>
      </c>
      <c r="C611" s="76" t="s">
        <v>5707</v>
      </c>
      <c r="D611" s="76" t="s">
        <v>5708</v>
      </c>
      <c r="E611" s="117" t="s">
        <v>5709</v>
      </c>
      <c r="F611" s="76"/>
      <c r="G611" s="76"/>
      <c r="H611" s="76"/>
      <c r="I611" s="118"/>
      <c r="J611" s="120"/>
      <c r="K611" s="118"/>
      <c r="L611" s="118"/>
      <c r="M611" s="118"/>
      <c r="N611" s="118"/>
      <c r="O611" s="118" t="s">
        <v>5675</v>
      </c>
      <c r="P611" s="118"/>
      <c r="Q611" s="118" t="s">
        <v>184</v>
      </c>
      <c r="R611" s="118"/>
      <c r="S611" s="118"/>
      <c r="T611" s="118"/>
      <c r="U611" s="118"/>
      <c r="V611" s="118"/>
      <c r="W611" s="118"/>
      <c r="X611" s="118"/>
      <c r="Y611" s="118"/>
      <c r="Z611" s="118"/>
      <c r="AA611" s="118"/>
      <c r="AB611" s="118"/>
      <c r="AC611" s="118"/>
      <c r="AD611" s="97"/>
      <c r="AE611" s="97"/>
      <c r="AF611" s="97"/>
      <c r="AG611" s="97"/>
      <c r="AH611" s="97"/>
      <c r="AI611" s="97"/>
      <c r="AJ611" s="97"/>
      <c r="AK611" s="97"/>
      <c r="AL611" s="97"/>
      <c r="AM611" s="97"/>
      <c r="AN611" s="97"/>
      <c r="AO611" s="97"/>
      <c r="AP611" s="97"/>
      <c r="AQ611" s="97"/>
      <c r="AR611" s="97"/>
      <c r="AS611" s="97"/>
      <c r="AT611" s="97"/>
      <c r="AU611" s="97"/>
      <c r="AV611" s="97"/>
      <c r="AW611" s="97"/>
      <c r="AX611" s="97"/>
    </row>
    <row r="612" ht="15.75" customHeight="1">
      <c r="A612" s="152" t="s">
        <v>44</v>
      </c>
      <c r="B612" s="77" t="s">
        <v>4724</v>
      </c>
      <c r="C612" s="76" t="s">
        <v>5710</v>
      </c>
      <c r="D612" s="76" t="s">
        <v>5711</v>
      </c>
      <c r="E612" s="117" t="s">
        <v>5712</v>
      </c>
      <c r="F612" s="76"/>
      <c r="G612" s="76"/>
      <c r="H612" s="76"/>
      <c r="I612" s="176"/>
      <c r="J612" s="176"/>
      <c r="K612" s="176"/>
      <c r="L612" s="176"/>
      <c r="M612" s="176"/>
      <c r="N612" s="176"/>
      <c r="O612" s="176"/>
      <c r="P612" s="176"/>
      <c r="Q612" s="176"/>
      <c r="R612" s="176"/>
      <c r="S612" s="176"/>
      <c r="T612" s="176"/>
      <c r="U612" s="176"/>
      <c r="V612" s="176"/>
      <c r="W612" s="176"/>
      <c r="X612" s="176"/>
      <c r="Y612" s="176"/>
      <c r="Z612" s="176"/>
      <c r="AA612" s="176"/>
      <c r="AB612" s="176"/>
      <c r="AC612" s="176"/>
      <c r="AD612" s="97"/>
      <c r="AE612" s="97"/>
      <c r="AF612" s="97"/>
      <c r="AG612" s="97"/>
      <c r="AH612" s="97"/>
      <c r="AI612" s="97"/>
      <c r="AJ612" s="97"/>
      <c r="AK612" s="97"/>
      <c r="AL612" s="97"/>
      <c r="AM612" s="97"/>
      <c r="AN612" s="97"/>
      <c r="AO612" s="97"/>
      <c r="AP612" s="97"/>
      <c r="AQ612" s="97"/>
      <c r="AR612" s="97"/>
      <c r="AS612" s="97"/>
      <c r="AT612" s="97"/>
      <c r="AU612" s="97"/>
      <c r="AV612" s="97"/>
      <c r="AW612" s="97"/>
      <c r="AX612" s="97"/>
    </row>
    <row r="613" ht="15.75" customHeight="1">
      <c r="A613" s="131" t="s">
        <v>150</v>
      </c>
      <c r="B613" s="164" t="s">
        <v>4726</v>
      </c>
      <c r="C613" s="133"/>
      <c r="D613" s="133"/>
      <c r="E613" s="133"/>
      <c r="F613" s="134"/>
      <c r="G613" s="134"/>
      <c r="H613" s="134"/>
      <c r="I613" s="134"/>
      <c r="J613" s="134"/>
      <c r="K613" s="134"/>
      <c r="L613" s="134"/>
      <c r="M613" s="134"/>
      <c r="N613" s="134"/>
      <c r="O613" s="134"/>
      <c r="P613" s="134"/>
      <c r="Q613" s="134"/>
      <c r="R613" s="134"/>
      <c r="S613" s="134"/>
      <c r="T613" s="291" t="s">
        <v>156</v>
      </c>
      <c r="U613" s="134"/>
      <c r="V613" s="134"/>
      <c r="W613" s="134"/>
      <c r="X613" s="134"/>
      <c r="Y613" s="134"/>
      <c r="Z613" s="134"/>
      <c r="AA613" s="134"/>
      <c r="AB613" s="134"/>
      <c r="AC613" s="134"/>
      <c r="AD613" s="97"/>
      <c r="AE613" s="97"/>
      <c r="AF613" s="97"/>
      <c r="AG613" s="97"/>
      <c r="AH613" s="97"/>
      <c r="AI613" s="97"/>
      <c r="AJ613" s="97"/>
      <c r="AK613" s="97"/>
      <c r="AL613" s="97"/>
      <c r="AM613" s="97"/>
      <c r="AN613" s="97"/>
      <c r="AO613" s="97"/>
      <c r="AP613" s="97"/>
      <c r="AQ613" s="97"/>
      <c r="AR613" s="97"/>
      <c r="AS613" s="97"/>
      <c r="AT613" s="97"/>
      <c r="AU613" s="97"/>
      <c r="AV613" s="97"/>
      <c r="AW613" s="97"/>
      <c r="AX613" s="97"/>
    </row>
    <row r="614" ht="15.75" customHeight="1">
      <c r="A614" s="167" t="s">
        <v>807</v>
      </c>
      <c r="B614" s="168" t="s">
        <v>4727</v>
      </c>
      <c r="C614" s="168" t="s">
        <v>4728</v>
      </c>
      <c r="D614" s="169" t="s">
        <v>4729</v>
      </c>
      <c r="E614" s="169" t="s">
        <v>4730</v>
      </c>
      <c r="F614" s="205"/>
      <c r="G614" s="205"/>
      <c r="H614" s="205"/>
      <c r="I614" s="205"/>
      <c r="J614" s="205"/>
      <c r="K614" s="205"/>
      <c r="L614" s="205"/>
      <c r="M614" s="207"/>
      <c r="N614" s="207"/>
      <c r="O614" s="207"/>
      <c r="P614" s="205"/>
      <c r="Q614" s="205"/>
      <c r="R614" s="205"/>
      <c r="S614" s="205"/>
      <c r="T614" s="205"/>
      <c r="U614" s="207" t="s">
        <v>5519</v>
      </c>
      <c r="V614" s="205"/>
      <c r="W614" s="205"/>
      <c r="X614" s="205"/>
      <c r="Y614" s="205"/>
      <c r="Z614" s="205"/>
      <c r="AA614" s="205"/>
      <c r="AB614" s="205"/>
      <c r="AC614" s="205"/>
      <c r="AD614" s="97"/>
      <c r="AE614" s="97"/>
      <c r="AF614" s="97"/>
      <c r="AG614" s="97"/>
      <c r="AH614" s="97"/>
      <c r="AI614" s="97"/>
      <c r="AJ614" s="97"/>
      <c r="AK614" s="97"/>
      <c r="AL614" s="97"/>
      <c r="AM614" s="97"/>
      <c r="AN614" s="97"/>
      <c r="AO614" s="97"/>
      <c r="AP614" s="97"/>
      <c r="AQ614" s="97"/>
      <c r="AR614" s="97"/>
      <c r="AS614" s="97"/>
      <c r="AT614" s="97"/>
      <c r="AU614" s="97"/>
      <c r="AV614" s="97"/>
      <c r="AW614" s="97"/>
      <c r="AX614" s="97"/>
    </row>
    <row r="615" ht="15.75" customHeight="1">
      <c r="A615" s="131" t="s">
        <v>115</v>
      </c>
      <c r="B615" s="132" t="s">
        <v>4731</v>
      </c>
      <c r="C615" s="133"/>
      <c r="D615" s="133"/>
      <c r="E615" s="133"/>
      <c r="F615" s="134"/>
      <c r="G615" s="134"/>
      <c r="H615" s="134"/>
      <c r="I615" s="134"/>
      <c r="J615" s="134"/>
      <c r="K615" s="134"/>
      <c r="L615" s="134"/>
      <c r="M615" s="134"/>
      <c r="N615" s="134"/>
      <c r="O615" s="134"/>
      <c r="P615" s="134"/>
      <c r="Q615" s="134"/>
      <c r="R615" s="134"/>
      <c r="S615" s="134"/>
      <c r="T615" s="149" t="s">
        <v>5520</v>
      </c>
      <c r="U615" s="134"/>
      <c r="V615" s="134"/>
      <c r="W615" s="134"/>
      <c r="X615" s="134"/>
      <c r="Y615" s="134"/>
      <c r="Z615" s="134"/>
      <c r="AA615" s="134"/>
      <c r="AB615" s="134"/>
      <c r="AC615" s="134"/>
      <c r="AD615" s="97"/>
      <c r="AE615" s="97"/>
      <c r="AF615" s="97"/>
      <c r="AG615" s="97"/>
      <c r="AH615" s="97"/>
      <c r="AI615" s="97"/>
      <c r="AJ615" s="97"/>
      <c r="AK615" s="97"/>
      <c r="AL615" s="97"/>
      <c r="AM615" s="97"/>
      <c r="AN615" s="97"/>
      <c r="AO615" s="97"/>
      <c r="AP615" s="97"/>
      <c r="AQ615" s="97"/>
      <c r="AR615" s="97"/>
      <c r="AS615" s="97"/>
      <c r="AT615" s="97"/>
      <c r="AU615" s="97"/>
      <c r="AV615" s="97"/>
      <c r="AW615" s="97"/>
      <c r="AX615" s="97"/>
    </row>
    <row r="616" ht="15.75" customHeight="1">
      <c r="A616" s="131" t="s">
        <v>115</v>
      </c>
      <c r="B616" s="132" t="s">
        <v>4734</v>
      </c>
      <c r="C616" s="133"/>
      <c r="D616" s="133"/>
      <c r="E616" s="133"/>
      <c r="F616" s="134"/>
      <c r="G616" s="134"/>
      <c r="H616" s="134"/>
      <c r="I616" s="134"/>
      <c r="J616" s="134"/>
      <c r="K616" s="134"/>
      <c r="L616" s="134"/>
      <c r="M616" s="134"/>
      <c r="N616" s="134"/>
      <c r="O616" s="134"/>
      <c r="P616" s="134"/>
      <c r="Q616" s="134"/>
      <c r="R616" s="134"/>
      <c r="S616" s="134"/>
      <c r="T616" s="149" t="s">
        <v>5713</v>
      </c>
      <c r="U616" s="134"/>
      <c r="V616" s="134"/>
      <c r="W616" s="134"/>
      <c r="X616" s="134"/>
      <c r="Y616" s="134"/>
      <c r="Z616" s="134"/>
      <c r="AA616" s="134"/>
      <c r="AB616" s="134"/>
      <c r="AC616" s="134"/>
      <c r="AD616" s="97"/>
      <c r="AE616" s="97"/>
      <c r="AF616" s="97"/>
      <c r="AG616" s="97"/>
      <c r="AH616" s="97"/>
      <c r="AI616" s="97"/>
      <c r="AJ616" s="97"/>
      <c r="AK616" s="97"/>
      <c r="AL616" s="97"/>
      <c r="AM616" s="97"/>
      <c r="AN616" s="97"/>
      <c r="AO616" s="97"/>
      <c r="AP616" s="97"/>
      <c r="AQ616" s="97"/>
      <c r="AR616" s="97"/>
      <c r="AS616" s="97"/>
      <c r="AT616" s="97"/>
      <c r="AU616" s="97"/>
      <c r="AV616" s="97"/>
      <c r="AW616" s="97"/>
      <c r="AX616" s="97"/>
    </row>
    <row r="617" ht="15.75" customHeight="1">
      <c r="A617" s="114" t="s">
        <v>541</v>
      </c>
      <c r="B617" s="165" t="s">
        <v>4736</v>
      </c>
      <c r="C617" s="76" t="s">
        <v>5714</v>
      </c>
      <c r="D617" s="76" t="s">
        <v>5715</v>
      </c>
      <c r="E617" s="117" t="s">
        <v>5716</v>
      </c>
      <c r="F617" s="76"/>
      <c r="G617" s="76"/>
      <c r="H617" s="76"/>
      <c r="I617" s="118"/>
      <c r="J617" s="120"/>
      <c r="K617" s="118"/>
      <c r="L617" s="118"/>
      <c r="M617" s="118"/>
      <c r="N617" s="118"/>
      <c r="O617" s="118"/>
      <c r="P617" s="118"/>
      <c r="Q617" s="118" t="s">
        <v>184</v>
      </c>
      <c r="R617" s="118"/>
      <c r="S617" s="118"/>
      <c r="T617" s="118"/>
      <c r="U617" s="118"/>
      <c r="V617" s="118"/>
      <c r="W617" s="118"/>
      <c r="X617" s="118"/>
      <c r="Y617" s="118"/>
      <c r="Z617" s="118"/>
      <c r="AA617" s="118"/>
      <c r="AB617" s="118"/>
      <c r="AC617" s="118"/>
      <c r="AD617" s="97"/>
      <c r="AE617" s="97"/>
      <c r="AF617" s="97"/>
      <c r="AG617" s="97"/>
      <c r="AH617" s="97"/>
      <c r="AI617" s="97"/>
      <c r="AJ617" s="97"/>
      <c r="AK617" s="97"/>
      <c r="AL617" s="97"/>
      <c r="AM617" s="97"/>
      <c r="AN617" s="97"/>
      <c r="AO617" s="97"/>
      <c r="AP617" s="97"/>
      <c r="AQ617" s="97"/>
      <c r="AR617" s="97"/>
      <c r="AS617" s="97"/>
      <c r="AT617" s="97"/>
      <c r="AU617" s="97"/>
      <c r="AV617" s="97"/>
      <c r="AW617" s="97"/>
      <c r="AX617" s="97"/>
    </row>
    <row r="618" ht="15.75" customHeight="1">
      <c r="A618" s="114" t="s">
        <v>4666</v>
      </c>
      <c r="B618" s="165" t="s">
        <v>4742</v>
      </c>
      <c r="C618" s="76" t="s">
        <v>5717</v>
      </c>
      <c r="D618" s="76" t="s">
        <v>5718</v>
      </c>
      <c r="E618" s="117" t="s">
        <v>5719</v>
      </c>
      <c r="F618" s="76"/>
      <c r="G618" s="76"/>
      <c r="H618" s="76"/>
      <c r="I618" s="118"/>
      <c r="J618" s="120"/>
      <c r="K618" s="118"/>
      <c r="L618" s="118"/>
      <c r="M618" s="118"/>
      <c r="N618" s="118"/>
      <c r="O618" s="118" t="s">
        <v>5720</v>
      </c>
      <c r="P618" s="118"/>
      <c r="Q618" s="118" t="s">
        <v>184</v>
      </c>
      <c r="R618" s="118"/>
      <c r="S618" s="118"/>
      <c r="T618" s="118"/>
      <c r="U618" s="118"/>
      <c r="V618" s="118"/>
      <c r="W618" s="118"/>
      <c r="X618" s="118"/>
      <c r="Y618" s="118"/>
      <c r="Z618" s="118"/>
      <c r="AA618" s="118"/>
      <c r="AB618" s="118"/>
      <c r="AC618" s="118"/>
      <c r="AD618" s="97"/>
      <c r="AE618" s="97"/>
      <c r="AF618" s="97"/>
      <c r="AG618" s="97"/>
      <c r="AH618" s="97"/>
      <c r="AI618" s="97"/>
      <c r="AJ618" s="97"/>
      <c r="AK618" s="97"/>
      <c r="AL618" s="97"/>
      <c r="AM618" s="97"/>
      <c r="AN618" s="97"/>
      <c r="AO618" s="97"/>
      <c r="AP618" s="97"/>
      <c r="AQ618" s="97"/>
      <c r="AR618" s="97"/>
      <c r="AS618" s="97"/>
      <c r="AT618" s="97"/>
      <c r="AU618" s="97"/>
      <c r="AV618" s="97"/>
      <c r="AW618" s="97"/>
      <c r="AX618" s="97"/>
    </row>
    <row r="619" ht="15.75" customHeight="1">
      <c r="A619" s="162" t="s">
        <v>217</v>
      </c>
      <c r="B619" s="166" t="s">
        <v>4746</v>
      </c>
      <c r="C619" s="76" t="s">
        <v>5721</v>
      </c>
      <c r="D619" s="76" t="s">
        <v>5722</v>
      </c>
      <c r="E619" s="117" t="s">
        <v>5723</v>
      </c>
      <c r="F619" s="76"/>
      <c r="G619" s="76"/>
      <c r="H619" s="76"/>
      <c r="I619" s="182"/>
      <c r="J619" s="183"/>
      <c r="K619" s="182"/>
      <c r="L619" s="182"/>
      <c r="M619" s="182"/>
      <c r="N619" s="182"/>
      <c r="O619" s="182" t="s">
        <v>5724</v>
      </c>
      <c r="P619" s="182"/>
      <c r="Q619" s="182" t="s">
        <v>184</v>
      </c>
      <c r="R619" s="182"/>
      <c r="S619" s="182"/>
      <c r="T619" s="182"/>
      <c r="U619" s="182"/>
      <c r="V619" s="182"/>
      <c r="W619" s="182"/>
      <c r="X619" s="182"/>
      <c r="Y619" s="182"/>
      <c r="Z619" s="182"/>
      <c r="AA619" s="182"/>
      <c r="AB619" s="182"/>
      <c r="AC619" s="182"/>
      <c r="AD619" s="97"/>
      <c r="AE619" s="97"/>
      <c r="AF619" s="97"/>
      <c r="AG619" s="97"/>
      <c r="AH619" s="97"/>
      <c r="AI619" s="97"/>
      <c r="AJ619" s="97"/>
      <c r="AK619" s="97"/>
      <c r="AL619" s="97"/>
      <c r="AM619" s="97"/>
      <c r="AN619" s="97"/>
      <c r="AO619" s="97"/>
      <c r="AP619" s="97"/>
      <c r="AQ619" s="97"/>
      <c r="AR619" s="97"/>
      <c r="AS619" s="97"/>
      <c r="AT619" s="97"/>
      <c r="AU619" s="97"/>
      <c r="AV619" s="97"/>
      <c r="AW619" s="97"/>
      <c r="AX619" s="97"/>
    </row>
    <row r="620" ht="15.75" customHeight="1">
      <c r="A620" s="131" t="s">
        <v>115</v>
      </c>
      <c r="B620" s="132" t="s">
        <v>4750</v>
      </c>
      <c r="C620" s="133"/>
      <c r="D620" s="133"/>
      <c r="E620" s="133"/>
      <c r="F620" s="134"/>
      <c r="G620" s="134"/>
      <c r="H620" s="134"/>
      <c r="I620" s="134"/>
      <c r="J620" s="134"/>
      <c r="K620" s="134"/>
      <c r="L620" s="134"/>
      <c r="M620" s="134"/>
      <c r="N620" s="134"/>
      <c r="O620" s="134"/>
      <c r="P620" s="134"/>
      <c r="Q620" s="134"/>
      <c r="R620" s="134"/>
      <c r="S620" s="134"/>
      <c r="T620" s="149" t="s">
        <v>5725</v>
      </c>
      <c r="U620" s="134"/>
      <c r="V620" s="134"/>
      <c r="W620" s="134"/>
      <c r="X620" s="134"/>
      <c r="Y620" s="134"/>
      <c r="Z620" s="134"/>
      <c r="AA620" s="134"/>
      <c r="AB620" s="134"/>
      <c r="AC620" s="134"/>
      <c r="AD620" s="97"/>
      <c r="AE620" s="97"/>
      <c r="AF620" s="97"/>
      <c r="AG620" s="97"/>
      <c r="AH620" s="97"/>
      <c r="AI620" s="97"/>
      <c r="AJ620" s="97"/>
      <c r="AK620" s="97"/>
      <c r="AL620" s="97"/>
      <c r="AM620" s="97"/>
      <c r="AN620" s="97"/>
      <c r="AO620" s="97"/>
      <c r="AP620" s="97"/>
      <c r="AQ620" s="97"/>
      <c r="AR620" s="97"/>
      <c r="AS620" s="97"/>
      <c r="AT620" s="97"/>
      <c r="AU620" s="97"/>
      <c r="AV620" s="97"/>
      <c r="AW620" s="97"/>
      <c r="AX620" s="97"/>
    </row>
    <row r="621" ht="15.75" customHeight="1">
      <c r="A621" s="170" t="s">
        <v>238</v>
      </c>
      <c r="B621" s="171" t="s">
        <v>4751</v>
      </c>
      <c r="C621" s="76" t="s">
        <v>5726</v>
      </c>
      <c r="D621" s="76" t="s">
        <v>5727</v>
      </c>
      <c r="E621" s="117" t="s">
        <v>5728</v>
      </c>
      <c r="F621" s="76"/>
      <c r="G621" s="76"/>
      <c r="H621" s="76"/>
      <c r="I621" s="209"/>
      <c r="J621" s="209"/>
      <c r="K621" s="210"/>
      <c r="L621" s="210"/>
      <c r="M621" s="209"/>
      <c r="N621" s="209"/>
      <c r="O621" s="209" t="s">
        <v>5720</v>
      </c>
      <c r="P621" s="209"/>
      <c r="Q621" s="209" t="s">
        <v>184</v>
      </c>
      <c r="R621" s="209"/>
      <c r="S621" s="209"/>
      <c r="T621" s="209"/>
      <c r="U621" s="209"/>
      <c r="V621" s="209"/>
      <c r="W621" s="209"/>
      <c r="X621" s="209"/>
      <c r="Y621" s="209"/>
      <c r="Z621" s="209"/>
      <c r="AA621" s="209"/>
      <c r="AB621" s="209"/>
      <c r="AC621" s="209"/>
      <c r="AD621" s="97"/>
      <c r="AE621" s="97"/>
      <c r="AF621" s="97"/>
      <c r="AG621" s="97"/>
      <c r="AH621" s="97"/>
      <c r="AI621" s="97"/>
      <c r="AJ621" s="97"/>
      <c r="AK621" s="97"/>
      <c r="AL621" s="97"/>
      <c r="AM621" s="97"/>
      <c r="AN621" s="97"/>
      <c r="AO621" s="97"/>
      <c r="AP621" s="97"/>
      <c r="AQ621" s="97"/>
      <c r="AR621" s="97"/>
      <c r="AS621" s="97"/>
      <c r="AT621" s="97"/>
      <c r="AU621" s="97"/>
      <c r="AV621" s="97"/>
      <c r="AW621" s="97"/>
      <c r="AX621" s="97"/>
    </row>
    <row r="622" ht="15.75" customHeight="1">
      <c r="A622" s="170" t="s">
        <v>238</v>
      </c>
      <c r="B622" s="171" t="s">
        <v>4755</v>
      </c>
      <c r="C622" s="76" t="s">
        <v>5729</v>
      </c>
      <c r="D622" s="76" t="s">
        <v>5730</v>
      </c>
      <c r="E622" s="117" t="s">
        <v>5731</v>
      </c>
      <c r="F622" s="76"/>
      <c r="G622" s="76"/>
      <c r="H622" s="76"/>
      <c r="I622" s="209"/>
      <c r="J622" s="209"/>
      <c r="K622" s="210" t="s">
        <v>5636</v>
      </c>
      <c r="L622" s="210"/>
      <c r="M622" s="209"/>
      <c r="N622" s="209"/>
      <c r="O622" s="209" t="s">
        <v>5720</v>
      </c>
      <c r="P622" s="209"/>
      <c r="Q622" s="209" t="s">
        <v>184</v>
      </c>
      <c r="R622" s="209"/>
      <c r="S622" s="209"/>
      <c r="T622" s="209"/>
      <c r="U622" s="209"/>
      <c r="V622" s="209"/>
      <c r="W622" s="209"/>
      <c r="X622" s="209"/>
      <c r="Y622" s="209"/>
      <c r="Z622" s="209"/>
      <c r="AA622" s="209"/>
      <c r="AB622" s="209"/>
      <c r="AC622" s="209"/>
      <c r="AD622" s="97"/>
      <c r="AE622" s="97"/>
      <c r="AF622" s="97"/>
      <c r="AG622" s="97"/>
      <c r="AH622" s="97"/>
      <c r="AI622" s="97"/>
      <c r="AJ622" s="97"/>
      <c r="AK622" s="97"/>
      <c r="AL622" s="97"/>
      <c r="AM622" s="97"/>
      <c r="AN622" s="97"/>
      <c r="AO622" s="97"/>
      <c r="AP622" s="97"/>
      <c r="AQ622" s="97"/>
      <c r="AR622" s="97"/>
      <c r="AS622" s="97"/>
      <c r="AT622" s="97"/>
      <c r="AU622" s="97"/>
      <c r="AV622" s="97"/>
      <c r="AW622" s="97"/>
      <c r="AX622" s="97"/>
    </row>
    <row r="623" ht="15.75" customHeight="1">
      <c r="A623" s="170" t="s">
        <v>238</v>
      </c>
      <c r="B623" s="171" t="s">
        <v>4763</v>
      </c>
      <c r="C623" s="76" t="s">
        <v>5732</v>
      </c>
      <c r="D623" s="76" t="s">
        <v>5733</v>
      </c>
      <c r="E623" s="117" t="s">
        <v>5734</v>
      </c>
      <c r="F623" s="76"/>
      <c r="G623" s="76"/>
      <c r="H623" s="76"/>
      <c r="I623" s="209"/>
      <c r="J623" s="209"/>
      <c r="K623" s="210"/>
      <c r="L623" s="210"/>
      <c r="M623" s="209"/>
      <c r="N623" s="209"/>
      <c r="O623" s="209"/>
      <c r="P623" s="209"/>
      <c r="Q623" s="209" t="s">
        <v>184</v>
      </c>
      <c r="R623" s="209"/>
      <c r="S623" s="209"/>
      <c r="T623" s="209"/>
      <c r="U623" s="209"/>
      <c r="V623" s="209"/>
      <c r="W623" s="209"/>
      <c r="X623" s="209"/>
      <c r="Y623" s="209"/>
      <c r="Z623" s="209"/>
      <c r="AA623" s="209"/>
      <c r="AB623" s="209"/>
      <c r="AC623" s="209"/>
      <c r="AD623" s="97"/>
      <c r="AE623" s="97"/>
      <c r="AF623" s="97"/>
      <c r="AG623" s="97"/>
      <c r="AH623" s="97"/>
      <c r="AI623" s="97"/>
      <c r="AJ623" s="97"/>
      <c r="AK623" s="97"/>
      <c r="AL623" s="97"/>
      <c r="AM623" s="97"/>
      <c r="AN623" s="97"/>
      <c r="AO623" s="97"/>
      <c r="AP623" s="97"/>
      <c r="AQ623" s="97"/>
      <c r="AR623" s="97"/>
      <c r="AS623" s="97"/>
      <c r="AT623" s="97"/>
      <c r="AU623" s="97"/>
      <c r="AV623" s="97"/>
      <c r="AW623" s="97"/>
      <c r="AX623" s="97"/>
    </row>
    <row r="624" ht="15.75" customHeight="1">
      <c r="A624" s="167" t="s">
        <v>842</v>
      </c>
      <c r="B624" s="169" t="s">
        <v>4727</v>
      </c>
      <c r="C624" s="169" t="s">
        <v>4728</v>
      </c>
      <c r="D624" s="169" t="s">
        <v>4729</v>
      </c>
      <c r="E624" s="169" t="s">
        <v>4730</v>
      </c>
      <c r="F624" s="205"/>
      <c r="G624" s="205"/>
      <c r="H624" s="205"/>
      <c r="I624" s="205"/>
      <c r="J624" s="205"/>
      <c r="K624" s="205"/>
      <c r="L624" s="205"/>
      <c r="M624" s="205"/>
      <c r="N624" s="205"/>
      <c r="O624" s="205"/>
      <c r="P624" s="205"/>
      <c r="Q624" s="205"/>
      <c r="R624" s="205"/>
      <c r="S624" s="205"/>
      <c r="T624" s="205"/>
      <c r="U624" s="205"/>
      <c r="V624" s="205"/>
      <c r="W624" s="205"/>
      <c r="X624" s="205"/>
      <c r="Y624" s="205"/>
      <c r="Z624" s="205"/>
      <c r="AA624" s="205"/>
      <c r="AB624" s="205"/>
      <c r="AC624" s="205"/>
      <c r="AD624" s="97"/>
      <c r="AE624" s="97"/>
      <c r="AF624" s="97"/>
      <c r="AG624" s="97"/>
      <c r="AH624" s="97"/>
      <c r="AI624" s="97"/>
      <c r="AJ624" s="97"/>
      <c r="AK624" s="97"/>
      <c r="AL624" s="97"/>
      <c r="AM624" s="97"/>
      <c r="AN624" s="97"/>
      <c r="AO624" s="97"/>
      <c r="AP624" s="97"/>
      <c r="AQ624" s="97"/>
      <c r="AR624" s="97"/>
      <c r="AS624" s="97"/>
      <c r="AT624" s="97"/>
      <c r="AU624" s="97"/>
      <c r="AV624" s="97"/>
      <c r="AW624" s="97"/>
      <c r="AX624" s="97"/>
    </row>
    <row r="625" ht="15.75" customHeight="1">
      <c r="A625" s="131" t="s">
        <v>150</v>
      </c>
      <c r="B625" s="164" t="s">
        <v>4768</v>
      </c>
      <c r="C625" s="133"/>
      <c r="D625" s="133"/>
      <c r="E625" s="133"/>
      <c r="F625" s="134"/>
      <c r="G625" s="134"/>
      <c r="H625" s="134"/>
      <c r="I625" s="134"/>
      <c r="J625" s="134"/>
      <c r="K625" s="134"/>
      <c r="L625" s="134"/>
      <c r="M625" s="134"/>
      <c r="N625" s="134"/>
      <c r="O625" s="134"/>
      <c r="P625" s="134"/>
      <c r="Q625" s="134"/>
      <c r="R625" s="134"/>
      <c r="S625" s="134"/>
      <c r="T625" s="291" t="s">
        <v>156</v>
      </c>
      <c r="U625" s="134"/>
      <c r="V625" s="134"/>
      <c r="W625" s="134"/>
      <c r="X625" s="134"/>
      <c r="Y625" s="134"/>
      <c r="Z625" s="134"/>
      <c r="AA625" s="134"/>
      <c r="AB625" s="134"/>
      <c r="AC625" s="134"/>
      <c r="AD625" s="97"/>
      <c r="AE625" s="97"/>
      <c r="AF625" s="97"/>
      <c r="AG625" s="97"/>
      <c r="AH625" s="97"/>
      <c r="AI625" s="97"/>
      <c r="AJ625" s="97"/>
      <c r="AK625" s="97"/>
      <c r="AL625" s="97"/>
      <c r="AM625" s="97"/>
      <c r="AN625" s="97"/>
      <c r="AO625" s="97"/>
      <c r="AP625" s="97"/>
      <c r="AQ625" s="97"/>
      <c r="AR625" s="97"/>
      <c r="AS625" s="97"/>
      <c r="AT625" s="97"/>
      <c r="AU625" s="97"/>
      <c r="AV625" s="97"/>
      <c r="AW625" s="97"/>
      <c r="AX625" s="97"/>
    </row>
    <row r="626" ht="15.75" customHeight="1">
      <c r="A626" s="80" t="s">
        <v>115</v>
      </c>
      <c r="B626" s="81" t="s">
        <v>4770</v>
      </c>
      <c r="C626" s="82"/>
      <c r="D626" s="83"/>
      <c r="E626" s="83"/>
      <c r="F626" s="84"/>
      <c r="G626" s="84"/>
      <c r="H626" s="84"/>
      <c r="I626" s="86"/>
      <c r="J626" s="86"/>
      <c r="K626" s="84"/>
      <c r="L626" s="86"/>
      <c r="M626" s="86"/>
      <c r="N626" s="86"/>
      <c r="O626" s="86"/>
      <c r="P626" s="84"/>
      <c r="Q626" s="84"/>
      <c r="R626" s="84"/>
      <c r="S626" s="84"/>
      <c r="T626" s="80" t="s">
        <v>5735</v>
      </c>
      <c r="U626" s="84"/>
      <c r="V626" s="84"/>
      <c r="W626" s="84"/>
      <c r="X626" s="84"/>
      <c r="Y626" s="84"/>
      <c r="Z626" s="84"/>
      <c r="AA626" s="84"/>
      <c r="AB626" s="84"/>
      <c r="AC626" s="84"/>
      <c r="AD626" s="97"/>
      <c r="AE626" s="97"/>
      <c r="AF626" s="97"/>
      <c r="AG626" s="97"/>
      <c r="AH626" s="97"/>
      <c r="AI626" s="97"/>
      <c r="AJ626" s="97"/>
      <c r="AK626" s="97"/>
      <c r="AL626" s="97"/>
      <c r="AM626" s="97"/>
      <c r="AN626" s="97"/>
      <c r="AO626" s="97"/>
      <c r="AP626" s="97"/>
      <c r="AQ626" s="97"/>
      <c r="AR626" s="97"/>
      <c r="AS626" s="97"/>
      <c r="AT626" s="97"/>
      <c r="AU626" s="97"/>
      <c r="AV626" s="97"/>
      <c r="AW626" s="97"/>
      <c r="AX626" s="97"/>
    </row>
    <row r="627" ht="15.75" customHeight="1">
      <c r="A627" s="203"/>
      <c r="B627" s="203"/>
      <c r="C627" s="204"/>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7"/>
      <c r="AR627" s="97"/>
      <c r="AS627" s="97"/>
      <c r="AT627" s="97"/>
      <c r="AU627" s="97"/>
      <c r="AV627" s="97"/>
      <c r="AW627" s="97"/>
      <c r="AX627" s="97"/>
    </row>
    <row r="628" ht="15.75" customHeight="1">
      <c r="A628" s="150" t="s">
        <v>161</v>
      </c>
      <c r="B628" s="82" t="s">
        <v>4771</v>
      </c>
      <c r="C628" s="82" t="s">
        <v>4772</v>
      </c>
      <c r="D628" s="83"/>
      <c r="E628" s="83"/>
      <c r="F628" s="84"/>
      <c r="G628" s="84"/>
      <c r="H628" s="84"/>
      <c r="I628" s="84"/>
      <c r="J628" s="86"/>
      <c r="K628" s="84"/>
      <c r="L628" s="84"/>
      <c r="M628" s="86"/>
      <c r="N628" s="86"/>
      <c r="O628" s="86"/>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97"/>
      <c r="AP628" s="97"/>
      <c r="AQ628" s="97"/>
      <c r="AR628" s="97"/>
      <c r="AS628" s="97"/>
      <c r="AT628" s="97"/>
      <c r="AU628" s="97"/>
      <c r="AV628" s="97"/>
      <c r="AW628" s="97"/>
      <c r="AX628" s="97"/>
    </row>
    <row r="629" ht="15.75" customHeight="1">
      <c r="A629" s="131" t="s">
        <v>150</v>
      </c>
      <c r="B629" s="164" t="s">
        <v>4774</v>
      </c>
      <c r="C629" s="133"/>
      <c r="D629" s="133"/>
      <c r="E629" s="133"/>
      <c r="F629" s="134"/>
      <c r="G629" s="134"/>
      <c r="H629" s="134"/>
      <c r="I629" s="134"/>
      <c r="J629" s="134"/>
      <c r="K629" s="134"/>
      <c r="L629" s="134"/>
      <c r="M629" s="134"/>
      <c r="N629" s="134"/>
      <c r="O629" s="134"/>
      <c r="P629" s="134"/>
      <c r="Q629" s="134"/>
      <c r="R629" s="134"/>
      <c r="S629" s="134"/>
      <c r="T629" s="291" t="s">
        <v>156</v>
      </c>
      <c r="U629" s="134"/>
      <c r="V629" s="134"/>
      <c r="W629" s="134"/>
      <c r="X629" s="134"/>
      <c r="Y629" s="134"/>
      <c r="Z629" s="134"/>
      <c r="AA629" s="134"/>
      <c r="AB629" s="134"/>
      <c r="AC629" s="134"/>
      <c r="AD629" s="97"/>
      <c r="AE629" s="97"/>
      <c r="AF629" s="97"/>
      <c r="AG629" s="97"/>
      <c r="AH629" s="97"/>
      <c r="AI629" s="97"/>
      <c r="AJ629" s="97"/>
      <c r="AK629" s="97"/>
      <c r="AL629" s="97"/>
      <c r="AM629" s="97"/>
      <c r="AN629" s="97"/>
      <c r="AO629" s="97"/>
      <c r="AP629" s="97"/>
      <c r="AQ629" s="97"/>
      <c r="AR629" s="97"/>
      <c r="AS629" s="97"/>
      <c r="AT629" s="97"/>
      <c r="AU629" s="97"/>
      <c r="AV629" s="97"/>
      <c r="AW629" s="97"/>
      <c r="AX629" s="97"/>
    </row>
    <row r="630" ht="15.75" customHeight="1">
      <c r="A630" s="114" t="s">
        <v>680</v>
      </c>
      <c r="B630" s="165" t="s">
        <v>4775</v>
      </c>
      <c r="C630" s="76" t="s">
        <v>5736</v>
      </c>
      <c r="D630" s="76" t="s">
        <v>5737</v>
      </c>
      <c r="E630" s="117" t="s">
        <v>5738</v>
      </c>
      <c r="F630" s="76"/>
      <c r="G630" s="76"/>
      <c r="H630" s="76"/>
      <c r="I630" s="118"/>
      <c r="J630" s="120"/>
      <c r="K630" s="118"/>
      <c r="L630" s="118"/>
      <c r="M630" s="118"/>
      <c r="N630" s="118"/>
      <c r="O630" s="118"/>
      <c r="P630" s="118"/>
      <c r="Q630" s="118" t="s">
        <v>184</v>
      </c>
      <c r="R630" s="118"/>
      <c r="S630" s="118"/>
      <c r="T630" s="118"/>
      <c r="U630" s="118"/>
      <c r="V630" s="118"/>
      <c r="W630" s="118"/>
      <c r="X630" s="118"/>
      <c r="Y630" s="118"/>
      <c r="Z630" s="118"/>
      <c r="AA630" s="118"/>
      <c r="AB630" s="118"/>
      <c r="AC630" s="118"/>
      <c r="AD630" s="118"/>
      <c r="AE630" s="118"/>
      <c r="AF630" s="118"/>
      <c r="AG630" s="118"/>
      <c r="AH630" s="118"/>
      <c r="AI630" s="118"/>
      <c r="AJ630" s="118"/>
      <c r="AK630" s="118"/>
      <c r="AL630" s="118"/>
      <c r="AM630" s="118"/>
      <c r="AN630" s="118"/>
      <c r="AO630" s="97"/>
      <c r="AP630" s="97"/>
      <c r="AQ630" s="97"/>
      <c r="AR630" s="97"/>
      <c r="AS630" s="97"/>
      <c r="AT630" s="97"/>
      <c r="AU630" s="97"/>
      <c r="AV630" s="97"/>
      <c r="AW630" s="97"/>
      <c r="AX630" s="97"/>
    </row>
    <row r="631" ht="15.75" customHeight="1">
      <c r="A631" s="170" t="s">
        <v>238</v>
      </c>
      <c r="B631" s="171" t="s">
        <v>4784</v>
      </c>
      <c r="C631" s="76" t="s">
        <v>5739</v>
      </c>
      <c r="D631" s="76" t="s">
        <v>5740</v>
      </c>
      <c r="E631" s="117" t="s">
        <v>5741</v>
      </c>
      <c r="F631" s="76"/>
      <c r="G631" s="76"/>
      <c r="H631" s="76"/>
      <c r="I631" s="209"/>
      <c r="J631" s="209"/>
      <c r="K631" s="210" t="s">
        <v>2607</v>
      </c>
      <c r="L631" s="210"/>
      <c r="M631" s="209"/>
      <c r="N631" s="209"/>
      <c r="O631" s="209" t="s">
        <v>5742</v>
      </c>
      <c r="P631" s="209"/>
      <c r="Q631" s="209" t="s">
        <v>184</v>
      </c>
      <c r="R631" s="209"/>
      <c r="S631" s="209"/>
      <c r="T631" s="209"/>
      <c r="U631" s="209"/>
      <c r="V631" s="209"/>
      <c r="W631" s="209"/>
      <c r="X631" s="209"/>
      <c r="Y631" s="209"/>
      <c r="Z631" s="209"/>
      <c r="AA631" s="209"/>
      <c r="AB631" s="209"/>
      <c r="AC631" s="209"/>
      <c r="AD631" s="209"/>
      <c r="AE631" s="209"/>
      <c r="AF631" s="209"/>
      <c r="AG631" s="209"/>
      <c r="AH631" s="209"/>
      <c r="AI631" s="209"/>
      <c r="AJ631" s="209"/>
      <c r="AK631" s="209"/>
      <c r="AL631" s="209"/>
      <c r="AM631" s="209"/>
      <c r="AN631" s="209"/>
      <c r="AO631" s="97"/>
      <c r="AP631" s="97"/>
      <c r="AQ631" s="97"/>
      <c r="AR631" s="97"/>
      <c r="AS631" s="97"/>
      <c r="AT631" s="97"/>
      <c r="AU631" s="97"/>
      <c r="AV631" s="97"/>
      <c r="AW631" s="97"/>
      <c r="AX631" s="97"/>
    </row>
    <row r="632" ht="15.75" customHeight="1">
      <c r="A632" s="114" t="s">
        <v>4787</v>
      </c>
      <c r="B632" s="165" t="s">
        <v>4788</v>
      </c>
      <c r="C632" s="76" t="s">
        <v>3107</v>
      </c>
      <c r="D632" s="76" t="s">
        <v>3108</v>
      </c>
      <c r="E632" s="117" t="s">
        <v>3109</v>
      </c>
      <c r="F632" s="76" t="s">
        <v>1746</v>
      </c>
      <c r="G632" s="76" t="s">
        <v>4716</v>
      </c>
      <c r="H632" s="76" t="s">
        <v>1748</v>
      </c>
      <c r="I632" s="118"/>
      <c r="J632" s="120"/>
      <c r="K632" s="118"/>
      <c r="L632" s="118"/>
      <c r="M632" s="118"/>
      <c r="N632" s="118"/>
      <c r="O632" s="118" t="s">
        <v>5742</v>
      </c>
      <c r="P632" s="118"/>
      <c r="Q632" s="118" t="s">
        <v>184</v>
      </c>
      <c r="R632" s="118"/>
      <c r="S632" s="118"/>
      <c r="T632" s="118"/>
      <c r="U632" s="118"/>
      <c r="V632" s="118"/>
      <c r="W632" s="118"/>
      <c r="X632" s="118"/>
      <c r="Y632" s="118"/>
      <c r="Z632" s="118"/>
      <c r="AA632" s="118"/>
      <c r="AB632" s="118"/>
      <c r="AC632" s="118"/>
      <c r="AD632" s="118"/>
      <c r="AE632" s="118"/>
      <c r="AF632" s="118"/>
      <c r="AG632" s="118"/>
      <c r="AH632" s="118"/>
      <c r="AI632" s="118"/>
      <c r="AJ632" s="118"/>
      <c r="AK632" s="118"/>
      <c r="AL632" s="118"/>
      <c r="AM632" s="118"/>
      <c r="AN632" s="118"/>
      <c r="AO632" s="97"/>
      <c r="AP632" s="97"/>
      <c r="AQ632" s="97"/>
      <c r="AR632" s="97"/>
      <c r="AS632" s="97"/>
      <c r="AT632" s="97"/>
      <c r="AU632" s="97"/>
      <c r="AV632" s="97"/>
      <c r="AW632" s="97"/>
      <c r="AX632" s="97"/>
    </row>
    <row r="633" ht="15.75" customHeight="1">
      <c r="A633" s="162" t="s">
        <v>217</v>
      </c>
      <c r="B633" s="166" t="s">
        <v>4789</v>
      </c>
      <c r="C633" s="76" t="s">
        <v>3110</v>
      </c>
      <c r="D633" s="76" t="s">
        <v>3111</v>
      </c>
      <c r="E633" s="117" t="s">
        <v>3112</v>
      </c>
      <c r="F633" s="76"/>
      <c r="G633" s="76"/>
      <c r="H633" s="76"/>
      <c r="I633" s="182"/>
      <c r="J633" s="183"/>
      <c r="K633" s="182"/>
      <c r="L633" s="182"/>
      <c r="M633" s="182"/>
      <c r="N633" s="182"/>
      <c r="O633" s="182" t="s">
        <v>5743</v>
      </c>
      <c r="P633" s="182"/>
      <c r="Q633" s="182" t="s">
        <v>184</v>
      </c>
      <c r="R633" s="182"/>
      <c r="S633" s="182"/>
      <c r="T633" s="182"/>
      <c r="U633" s="182"/>
      <c r="V633" s="182"/>
      <c r="W633" s="182"/>
      <c r="X633" s="182"/>
      <c r="Y633" s="182"/>
      <c r="Z633" s="182"/>
      <c r="AA633" s="182"/>
      <c r="AB633" s="182"/>
      <c r="AC633" s="182"/>
      <c r="AD633" s="182"/>
      <c r="AE633" s="182"/>
      <c r="AF633" s="182"/>
      <c r="AG633" s="182"/>
      <c r="AH633" s="182"/>
      <c r="AI633" s="182"/>
      <c r="AJ633" s="182"/>
      <c r="AK633" s="182"/>
      <c r="AL633" s="182"/>
      <c r="AM633" s="182"/>
      <c r="AN633" s="182"/>
      <c r="AO633" s="97"/>
      <c r="AP633" s="97"/>
      <c r="AQ633" s="97"/>
      <c r="AR633" s="97"/>
      <c r="AS633" s="97"/>
      <c r="AT633" s="97"/>
      <c r="AU633" s="97"/>
      <c r="AV633" s="97"/>
      <c r="AW633" s="97"/>
      <c r="AX633" s="97"/>
    </row>
    <row r="634" ht="15.75" customHeight="1">
      <c r="A634" s="114" t="s">
        <v>680</v>
      </c>
      <c r="B634" s="165" t="s">
        <v>4790</v>
      </c>
      <c r="C634" s="76" t="s">
        <v>5744</v>
      </c>
      <c r="D634" s="76" t="s">
        <v>5745</v>
      </c>
      <c r="E634" s="117" t="s">
        <v>5746</v>
      </c>
      <c r="F634" s="76"/>
      <c r="G634" s="76"/>
      <c r="H634" s="76"/>
      <c r="I634" s="118"/>
      <c r="J634" s="120"/>
      <c r="K634" s="118"/>
      <c r="L634" s="118"/>
      <c r="M634" s="118"/>
      <c r="N634" s="118"/>
      <c r="O634" s="118"/>
      <c r="P634" s="118"/>
      <c r="Q634" s="118" t="s">
        <v>184</v>
      </c>
      <c r="R634" s="118"/>
      <c r="S634" s="118"/>
      <c r="T634" s="118"/>
      <c r="U634" s="118"/>
      <c r="V634" s="118"/>
      <c r="W634" s="118"/>
      <c r="X634" s="118"/>
      <c r="Y634" s="118"/>
      <c r="Z634" s="118"/>
      <c r="AA634" s="118"/>
      <c r="AB634" s="118"/>
      <c r="AC634" s="118"/>
      <c r="AD634" s="118"/>
      <c r="AE634" s="118"/>
      <c r="AF634" s="118"/>
      <c r="AG634" s="118"/>
      <c r="AH634" s="118"/>
      <c r="AI634" s="118"/>
      <c r="AJ634" s="118"/>
      <c r="AK634" s="118"/>
      <c r="AL634" s="118"/>
      <c r="AM634" s="118"/>
      <c r="AN634" s="118"/>
      <c r="AO634" s="97"/>
      <c r="AP634" s="97"/>
      <c r="AQ634" s="97"/>
      <c r="AR634" s="97"/>
      <c r="AS634" s="97"/>
      <c r="AT634" s="97"/>
      <c r="AU634" s="97"/>
      <c r="AV634" s="97"/>
      <c r="AW634" s="97"/>
      <c r="AX634" s="97"/>
    </row>
    <row r="635" ht="15.75" customHeight="1">
      <c r="A635" s="170" t="s">
        <v>238</v>
      </c>
      <c r="B635" s="171" t="s">
        <v>4792</v>
      </c>
      <c r="C635" s="76" t="s">
        <v>5747</v>
      </c>
      <c r="D635" s="76" t="s">
        <v>5748</v>
      </c>
      <c r="E635" s="117" t="s">
        <v>5749</v>
      </c>
      <c r="F635" s="76"/>
      <c r="G635" s="76"/>
      <c r="H635" s="76"/>
      <c r="I635" s="209"/>
      <c r="J635" s="209"/>
      <c r="K635" s="210" t="s">
        <v>2607</v>
      </c>
      <c r="L635" s="210"/>
      <c r="M635" s="209"/>
      <c r="N635" s="209"/>
      <c r="O635" s="209" t="s">
        <v>5750</v>
      </c>
      <c r="P635" s="209"/>
      <c r="Q635" s="209" t="s">
        <v>184</v>
      </c>
      <c r="R635" s="209"/>
      <c r="S635" s="209"/>
      <c r="T635" s="209"/>
      <c r="U635" s="209"/>
      <c r="V635" s="209"/>
      <c r="W635" s="209"/>
      <c r="X635" s="209"/>
      <c r="Y635" s="209"/>
      <c r="Z635" s="209"/>
      <c r="AA635" s="209"/>
      <c r="AB635" s="209"/>
      <c r="AC635" s="209"/>
      <c r="AD635" s="209"/>
      <c r="AE635" s="209"/>
      <c r="AF635" s="209"/>
      <c r="AG635" s="209"/>
      <c r="AH635" s="209"/>
      <c r="AI635" s="209"/>
      <c r="AJ635" s="209"/>
      <c r="AK635" s="209"/>
      <c r="AL635" s="209"/>
      <c r="AM635" s="209"/>
      <c r="AN635" s="209"/>
      <c r="AO635" s="97"/>
      <c r="AP635" s="97"/>
      <c r="AQ635" s="97"/>
      <c r="AR635" s="97"/>
      <c r="AS635" s="97"/>
      <c r="AT635" s="97"/>
      <c r="AU635" s="97"/>
      <c r="AV635" s="97"/>
      <c r="AW635" s="97"/>
      <c r="AX635" s="97"/>
    </row>
    <row r="636" ht="15.75" customHeight="1">
      <c r="A636" s="114" t="s">
        <v>4794</v>
      </c>
      <c r="B636" s="165" t="s">
        <v>4795</v>
      </c>
      <c r="C636" s="76" t="s">
        <v>5751</v>
      </c>
      <c r="D636" s="76" t="s">
        <v>5752</v>
      </c>
      <c r="E636" s="117" t="s">
        <v>5753</v>
      </c>
      <c r="F636" s="76" t="s">
        <v>1746</v>
      </c>
      <c r="G636" s="76" t="s">
        <v>4716</v>
      </c>
      <c r="H636" s="76" t="s">
        <v>1748</v>
      </c>
      <c r="I636" s="118"/>
      <c r="J636" s="120"/>
      <c r="K636" s="118"/>
      <c r="L636" s="118"/>
      <c r="M636" s="118"/>
      <c r="N636" s="118"/>
      <c r="O636" s="118" t="s">
        <v>5750</v>
      </c>
      <c r="P636" s="118"/>
      <c r="Q636" s="118" t="s">
        <v>184</v>
      </c>
      <c r="R636" s="118"/>
      <c r="S636" s="118"/>
      <c r="T636" s="118"/>
      <c r="U636" s="118"/>
      <c r="V636" s="118"/>
      <c r="W636" s="118"/>
      <c r="X636" s="118"/>
      <c r="Y636" s="118"/>
      <c r="Z636" s="118"/>
      <c r="AA636" s="118"/>
      <c r="AB636" s="118"/>
      <c r="AC636" s="118"/>
      <c r="AD636" s="118"/>
      <c r="AE636" s="118"/>
      <c r="AF636" s="118"/>
      <c r="AG636" s="118"/>
      <c r="AH636" s="118"/>
      <c r="AI636" s="118"/>
      <c r="AJ636" s="118"/>
      <c r="AK636" s="118"/>
      <c r="AL636" s="118"/>
      <c r="AM636" s="118"/>
      <c r="AN636" s="118"/>
      <c r="AO636" s="97"/>
      <c r="AP636" s="97"/>
      <c r="AQ636" s="97"/>
      <c r="AR636" s="97"/>
      <c r="AS636" s="97"/>
      <c r="AT636" s="97"/>
      <c r="AU636" s="97"/>
      <c r="AV636" s="97"/>
      <c r="AW636" s="97"/>
      <c r="AX636" s="97"/>
    </row>
    <row r="637" ht="15.75" customHeight="1">
      <c r="A637" s="162" t="s">
        <v>217</v>
      </c>
      <c r="B637" s="166" t="s">
        <v>4799</v>
      </c>
      <c r="C637" s="76" t="s">
        <v>5754</v>
      </c>
      <c r="D637" s="76" t="s">
        <v>5755</v>
      </c>
      <c r="E637" s="117" t="s">
        <v>5756</v>
      </c>
      <c r="F637" s="76"/>
      <c r="G637" s="76"/>
      <c r="H637" s="76"/>
      <c r="I637" s="182"/>
      <c r="J637" s="183"/>
      <c r="K637" s="182"/>
      <c r="L637" s="182"/>
      <c r="M637" s="182"/>
      <c r="N637" s="182"/>
      <c r="O637" s="182" t="s">
        <v>5757</v>
      </c>
      <c r="P637" s="182"/>
      <c r="Q637" s="182" t="s">
        <v>184</v>
      </c>
      <c r="R637" s="182"/>
      <c r="S637" s="182"/>
      <c r="T637" s="182"/>
      <c r="U637" s="182"/>
      <c r="V637" s="182"/>
      <c r="W637" s="182"/>
      <c r="X637" s="182"/>
      <c r="Y637" s="182"/>
      <c r="Z637" s="182"/>
      <c r="AA637" s="182"/>
      <c r="AB637" s="182"/>
      <c r="AC637" s="182"/>
      <c r="AD637" s="182"/>
      <c r="AE637" s="182"/>
      <c r="AF637" s="182"/>
      <c r="AG637" s="182"/>
      <c r="AH637" s="182"/>
      <c r="AI637" s="182"/>
      <c r="AJ637" s="182"/>
      <c r="AK637" s="182"/>
      <c r="AL637" s="182"/>
      <c r="AM637" s="182"/>
      <c r="AN637" s="182"/>
      <c r="AO637" s="97"/>
      <c r="AP637" s="97"/>
      <c r="AQ637" s="97"/>
      <c r="AR637" s="97"/>
      <c r="AS637" s="97"/>
      <c r="AT637" s="97"/>
      <c r="AU637" s="97"/>
      <c r="AV637" s="97"/>
      <c r="AW637" s="97"/>
      <c r="AX637" s="97"/>
    </row>
    <row r="638" ht="15.75" customHeight="1">
      <c r="A638" s="114" t="s">
        <v>680</v>
      </c>
      <c r="B638" s="165" t="s">
        <v>4803</v>
      </c>
      <c r="C638" s="76" t="s">
        <v>5758</v>
      </c>
      <c r="D638" s="76" t="s">
        <v>5759</v>
      </c>
      <c r="E638" s="117" t="s">
        <v>5760</v>
      </c>
      <c r="F638" s="76"/>
      <c r="G638" s="76"/>
      <c r="H638" s="76"/>
      <c r="I638" s="118"/>
      <c r="J638" s="120"/>
      <c r="K638" s="118"/>
      <c r="L638" s="118"/>
      <c r="M638" s="118"/>
      <c r="N638" s="118"/>
      <c r="O638" s="118"/>
      <c r="P638" s="118"/>
      <c r="Q638" s="118" t="s">
        <v>184</v>
      </c>
      <c r="R638" s="118"/>
      <c r="S638" s="118"/>
      <c r="T638" s="118"/>
      <c r="U638" s="118"/>
      <c r="V638" s="118"/>
      <c r="W638" s="118"/>
      <c r="X638" s="118"/>
      <c r="Y638" s="118"/>
      <c r="Z638" s="118"/>
      <c r="AA638" s="118"/>
      <c r="AB638" s="118"/>
      <c r="AC638" s="118"/>
      <c r="AD638" s="118"/>
      <c r="AE638" s="118"/>
      <c r="AF638" s="118"/>
      <c r="AG638" s="118"/>
      <c r="AH638" s="118"/>
      <c r="AI638" s="118"/>
      <c r="AJ638" s="118"/>
      <c r="AK638" s="118"/>
      <c r="AL638" s="118"/>
      <c r="AM638" s="118"/>
      <c r="AN638" s="118"/>
      <c r="AO638" s="97"/>
      <c r="AP638" s="97"/>
      <c r="AQ638" s="97"/>
      <c r="AR638" s="97"/>
      <c r="AS638" s="97"/>
      <c r="AT638" s="97"/>
      <c r="AU638" s="97"/>
      <c r="AV638" s="97"/>
      <c r="AW638" s="97"/>
      <c r="AX638" s="97"/>
    </row>
    <row r="639" ht="15.75" customHeight="1">
      <c r="A639" s="170" t="s">
        <v>238</v>
      </c>
      <c r="B639" s="171" t="s">
        <v>4804</v>
      </c>
      <c r="C639" s="76" t="s">
        <v>5761</v>
      </c>
      <c r="D639" s="76" t="s">
        <v>5762</v>
      </c>
      <c r="E639" s="117" t="s">
        <v>5763</v>
      </c>
      <c r="F639" s="76"/>
      <c r="G639" s="76"/>
      <c r="H639" s="76"/>
      <c r="I639" s="209"/>
      <c r="J639" s="209"/>
      <c r="K639" s="210" t="s">
        <v>2607</v>
      </c>
      <c r="L639" s="210"/>
      <c r="M639" s="209"/>
      <c r="N639" s="209"/>
      <c r="O639" s="209" t="s">
        <v>5764</v>
      </c>
      <c r="P639" s="209"/>
      <c r="Q639" s="209" t="s">
        <v>184</v>
      </c>
      <c r="R639" s="209"/>
      <c r="S639" s="209"/>
      <c r="T639" s="209"/>
      <c r="U639" s="209"/>
      <c r="V639" s="209"/>
      <c r="W639" s="209"/>
      <c r="X639" s="209"/>
      <c r="Y639" s="209"/>
      <c r="Z639" s="209"/>
      <c r="AA639" s="209"/>
      <c r="AB639" s="209"/>
      <c r="AC639" s="209"/>
      <c r="AD639" s="209"/>
      <c r="AE639" s="209"/>
      <c r="AF639" s="209"/>
      <c r="AG639" s="209"/>
      <c r="AH639" s="209"/>
      <c r="AI639" s="209"/>
      <c r="AJ639" s="209"/>
      <c r="AK639" s="209"/>
      <c r="AL639" s="209"/>
      <c r="AM639" s="209"/>
      <c r="AN639" s="209"/>
      <c r="AO639" s="97"/>
      <c r="AP639" s="97"/>
      <c r="AQ639" s="97"/>
      <c r="AR639" s="97"/>
      <c r="AS639" s="97"/>
      <c r="AT639" s="97"/>
      <c r="AU639" s="97"/>
      <c r="AV639" s="97"/>
      <c r="AW639" s="97"/>
      <c r="AX639" s="97"/>
    </row>
    <row r="640" ht="15.75" customHeight="1">
      <c r="A640" s="114" t="s">
        <v>4787</v>
      </c>
      <c r="B640" s="165" t="s">
        <v>4805</v>
      </c>
      <c r="C640" s="76" t="s">
        <v>5765</v>
      </c>
      <c r="D640" s="76" t="s">
        <v>5766</v>
      </c>
      <c r="E640" s="117" t="s">
        <v>5767</v>
      </c>
      <c r="F640" s="76" t="s">
        <v>1746</v>
      </c>
      <c r="G640" s="76" t="s">
        <v>4716</v>
      </c>
      <c r="H640" s="76" t="s">
        <v>1748</v>
      </c>
      <c r="I640" s="118"/>
      <c r="J640" s="120"/>
      <c r="K640" s="118"/>
      <c r="L640" s="118"/>
      <c r="M640" s="118"/>
      <c r="N640" s="118"/>
      <c r="O640" s="118" t="s">
        <v>5764</v>
      </c>
      <c r="P640" s="118"/>
      <c r="Q640" s="118" t="s">
        <v>184</v>
      </c>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97"/>
      <c r="AP640" s="97"/>
      <c r="AQ640" s="97"/>
      <c r="AR640" s="97"/>
      <c r="AS640" s="97"/>
      <c r="AT640" s="97"/>
      <c r="AU640" s="97"/>
      <c r="AV640" s="97"/>
      <c r="AW640" s="97"/>
      <c r="AX640" s="97"/>
    </row>
    <row r="641" ht="15.75" customHeight="1">
      <c r="A641" s="162" t="s">
        <v>217</v>
      </c>
      <c r="B641" s="166" t="s">
        <v>4810</v>
      </c>
      <c r="C641" s="76" t="s">
        <v>5768</v>
      </c>
      <c r="D641" s="76" t="s">
        <v>5769</v>
      </c>
      <c r="E641" s="117" t="s">
        <v>5770</v>
      </c>
      <c r="F641" s="76"/>
      <c r="G641" s="76"/>
      <c r="H641" s="76"/>
      <c r="I641" s="182"/>
      <c r="J641" s="183"/>
      <c r="K641" s="182"/>
      <c r="L641" s="182"/>
      <c r="M641" s="182"/>
      <c r="N641" s="182"/>
      <c r="O641" s="182" t="s">
        <v>5771</v>
      </c>
      <c r="P641" s="182"/>
      <c r="Q641" s="182" t="s">
        <v>184</v>
      </c>
      <c r="R641" s="182"/>
      <c r="S641" s="182"/>
      <c r="T641" s="182"/>
      <c r="U641" s="182"/>
      <c r="V641" s="182"/>
      <c r="W641" s="182"/>
      <c r="X641" s="182"/>
      <c r="Y641" s="182"/>
      <c r="Z641" s="182"/>
      <c r="AA641" s="182"/>
      <c r="AB641" s="182"/>
      <c r="AC641" s="182"/>
      <c r="AD641" s="182"/>
      <c r="AE641" s="182"/>
      <c r="AF641" s="182"/>
      <c r="AG641" s="182"/>
      <c r="AH641" s="182"/>
      <c r="AI641" s="182"/>
      <c r="AJ641" s="182"/>
      <c r="AK641" s="182"/>
      <c r="AL641" s="182"/>
      <c r="AM641" s="182"/>
      <c r="AN641" s="182"/>
      <c r="AO641" s="97"/>
      <c r="AP641" s="97"/>
      <c r="AQ641" s="97"/>
      <c r="AR641" s="97"/>
      <c r="AS641" s="97"/>
      <c r="AT641" s="97"/>
      <c r="AU641" s="97"/>
      <c r="AV641" s="97"/>
      <c r="AW641" s="97"/>
      <c r="AX641" s="97"/>
    </row>
    <row r="642" ht="15.75" customHeight="1">
      <c r="A642" s="114" t="s">
        <v>680</v>
      </c>
      <c r="B642" s="165" t="s">
        <v>4814</v>
      </c>
      <c r="C642" s="76" t="s">
        <v>5772</v>
      </c>
      <c r="D642" s="76" t="s">
        <v>5773</v>
      </c>
      <c r="E642" s="117" t="s">
        <v>5774</v>
      </c>
      <c r="F642" s="76"/>
      <c r="G642" s="76"/>
      <c r="H642" s="76"/>
      <c r="I642" s="118"/>
      <c r="J642" s="120"/>
      <c r="K642" s="118"/>
      <c r="L642" s="118"/>
      <c r="M642" s="118"/>
      <c r="N642" s="118"/>
      <c r="O642" s="118"/>
      <c r="P642" s="118"/>
      <c r="Q642" s="118" t="s">
        <v>184</v>
      </c>
      <c r="R642" s="118"/>
      <c r="S642" s="118"/>
      <c r="T642" s="118"/>
      <c r="U642" s="118"/>
      <c r="V642" s="118"/>
      <c r="W642" s="118"/>
      <c r="X642" s="118"/>
      <c r="Y642" s="118"/>
      <c r="Z642" s="118"/>
      <c r="AA642" s="118"/>
      <c r="AB642" s="118"/>
      <c r="AC642" s="118"/>
      <c r="AD642" s="118"/>
      <c r="AE642" s="118"/>
      <c r="AF642" s="118"/>
      <c r="AG642" s="118"/>
      <c r="AH642" s="118"/>
      <c r="AI642" s="118"/>
      <c r="AJ642" s="118"/>
      <c r="AK642" s="118"/>
      <c r="AL642" s="118"/>
      <c r="AM642" s="118"/>
      <c r="AN642" s="118"/>
      <c r="AO642" s="97"/>
      <c r="AP642" s="97"/>
      <c r="AQ642" s="97"/>
      <c r="AR642" s="97"/>
      <c r="AS642" s="97"/>
      <c r="AT642" s="97"/>
      <c r="AU642" s="97"/>
      <c r="AV642" s="97"/>
      <c r="AW642" s="97"/>
      <c r="AX642" s="97"/>
    </row>
    <row r="643" ht="15.75" customHeight="1">
      <c r="A643" s="170" t="s">
        <v>238</v>
      </c>
      <c r="B643" s="171" t="s">
        <v>4819</v>
      </c>
      <c r="C643" s="76" t="s">
        <v>5775</v>
      </c>
      <c r="D643" s="76" t="s">
        <v>5776</v>
      </c>
      <c r="E643" s="117" t="s">
        <v>5777</v>
      </c>
      <c r="F643" s="76"/>
      <c r="G643" s="76"/>
      <c r="H643" s="76"/>
      <c r="I643" s="209"/>
      <c r="J643" s="209"/>
      <c r="K643" s="210" t="s">
        <v>2607</v>
      </c>
      <c r="L643" s="210"/>
      <c r="M643" s="209"/>
      <c r="N643" s="209"/>
      <c r="O643" s="209" t="s">
        <v>5778</v>
      </c>
      <c r="P643" s="209"/>
      <c r="Q643" s="209" t="s">
        <v>184</v>
      </c>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09"/>
      <c r="AO643" s="97"/>
      <c r="AP643" s="97"/>
      <c r="AQ643" s="97"/>
      <c r="AR643" s="97"/>
      <c r="AS643" s="97"/>
      <c r="AT643" s="97"/>
      <c r="AU643" s="97"/>
      <c r="AV643" s="97"/>
      <c r="AW643" s="97"/>
      <c r="AX643" s="97"/>
    </row>
    <row r="644" ht="15.75" customHeight="1">
      <c r="A644" s="114" t="s">
        <v>4794</v>
      </c>
      <c r="B644" s="165" t="s">
        <v>4820</v>
      </c>
      <c r="C644" s="76" t="s">
        <v>5779</v>
      </c>
      <c r="D644" s="76" t="s">
        <v>5780</v>
      </c>
      <c r="E644" s="117" t="s">
        <v>5781</v>
      </c>
      <c r="F644" s="76" t="s">
        <v>1746</v>
      </c>
      <c r="G644" s="76" t="s">
        <v>4716</v>
      </c>
      <c r="H644" s="76" t="s">
        <v>1748</v>
      </c>
      <c r="I644" s="118"/>
      <c r="J644" s="120"/>
      <c r="K644" s="118"/>
      <c r="L644" s="118"/>
      <c r="M644" s="118"/>
      <c r="N644" s="118"/>
      <c r="O644" s="118" t="s">
        <v>5778</v>
      </c>
      <c r="P644" s="118"/>
      <c r="Q644" s="118" t="s">
        <v>184</v>
      </c>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97"/>
      <c r="AP644" s="97"/>
      <c r="AQ644" s="97"/>
      <c r="AR644" s="97"/>
      <c r="AS644" s="97"/>
      <c r="AT644" s="97"/>
      <c r="AU644" s="97"/>
      <c r="AV644" s="97"/>
      <c r="AW644" s="97"/>
      <c r="AX644" s="97"/>
    </row>
    <row r="645" ht="15.75" customHeight="1">
      <c r="A645" s="162" t="s">
        <v>217</v>
      </c>
      <c r="B645" s="166" t="s">
        <v>4822</v>
      </c>
      <c r="C645" s="76" t="s">
        <v>5782</v>
      </c>
      <c r="D645" s="76" t="s">
        <v>5783</v>
      </c>
      <c r="E645" s="117" t="s">
        <v>5784</v>
      </c>
      <c r="F645" s="76"/>
      <c r="G645" s="76"/>
      <c r="H645" s="76"/>
      <c r="I645" s="182"/>
      <c r="J645" s="183"/>
      <c r="K645" s="182"/>
      <c r="L645" s="182"/>
      <c r="M645" s="182"/>
      <c r="N645" s="182"/>
      <c r="O645" s="182" t="s">
        <v>5785</v>
      </c>
      <c r="P645" s="182"/>
      <c r="Q645" s="182" t="s">
        <v>184</v>
      </c>
      <c r="R645" s="182"/>
      <c r="S645" s="182"/>
      <c r="T645" s="182"/>
      <c r="U645" s="182"/>
      <c r="V645" s="182"/>
      <c r="W645" s="182"/>
      <c r="X645" s="182"/>
      <c r="Y645" s="182"/>
      <c r="Z645" s="182"/>
      <c r="AA645" s="182"/>
      <c r="AB645" s="182"/>
      <c r="AC645" s="182"/>
      <c r="AD645" s="182"/>
      <c r="AE645" s="182"/>
      <c r="AF645" s="182"/>
      <c r="AG645" s="182"/>
      <c r="AH645" s="182"/>
      <c r="AI645" s="182"/>
      <c r="AJ645" s="182"/>
      <c r="AK645" s="182"/>
      <c r="AL645" s="182"/>
      <c r="AM645" s="182"/>
      <c r="AN645" s="182"/>
      <c r="AO645" s="97"/>
      <c r="AP645" s="97"/>
      <c r="AQ645" s="97"/>
      <c r="AR645" s="97"/>
      <c r="AS645" s="97"/>
      <c r="AT645" s="97"/>
      <c r="AU645" s="97"/>
      <c r="AV645" s="97"/>
      <c r="AW645" s="97"/>
      <c r="AX645" s="97"/>
    </row>
    <row r="646" ht="15.75" customHeight="1">
      <c r="A646" s="114" t="s">
        <v>680</v>
      </c>
      <c r="B646" s="165" t="s">
        <v>4823</v>
      </c>
      <c r="C646" s="76" t="s">
        <v>5786</v>
      </c>
      <c r="D646" s="76" t="s">
        <v>5787</v>
      </c>
      <c r="E646" s="117" t="s">
        <v>5788</v>
      </c>
      <c r="F646" s="76"/>
      <c r="G646" s="76"/>
      <c r="H646" s="76"/>
      <c r="I646" s="118"/>
      <c r="J646" s="120"/>
      <c r="K646" s="118"/>
      <c r="L646" s="118"/>
      <c r="M646" s="118"/>
      <c r="N646" s="118"/>
      <c r="O646" s="118"/>
      <c r="P646" s="118"/>
      <c r="Q646" s="118" t="s">
        <v>184</v>
      </c>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97"/>
      <c r="AP646" s="97"/>
      <c r="AQ646" s="97"/>
      <c r="AR646" s="97"/>
      <c r="AS646" s="97"/>
      <c r="AT646" s="97"/>
      <c r="AU646" s="97"/>
      <c r="AV646" s="97"/>
      <c r="AW646" s="97"/>
      <c r="AX646" s="97"/>
    </row>
    <row r="647" ht="15.75" customHeight="1">
      <c r="A647" s="170" t="s">
        <v>238</v>
      </c>
      <c r="B647" s="171" t="s">
        <v>4826</v>
      </c>
      <c r="C647" s="76" t="s">
        <v>5789</v>
      </c>
      <c r="D647" s="76" t="s">
        <v>5790</v>
      </c>
      <c r="E647" s="117" t="s">
        <v>5791</v>
      </c>
      <c r="F647" s="76"/>
      <c r="G647" s="76"/>
      <c r="H647" s="76"/>
      <c r="I647" s="209"/>
      <c r="J647" s="209"/>
      <c r="K647" s="210" t="s">
        <v>2607</v>
      </c>
      <c r="L647" s="210"/>
      <c r="M647" s="209"/>
      <c r="N647" s="209"/>
      <c r="O647" s="209" t="s">
        <v>5792</v>
      </c>
      <c r="P647" s="209"/>
      <c r="Q647" s="209" t="s">
        <v>184</v>
      </c>
      <c r="R647" s="209"/>
      <c r="S647" s="209"/>
      <c r="T647" s="209"/>
      <c r="U647" s="209"/>
      <c r="V647" s="209"/>
      <c r="W647" s="209"/>
      <c r="X647" s="209"/>
      <c r="Y647" s="209"/>
      <c r="Z647" s="209"/>
      <c r="AA647" s="209"/>
      <c r="AB647" s="209"/>
      <c r="AC647" s="209"/>
      <c r="AD647" s="209"/>
      <c r="AE647" s="209"/>
      <c r="AF647" s="209"/>
      <c r="AG647" s="209"/>
      <c r="AH647" s="209"/>
      <c r="AI647" s="209"/>
      <c r="AJ647" s="209"/>
      <c r="AK647" s="209"/>
      <c r="AL647" s="209"/>
      <c r="AM647" s="209"/>
      <c r="AN647" s="209"/>
      <c r="AO647" s="97"/>
      <c r="AP647" s="97"/>
      <c r="AQ647" s="97"/>
      <c r="AR647" s="97"/>
      <c r="AS647" s="97"/>
      <c r="AT647" s="97"/>
      <c r="AU647" s="97"/>
      <c r="AV647" s="97"/>
      <c r="AW647" s="97"/>
      <c r="AX647" s="97"/>
    </row>
    <row r="648" ht="15.75" customHeight="1">
      <c r="A648" s="114" t="s">
        <v>4787</v>
      </c>
      <c r="B648" s="165" t="s">
        <v>4827</v>
      </c>
      <c r="C648" s="76" t="s">
        <v>5793</v>
      </c>
      <c r="D648" s="76" t="s">
        <v>5794</v>
      </c>
      <c r="E648" s="117" t="s">
        <v>5795</v>
      </c>
      <c r="F648" s="76" t="s">
        <v>1746</v>
      </c>
      <c r="G648" s="76" t="s">
        <v>4716</v>
      </c>
      <c r="H648" s="76" t="s">
        <v>1748</v>
      </c>
      <c r="I648" s="118"/>
      <c r="J648" s="120"/>
      <c r="K648" s="118"/>
      <c r="L648" s="118"/>
      <c r="M648" s="118"/>
      <c r="N648" s="118"/>
      <c r="O648" s="118" t="s">
        <v>5792</v>
      </c>
      <c r="P648" s="118"/>
      <c r="Q648" s="118" t="s">
        <v>184</v>
      </c>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97"/>
      <c r="AP648" s="97"/>
      <c r="AQ648" s="97"/>
      <c r="AR648" s="97"/>
      <c r="AS648" s="97"/>
      <c r="AT648" s="97"/>
      <c r="AU648" s="97"/>
      <c r="AV648" s="97"/>
      <c r="AW648" s="97"/>
      <c r="AX648" s="97"/>
    </row>
    <row r="649" ht="15.75" customHeight="1">
      <c r="A649" s="162" t="s">
        <v>217</v>
      </c>
      <c r="B649" s="166" t="s">
        <v>4832</v>
      </c>
      <c r="C649" s="76" t="s">
        <v>5796</v>
      </c>
      <c r="D649" s="76" t="s">
        <v>5797</v>
      </c>
      <c r="E649" s="117" t="s">
        <v>5798</v>
      </c>
      <c r="F649" s="76"/>
      <c r="G649" s="76"/>
      <c r="H649" s="76"/>
      <c r="I649" s="182"/>
      <c r="J649" s="183"/>
      <c r="K649" s="182"/>
      <c r="L649" s="182"/>
      <c r="M649" s="182"/>
      <c r="N649" s="182"/>
      <c r="O649" s="182" t="s">
        <v>5799</v>
      </c>
      <c r="P649" s="182"/>
      <c r="Q649" s="182" t="s">
        <v>184</v>
      </c>
      <c r="R649" s="182"/>
      <c r="S649" s="182"/>
      <c r="T649" s="182"/>
      <c r="U649" s="182"/>
      <c r="V649" s="182"/>
      <c r="W649" s="182"/>
      <c r="X649" s="182"/>
      <c r="Y649" s="182"/>
      <c r="Z649" s="182"/>
      <c r="AA649" s="182"/>
      <c r="AB649" s="182"/>
      <c r="AC649" s="182"/>
      <c r="AD649" s="182"/>
      <c r="AE649" s="182"/>
      <c r="AF649" s="182"/>
      <c r="AG649" s="182"/>
      <c r="AH649" s="182"/>
      <c r="AI649" s="182"/>
      <c r="AJ649" s="182"/>
      <c r="AK649" s="182"/>
      <c r="AL649" s="182"/>
      <c r="AM649" s="182"/>
      <c r="AN649" s="182"/>
      <c r="AO649" s="97"/>
      <c r="AP649" s="97"/>
      <c r="AQ649" s="97"/>
      <c r="AR649" s="97"/>
      <c r="AS649" s="97"/>
      <c r="AT649" s="97"/>
      <c r="AU649" s="97"/>
      <c r="AV649" s="97"/>
      <c r="AW649" s="97"/>
      <c r="AX649" s="97"/>
    </row>
    <row r="650" ht="15.75" customHeight="1">
      <c r="A650" s="114" t="s">
        <v>680</v>
      </c>
      <c r="B650" s="165" t="s">
        <v>4833</v>
      </c>
      <c r="C650" s="76" t="s">
        <v>5800</v>
      </c>
      <c r="D650" s="76" t="s">
        <v>5801</v>
      </c>
      <c r="E650" s="117" t="s">
        <v>5802</v>
      </c>
      <c r="F650" s="76"/>
      <c r="G650" s="76"/>
      <c r="H650" s="76"/>
      <c r="I650" s="118"/>
      <c r="J650" s="120"/>
      <c r="K650" s="118"/>
      <c r="L650" s="118"/>
      <c r="M650" s="118"/>
      <c r="N650" s="118"/>
      <c r="O650" s="118"/>
      <c r="P650" s="118"/>
      <c r="Q650" s="118" t="s">
        <v>184</v>
      </c>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97"/>
      <c r="AP650" s="97"/>
      <c r="AQ650" s="97"/>
      <c r="AR650" s="97"/>
      <c r="AS650" s="97"/>
      <c r="AT650" s="97"/>
      <c r="AU650" s="97"/>
      <c r="AV650" s="97"/>
      <c r="AW650" s="97"/>
      <c r="AX650" s="97"/>
    </row>
    <row r="651" ht="15.75" customHeight="1">
      <c r="A651" s="170" t="s">
        <v>238</v>
      </c>
      <c r="B651" s="171" t="s">
        <v>4835</v>
      </c>
      <c r="C651" s="76" t="s">
        <v>5803</v>
      </c>
      <c r="D651" s="76" t="s">
        <v>5804</v>
      </c>
      <c r="E651" s="117" t="s">
        <v>5805</v>
      </c>
      <c r="F651" s="76"/>
      <c r="G651" s="76"/>
      <c r="H651" s="76"/>
      <c r="I651" s="209"/>
      <c r="J651" s="209"/>
      <c r="K651" s="210" t="s">
        <v>2607</v>
      </c>
      <c r="L651" s="210"/>
      <c r="M651" s="209"/>
      <c r="N651" s="209"/>
      <c r="O651" s="209" t="s">
        <v>5806</v>
      </c>
      <c r="P651" s="209"/>
      <c r="Q651" s="209" t="s">
        <v>184</v>
      </c>
      <c r="R651" s="209"/>
      <c r="S651" s="209"/>
      <c r="T651" s="209"/>
      <c r="U651" s="209"/>
      <c r="V651" s="209"/>
      <c r="W651" s="209"/>
      <c r="X651" s="209"/>
      <c r="Y651" s="209"/>
      <c r="Z651" s="209"/>
      <c r="AA651" s="209"/>
      <c r="AB651" s="209"/>
      <c r="AC651" s="209"/>
      <c r="AD651" s="209"/>
      <c r="AE651" s="209"/>
      <c r="AF651" s="209"/>
      <c r="AG651" s="209"/>
      <c r="AH651" s="209"/>
      <c r="AI651" s="209"/>
      <c r="AJ651" s="209"/>
      <c r="AK651" s="209"/>
      <c r="AL651" s="209"/>
      <c r="AM651" s="209"/>
      <c r="AN651" s="209"/>
      <c r="AO651" s="97"/>
      <c r="AP651" s="97"/>
      <c r="AQ651" s="97"/>
      <c r="AR651" s="97"/>
      <c r="AS651" s="97"/>
      <c r="AT651" s="97"/>
      <c r="AU651" s="97"/>
      <c r="AV651" s="97"/>
      <c r="AW651" s="97"/>
      <c r="AX651" s="97"/>
    </row>
    <row r="652" ht="15.75" customHeight="1">
      <c r="A652" s="114" t="s">
        <v>4794</v>
      </c>
      <c r="B652" s="165" t="s">
        <v>4836</v>
      </c>
      <c r="C652" s="76" t="s">
        <v>5807</v>
      </c>
      <c r="D652" s="76" t="s">
        <v>5808</v>
      </c>
      <c r="E652" s="117" t="s">
        <v>5809</v>
      </c>
      <c r="F652" s="76" t="s">
        <v>1746</v>
      </c>
      <c r="G652" s="76" t="s">
        <v>4716</v>
      </c>
      <c r="H652" s="76" t="s">
        <v>1748</v>
      </c>
      <c r="I652" s="118"/>
      <c r="J652" s="120"/>
      <c r="K652" s="118"/>
      <c r="L652" s="118"/>
      <c r="M652" s="118"/>
      <c r="N652" s="118"/>
      <c r="O652" s="118" t="s">
        <v>5806</v>
      </c>
      <c r="P652" s="118"/>
      <c r="Q652" s="118" t="s">
        <v>184</v>
      </c>
      <c r="R652" s="118"/>
      <c r="S652" s="118"/>
      <c r="T652" s="118"/>
      <c r="U652" s="118"/>
      <c r="V652" s="118"/>
      <c r="W652" s="118"/>
      <c r="X652" s="118"/>
      <c r="Y652" s="118"/>
      <c r="Z652" s="118"/>
      <c r="AA652" s="118"/>
      <c r="AB652" s="118"/>
      <c r="AC652" s="118"/>
      <c r="AD652" s="118"/>
      <c r="AE652" s="118"/>
      <c r="AF652" s="118"/>
      <c r="AG652" s="118"/>
      <c r="AH652" s="118"/>
      <c r="AI652" s="118"/>
      <c r="AJ652" s="118"/>
      <c r="AK652" s="118"/>
      <c r="AL652" s="118"/>
      <c r="AM652" s="118"/>
      <c r="AN652" s="118"/>
      <c r="AO652" s="97"/>
      <c r="AP652" s="97"/>
      <c r="AQ652" s="97"/>
      <c r="AR652" s="97"/>
      <c r="AS652" s="97"/>
      <c r="AT652" s="97"/>
      <c r="AU652" s="97"/>
      <c r="AV652" s="97"/>
      <c r="AW652" s="97"/>
      <c r="AX652" s="97"/>
    </row>
    <row r="653" ht="15.75" customHeight="1">
      <c r="A653" s="162" t="s">
        <v>217</v>
      </c>
      <c r="B653" s="166" t="s">
        <v>4838</v>
      </c>
      <c r="C653" s="76" t="s">
        <v>5810</v>
      </c>
      <c r="D653" s="76" t="s">
        <v>5811</v>
      </c>
      <c r="E653" s="117" t="s">
        <v>5812</v>
      </c>
      <c r="F653" s="76"/>
      <c r="G653" s="76"/>
      <c r="H653" s="76"/>
      <c r="I653" s="182"/>
      <c r="J653" s="183"/>
      <c r="K653" s="182"/>
      <c r="L653" s="182"/>
      <c r="M653" s="182"/>
      <c r="N653" s="182"/>
      <c r="O653" s="182" t="s">
        <v>5813</v>
      </c>
      <c r="P653" s="182"/>
      <c r="Q653" s="182" t="s">
        <v>184</v>
      </c>
      <c r="R653" s="182"/>
      <c r="S653" s="182"/>
      <c r="T653" s="182"/>
      <c r="U653" s="182"/>
      <c r="V653" s="182"/>
      <c r="W653" s="182"/>
      <c r="X653" s="182"/>
      <c r="Y653" s="182"/>
      <c r="Z653" s="182"/>
      <c r="AA653" s="182"/>
      <c r="AB653" s="182"/>
      <c r="AC653" s="182"/>
      <c r="AD653" s="182"/>
      <c r="AE653" s="182"/>
      <c r="AF653" s="182"/>
      <c r="AG653" s="182"/>
      <c r="AH653" s="182"/>
      <c r="AI653" s="182"/>
      <c r="AJ653" s="182"/>
      <c r="AK653" s="182"/>
      <c r="AL653" s="182"/>
      <c r="AM653" s="182"/>
      <c r="AN653" s="182"/>
      <c r="AO653" s="97"/>
      <c r="AP653" s="97"/>
      <c r="AQ653" s="97"/>
      <c r="AR653" s="97"/>
      <c r="AS653" s="97"/>
      <c r="AT653" s="97"/>
      <c r="AU653" s="97"/>
      <c r="AV653" s="97"/>
      <c r="AW653" s="97"/>
      <c r="AX653" s="97"/>
    </row>
    <row r="654" ht="15.75" customHeight="1">
      <c r="A654" s="114" t="s">
        <v>680</v>
      </c>
      <c r="B654" s="165" t="s">
        <v>4839</v>
      </c>
      <c r="C654" s="76" t="s">
        <v>5814</v>
      </c>
      <c r="D654" s="76" t="s">
        <v>5815</v>
      </c>
      <c r="E654" s="117" t="s">
        <v>5816</v>
      </c>
      <c r="F654" s="76"/>
      <c r="G654" s="76"/>
      <c r="H654" s="76"/>
      <c r="I654" s="118"/>
      <c r="J654" s="120"/>
      <c r="K654" s="118"/>
      <c r="L654" s="118"/>
      <c r="M654" s="118"/>
      <c r="N654" s="118"/>
      <c r="O654" s="118"/>
      <c r="P654" s="118"/>
      <c r="Q654" s="118" t="s">
        <v>184</v>
      </c>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97"/>
      <c r="AP654" s="97"/>
      <c r="AQ654" s="97"/>
      <c r="AR654" s="97"/>
      <c r="AS654" s="97"/>
      <c r="AT654" s="97"/>
      <c r="AU654" s="97"/>
      <c r="AV654" s="97"/>
      <c r="AW654" s="97"/>
      <c r="AX654" s="97"/>
    </row>
    <row r="655" ht="15.75" customHeight="1">
      <c r="A655" s="170" t="s">
        <v>238</v>
      </c>
      <c r="B655" s="171" t="s">
        <v>4840</v>
      </c>
      <c r="C655" s="76" t="s">
        <v>5817</v>
      </c>
      <c r="D655" s="76" t="s">
        <v>5818</v>
      </c>
      <c r="E655" s="117" t="s">
        <v>5819</v>
      </c>
      <c r="F655" s="76"/>
      <c r="G655" s="76"/>
      <c r="H655" s="76"/>
      <c r="I655" s="209"/>
      <c r="J655" s="209"/>
      <c r="K655" s="210" t="s">
        <v>2607</v>
      </c>
      <c r="L655" s="210"/>
      <c r="M655" s="209"/>
      <c r="N655" s="209"/>
      <c r="O655" s="209" t="s">
        <v>5820</v>
      </c>
      <c r="P655" s="209"/>
      <c r="Q655" s="209" t="s">
        <v>184</v>
      </c>
      <c r="R655" s="209"/>
      <c r="S655" s="209"/>
      <c r="T655" s="209"/>
      <c r="U655" s="209"/>
      <c r="V655" s="209"/>
      <c r="W655" s="209"/>
      <c r="X655" s="209"/>
      <c r="Y655" s="209"/>
      <c r="Z655" s="209"/>
      <c r="AA655" s="209"/>
      <c r="AB655" s="209"/>
      <c r="AC655" s="209"/>
      <c r="AD655" s="209"/>
      <c r="AE655" s="209"/>
      <c r="AF655" s="209"/>
      <c r="AG655" s="209"/>
      <c r="AH655" s="209"/>
      <c r="AI655" s="209"/>
      <c r="AJ655" s="209"/>
      <c r="AK655" s="209"/>
      <c r="AL655" s="209"/>
      <c r="AM655" s="209"/>
      <c r="AN655" s="209"/>
      <c r="AO655" s="97"/>
      <c r="AP655" s="97"/>
      <c r="AQ655" s="97"/>
      <c r="AR655" s="97"/>
      <c r="AS655" s="97"/>
      <c r="AT655" s="97"/>
      <c r="AU655" s="97"/>
      <c r="AV655" s="97"/>
      <c r="AW655" s="97"/>
      <c r="AX655" s="97"/>
    </row>
    <row r="656" ht="15.75" customHeight="1">
      <c r="A656" s="114" t="s">
        <v>4787</v>
      </c>
      <c r="B656" s="165" t="s">
        <v>4842</v>
      </c>
      <c r="C656" s="76" t="s">
        <v>5821</v>
      </c>
      <c r="D656" s="76" t="s">
        <v>5822</v>
      </c>
      <c r="E656" s="117" t="s">
        <v>5823</v>
      </c>
      <c r="F656" s="76" t="s">
        <v>1746</v>
      </c>
      <c r="G656" s="76" t="s">
        <v>4716</v>
      </c>
      <c r="H656" s="76" t="s">
        <v>1748</v>
      </c>
      <c r="I656" s="118"/>
      <c r="J656" s="120"/>
      <c r="K656" s="118"/>
      <c r="L656" s="118"/>
      <c r="M656" s="118"/>
      <c r="N656" s="118"/>
      <c r="O656" s="118" t="s">
        <v>5820</v>
      </c>
      <c r="P656" s="118"/>
      <c r="Q656" s="118" t="s">
        <v>184</v>
      </c>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97"/>
      <c r="AP656" s="97"/>
      <c r="AQ656" s="97"/>
      <c r="AR656" s="97"/>
      <c r="AS656" s="97"/>
      <c r="AT656" s="97"/>
      <c r="AU656" s="97"/>
      <c r="AV656" s="97"/>
      <c r="AW656" s="97"/>
      <c r="AX656" s="97"/>
    </row>
    <row r="657" ht="15.75" customHeight="1">
      <c r="A657" s="162" t="s">
        <v>217</v>
      </c>
      <c r="B657" s="166" t="s">
        <v>4843</v>
      </c>
      <c r="C657" s="76" t="s">
        <v>5824</v>
      </c>
      <c r="D657" s="76" t="s">
        <v>5825</v>
      </c>
      <c r="E657" s="117" t="s">
        <v>5826</v>
      </c>
      <c r="F657" s="76"/>
      <c r="G657" s="76"/>
      <c r="H657" s="76"/>
      <c r="I657" s="182"/>
      <c r="J657" s="183"/>
      <c r="K657" s="182"/>
      <c r="L657" s="182"/>
      <c r="M657" s="182"/>
      <c r="N657" s="182"/>
      <c r="O657" s="182" t="s">
        <v>5827</v>
      </c>
      <c r="P657" s="182"/>
      <c r="Q657" s="182" t="s">
        <v>184</v>
      </c>
      <c r="R657" s="182"/>
      <c r="S657" s="182"/>
      <c r="T657" s="182"/>
      <c r="U657" s="182"/>
      <c r="V657" s="182"/>
      <c r="W657" s="182"/>
      <c r="X657" s="182"/>
      <c r="Y657" s="182"/>
      <c r="Z657" s="182"/>
      <c r="AA657" s="182"/>
      <c r="AB657" s="182"/>
      <c r="AC657" s="182"/>
      <c r="AD657" s="182"/>
      <c r="AE657" s="182"/>
      <c r="AF657" s="182"/>
      <c r="AG657" s="182"/>
      <c r="AH657" s="182"/>
      <c r="AI657" s="182"/>
      <c r="AJ657" s="182"/>
      <c r="AK657" s="182"/>
      <c r="AL657" s="182"/>
      <c r="AM657" s="182"/>
      <c r="AN657" s="182"/>
      <c r="AO657" s="97"/>
      <c r="AP657" s="97"/>
      <c r="AQ657" s="97"/>
      <c r="AR657" s="97"/>
      <c r="AS657" s="97"/>
      <c r="AT657" s="97"/>
      <c r="AU657" s="97"/>
      <c r="AV657" s="97"/>
      <c r="AW657" s="97"/>
      <c r="AX657" s="97"/>
    </row>
    <row r="658" ht="15.75" customHeight="1">
      <c r="A658" s="114" t="s">
        <v>680</v>
      </c>
      <c r="B658" s="165" t="s">
        <v>4845</v>
      </c>
      <c r="C658" s="76" t="s">
        <v>5828</v>
      </c>
      <c r="D658" s="76" t="s">
        <v>5829</v>
      </c>
      <c r="E658" s="117" t="s">
        <v>5830</v>
      </c>
      <c r="F658" s="76"/>
      <c r="G658" s="76"/>
      <c r="H658" s="76"/>
      <c r="I658" s="118"/>
      <c r="J658" s="120"/>
      <c r="K658" s="118"/>
      <c r="L658" s="118"/>
      <c r="M658" s="118"/>
      <c r="N658" s="118"/>
      <c r="O658" s="118"/>
      <c r="P658" s="118"/>
      <c r="Q658" s="118" t="s">
        <v>184</v>
      </c>
      <c r="R658" s="118"/>
      <c r="S658" s="118"/>
      <c r="T658" s="118"/>
      <c r="U658" s="118"/>
      <c r="V658" s="118"/>
      <c r="W658" s="118"/>
      <c r="X658" s="118"/>
      <c r="Y658" s="118"/>
      <c r="Z658" s="118"/>
      <c r="AA658" s="118"/>
      <c r="AB658" s="118"/>
      <c r="AC658" s="118"/>
      <c r="AD658" s="118"/>
      <c r="AE658" s="118"/>
      <c r="AF658" s="118"/>
      <c r="AG658" s="118"/>
      <c r="AH658" s="118"/>
      <c r="AI658" s="118"/>
      <c r="AJ658" s="118"/>
      <c r="AK658" s="118"/>
      <c r="AL658" s="118"/>
      <c r="AM658" s="118"/>
      <c r="AN658" s="118"/>
      <c r="AO658" s="97"/>
      <c r="AP658" s="97"/>
      <c r="AQ658" s="97"/>
      <c r="AR658" s="97"/>
      <c r="AS658" s="97"/>
      <c r="AT658" s="97"/>
      <c r="AU658" s="97"/>
      <c r="AV658" s="97"/>
      <c r="AW658" s="97"/>
      <c r="AX658" s="97"/>
    </row>
    <row r="659" ht="15.75" customHeight="1">
      <c r="A659" s="170" t="s">
        <v>238</v>
      </c>
      <c r="B659" s="171" t="s">
        <v>4846</v>
      </c>
      <c r="C659" s="76" t="s">
        <v>5831</v>
      </c>
      <c r="D659" s="76" t="s">
        <v>5832</v>
      </c>
      <c r="E659" s="117" t="s">
        <v>5833</v>
      </c>
      <c r="F659" s="76"/>
      <c r="G659" s="76"/>
      <c r="H659" s="76"/>
      <c r="I659" s="209"/>
      <c r="J659" s="209"/>
      <c r="K659" s="210" t="s">
        <v>2607</v>
      </c>
      <c r="L659" s="210"/>
      <c r="M659" s="209"/>
      <c r="N659" s="209"/>
      <c r="O659" s="209" t="s">
        <v>5834</v>
      </c>
      <c r="P659" s="209"/>
      <c r="Q659" s="209" t="s">
        <v>184</v>
      </c>
      <c r="R659" s="209"/>
      <c r="S659" s="209"/>
      <c r="T659" s="209"/>
      <c r="U659" s="209"/>
      <c r="V659" s="209"/>
      <c r="W659" s="209"/>
      <c r="X659" s="209"/>
      <c r="Y659" s="209"/>
      <c r="Z659" s="209"/>
      <c r="AA659" s="209"/>
      <c r="AB659" s="209"/>
      <c r="AC659" s="209"/>
      <c r="AD659" s="209"/>
      <c r="AE659" s="209"/>
      <c r="AF659" s="209"/>
      <c r="AG659" s="209"/>
      <c r="AH659" s="209"/>
      <c r="AI659" s="209"/>
      <c r="AJ659" s="209"/>
      <c r="AK659" s="209"/>
      <c r="AL659" s="209"/>
      <c r="AM659" s="209"/>
      <c r="AN659" s="209"/>
      <c r="AO659" s="97"/>
      <c r="AP659" s="97"/>
      <c r="AQ659" s="97"/>
      <c r="AR659" s="97"/>
      <c r="AS659" s="97"/>
      <c r="AT659" s="97"/>
      <c r="AU659" s="97"/>
      <c r="AV659" s="97"/>
      <c r="AW659" s="97"/>
      <c r="AX659" s="97"/>
    </row>
    <row r="660" ht="15.75" customHeight="1">
      <c r="A660" s="114" t="s">
        <v>4794</v>
      </c>
      <c r="B660" s="165" t="s">
        <v>4848</v>
      </c>
      <c r="C660" s="76" t="s">
        <v>5835</v>
      </c>
      <c r="D660" s="76" t="s">
        <v>5836</v>
      </c>
      <c r="E660" s="117" t="s">
        <v>5837</v>
      </c>
      <c r="F660" s="76" t="s">
        <v>1746</v>
      </c>
      <c r="G660" s="76" t="s">
        <v>4716</v>
      </c>
      <c r="H660" s="76" t="s">
        <v>1748</v>
      </c>
      <c r="I660" s="118"/>
      <c r="J660" s="120"/>
      <c r="K660" s="118"/>
      <c r="L660" s="118"/>
      <c r="M660" s="118"/>
      <c r="N660" s="118"/>
      <c r="O660" s="118" t="s">
        <v>5834</v>
      </c>
      <c r="P660" s="118"/>
      <c r="Q660" s="118" t="s">
        <v>184</v>
      </c>
      <c r="R660" s="118"/>
      <c r="S660" s="118"/>
      <c r="T660" s="118"/>
      <c r="U660" s="118"/>
      <c r="V660" s="118"/>
      <c r="W660" s="118"/>
      <c r="X660" s="118"/>
      <c r="Y660" s="118"/>
      <c r="Z660" s="118"/>
      <c r="AA660" s="118"/>
      <c r="AB660" s="118"/>
      <c r="AC660" s="118"/>
      <c r="AD660" s="118"/>
      <c r="AE660" s="118"/>
      <c r="AF660" s="118"/>
      <c r="AG660" s="118"/>
      <c r="AH660" s="118"/>
      <c r="AI660" s="118"/>
      <c r="AJ660" s="118"/>
      <c r="AK660" s="118"/>
      <c r="AL660" s="118"/>
      <c r="AM660" s="118"/>
      <c r="AN660" s="118"/>
      <c r="AO660" s="97"/>
      <c r="AP660" s="97"/>
      <c r="AQ660" s="97"/>
      <c r="AR660" s="97"/>
      <c r="AS660" s="97"/>
      <c r="AT660" s="97"/>
      <c r="AU660" s="97"/>
      <c r="AV660" s="97"/>
      <c r="AW660" s="97"/>
      <c r="AX660" s="97"/>
    </row>
    <row r="661" ht="15.75" customHeight="1">
      <c r="A661" s="162" t="s">
        <v>217</v>
      </c>
      <c r="B661" s="166" t="s">
        <v>4849</v>
      </c>
      <c r="C661" s="76" t="s">
        <v>5838</v>
      </c>
      <c r="D661" s="76" t="s">
        <v>5839</v>
      </c>
      <c r="E661" s="117" t="s">
        <v>5840</v>
      </c>
      <c r="F661" s="76"/>
      <c r="G661" s="76"/>
      <c r="H661" s="76"/>
      <c r="I661" s="182"/>
      <c r="J661" s="183"/>
      <c r="K661" s="182"/>
      <c r="L661" s="182"/>
      <c r="M661" s="182"/>
      <c r="N661" s="182"/>
      <c r="O661" s="182" t="s">
        <v>5841</v>
      </c>
      <c r="P661" s="182"/>
      <c r="Q661" s="182" t="s">
        <v>184</v>
      </c>
      <c r="R661" s="182"/>
      <c r="S661" s="182"/>
      <c r="T661" s="182"/>
      <c r="U661" s="182"/>
      <c r="V661" s="182"/>
      <c r="W661" s="182"/>
      <c r="X661" s="182"/>
      <c r="Y661" s="182"/>
      <c r="Z661" s="182"/>
      <c r="AA661" s="182"/>
      <c r="AB661" s="182"/>
      <c r="AC661" s="182"/>
      <c r="AD661" s="182"/>
      <c r="AE661" s="182"/>
      <c r="AF661" s="182"/>
      <c r="AG661" s="182"/>
      <c r="AH661" s="182"/>
      <c r="AI661" s="182"/>
      <c r="AJ661" s="182"/>
      <c r="AK661" s="182"/>
      <c r="AL661" s="182"/>
      <c r="AM661" s="182"/>
      <c r="AN661" s="182"/>
      <c r="AO661" s="97"/>
      <c r="AP661" s="97"/>
      <c r="AQ661" s="97"/>
      <c r="AR661" s="97"/>
      <c r="AS661" s="97"/>
      <c r="AT661" s="97"/>
      <c r="AU661" s="97"/>
      <c r="AV661" s="97"/>
      <c r="AW661" s="97"/>
      <c r="AX661" s="97"/>
    </row>
    <row r="662" ht="15.75" customHeight="1">
      <c r="A662" s="114" t="s">
        <v>4851</v>
      </c>
      <c r="B662" s="165" t="s">
        <v>4852</v>
      </c>
      <c r="C662" s="76" t="s">
        <v>5842</v>
      </c>
      <c r="D662" s="76" t="s">
        <v>5843</v>
      </c>
      <c r="E662" s="117" t="s">
        <v>5844</v>
      </c>
      <c r="F662" s="76" t="s">
        <v>5845</v>
      </c>
      <c r="G662" s="76" t="s">
        <v>5846</v>
      </c>
      <c r="H662" s="76" t="s">
        <v>5847</v>
      </c>
      <c r="I662" s="118"/>
      <c r="J662" s="120"/>
      <c r="K662" s="118" t="s">
        <v>5444</v>
      </c>
      <c r="L662" s="118"/>
      <c r="M662" s="118"/>
      <c r="N662" s="118"/>
      <c r="O662" s="118"/>
      <c r="P662" s="118"/>
      <c r="Q662" s="118" t="s">
        <v>184</v>
      </c>
      <c r="R662" s="118"/>
      <c r="S662" s="118"/>
      <c r="T662" s="118"/>
      <c r="U662" s="118"/>
      <c r="V662" s="118"/>
      <c r="W662" s="118"/>
      <c r="X662" s="118"/>
      <c r="Y662" s="118"/>
      <c r="Z662" s="118"/>
      <c r="AA662" s="118"/>
      <c r="AB662" s="118"/>
      <c r="AC662" s="118"/>
      <c r="AD662" s="97"/>
      <c r="AE662" s="97"/>
      <c r="AF662" s="97"/>
      <c r="AG662" s="97"/>
      <c r="AH662" s="97"/>
      <c r="AI662" s="97"/>
      <c r="AJ662" s="97"/>
      <c r="AK662" s="97"/>
      <c r="AL662" s="84"/>
      <c r="AM662" s="84"/>
      <c r="AN662" s="84"/>
      <c r="AO662" s="97"/>
      <c r="AP662" s="97"/>
      <c r="AQ662" s="97"/>
      <c r="AR662" s="97"/>
      <c r="AS662" s="97"/>
      <c r="AT662" s="97"/>
      <c r="AU662" s="97"/>
      <c r="AV662" s="97"/>
      <c r="AW662" s="97"/>
      <c r="AX662" s="97"/>
    </row>
    <row r="663" ht="15.75" customHeight="1">
      <c r="A663" s="239" t="s">
        <v>238</v>
      </c>
      <c r="B663" s="157" t="s">
        <v>4853</v>
      </c>
      <c r="C663" s="76" t="s">
        <v>5848</v>
      </c>
      <c r="D663" s="76" t="s">
        <v>5849</v>
      </c>
      <c r="E663" s="117" t="s">
        <v>5850</v>
      </c>
      <c r="F663" s="76"/>
      <c r="G663" s="76"/>
      <c r="H663" s="76"/>
      <c r="I663" s="209"/>
      <c r="J663" s="209"/>
      <c r="K663" s="295" t="s">
        <v>1526</v>
      </c>
      <c r="L663" s="210"/>
      <c r="M663" s="209"/>
      <c r="N663" s="209"/>
      <c r="O663" s="218" t="s">
        <v>5851</v>
      </c>
      <c r="P663" s="209"/>
      <c r="Q663" s="209"/>
      <c r="R663" s="209"/>
      <c r="S663" s="209"/>
      <c r="T663" s="209"/>
      <c r="U663" s="209"/>
      <c r="V663" s="209"/>
      <c r="W663" s="209"/>
      <c r="X663" s="209"/>
      <c r="Y663" s="209"/>
      <c r="Z663" s="209"/>
      <c r="AA663" s="209"/>
      <c r="AB663" s="209"/>
      <c r="AC663" s="209"/>
      <c r="AD663" s="97"/>
      <c r="AE663" s="97"/>
      <c r="AF663" s="97"/>
      <c r="AG663" s="97"/>
      <c r="AH663" s="97"/>
      <c r="AI663" s="97"/>
      <c r="AJ663" s="97"/>
      <c r="AK663" s="97"/>
      <c r="AL663" s="84"/>
      <c r="AM663" s="84"/>
      <c r="AN663" s="84"/>
      <c r="AO663" s="97"/>
      <c r="AP663" s="97"/>
      <c r="AQ663" s="97"/>
      <c r="AR663" s="97"/>
      <c r="AS663" s="97"/>
      <c r="AT663" s="97"/>
      <c r="AU663" s="97"/>
      <c r="AV663" s="97"/>
      <c r="AW663" s="97"/>
      <c r="AX663" s="97"/>
    </row>
    <row r="664" ht="15.75" customHeight="1">
      <c r="A664" s="170" t="s">
        <v>238</v>
      </c>
      <c r="B664" s="171" t="s">
        <v>4860</v>
      </c>
      <c r="C664" s="76" t="s">
        <v>5852</v>
      </c>
      <c r="D664" s="76" t="s">
        <v>5853</v>
      </c>
      <c r="E664" s="117" t="s">
        <v>5854</v>
      </c>
      <c r="F664" s="76" t="s">
        <v>5855</v>
      </c>
      <c r="G664" s="76" t="s">
        <v>5856</v>
      </c>
      <c r="H664" s="76" t="s">
        <v>5857</v>
      </c>
      <c r="I664" s="209"/>
      <c r="J664" s="209"/>
      <c r="K664" s="210"/>
      <c r="L664" s="210"/>
      <c r="M664" s="209"/>
      <c r="N664" s="209"/>
      <c r="O664" s="209"/>
      <c r="P664" s="209"/>
      <c r="Q664" s="209" t="s">
        <v>184</v>
      </c>
      <c r="R664" s="209"/>
      <c r="S664" s="209"/>
      <c r="T664" s="209"/>
      <c r="U664" s="209"/>
      <c r="V664" s="209"/>
      <c r="W664" s="209"/>
      <c r="X664" s="209"/>
      <c r="Y664" s="209"/>
      <c r="Z664" s="209"/>
      <c r="AA664" s="209"/>
      <c r="AB664" s="209"/>
      <c r="AC664" s="209"/>
      <c r="AD664" s="97"/>
      <c r="AE664" s="97"/>
      <c r="AF664" s="97"/>
      <c r="AG664" s="97"/>
      <c r="AH664" s="97"/>
      <c r="AI664" s="97"/>
      <c r="AJ664" s="97"/>
      <c r="AK664" s="97"/>
      <c r="AL664" s="84"/>
      <c r="AM664" s="84"/>
      <c r="AN664" s="84"/>
      <c r="AO664" s="97"/>
      <c r="AP664" s="97"/>
      <c r="AQ664" s="97"/>
      <c r="AR664" s="97"/>
      <c r="AS664" s="97"/>
      <c r="AT664" s="97"/>
      <c r="AU664" s="97"/>
      <c r="AV664" s="97"/>
      <c r="AW664" s="97"/>
      <c r="AX664" s="97"/>
    </row>
    <row r="665" ht="15.75" customHeight="1">
      <c r="A665" s="131" t="s">
        <v>150</v>
      </c>
      <c r="B665" s="164" t="s">
        <v>4864</v>
      </c>
      <c r="C665" s="133"/>
      <c r="D665" s="133"/>
      <c r="E665" s="133"/>
      <c r="F665" s="134"/>
      <c r="G665" s="134"/>
      <c r="H665" s="134"/>
      <c r="I665" s="134"/>
      <c r="J665" s="134"/>
      <c r="K665" s="134"/>
      <c r="L665" s="134"/>
      <c r="M665" s="134"/>
      <c r="N665" s="134"/>
      <c r="O665" s="134"/>
      <c r="P665" s="134"/>
      <c r="Q665" s="134"/>
      <c r="R665" s="134"/>
      <c r="S665" s="134"/>
      <c r="T665" s="291" t="s">
        <v>156</v>
      </c>
      <c r="U665" s="134"/>
      <c r="V665" s="134"/>
      <c r="W665" s="134"/>
      <c r="X665" s="134"/>
      <c r="Y665" s="134"/>
      <c r="Z665" s="134"/>
      <c r="AA665" s="134"/>
      <c r="AB665" s="134"/>
      <c r="AC665" s="134"/>
      <c r="AD665" s="97"/>
      <c r="AE665" s="97"/>
      <c r="AF665" s="97"/>
      <c r="AG665" s="97"/>
      <c r="AH665" s="97"/>
      <c r="AI665" s="97"/>
      <c r="AJ665" s="97"/>
      <c r="AK665" s="97"/>
      <c r="AL665" s="97"/>
      <c r="AM665" s="97"/>
      <c r="AN665" s="97"/>
      <c r="AO665" s="97"/>
      <c r="AP665" s="97"/>
      <c r="AQ665" s="97"/>
      <c r="AR665" s="97"/>
      <c r="AS665" s="97"/>
      <c r="AT665" s="97"/>
      <c r="AU665" s="97"/>
      <c r="AV665" s="97"/>
      <c r="AW665" s="97"/>
      <c r="AX665" s="97"/>
    </row>
    <row r="666" ht="15.75" customHeight="1">
      <c r="A666" s="80" t="s">
        <v>115</v>
      </c>
      <c r="B666" s="81" t="s">
        <v>4865</v>
      </c>
      <c r="C666" s="82"/>
      <c r="D666" s="83"/>
      <c r="E666" s="83"/>
      <c r="F666" s="84"/>
      <c r="G666" s="84"/>
      <c r="H666" s="84"/>
      <c r="I666" s="86"/>
      <c r="J666" s="86"/>
      <c r="K666" s="84"/>
      <c r="L666" s="86"/>
      <c r="M666" s="86"/>
      <c r="N666" s="86"/>
      <c r="O666" s="86"/>
      <c r="P666" s="84"/>
      <c r="Q666" s="84"/>
      <c r="R666" s="84"/>
      <c r="S666" s="84"/>
      <c r="T666" s="80" t="s">
        <v>5858</v>
      </c>
      <c r="U666" s="84"/>
      <c r="V666" s="84"/>
      <c r="W666" s="84"/>
      <c r="X666" s="84"/>
      <c r="Y666" s="84"/>
      <c r="Z666" s="84"/>
      <c r="AA666" s="84"/>
      <c r="AB666" s="84"/>
      <c r="AC666" s="84"/>
      <c r="AD666" s="97"/>
      <c r="AE666" s="97"/>
      <c r="AF666" s="97"/>
      <c r="AG666" s="97"/>
      <c r="AH666" s="97"/>
      <c r="AI666" s="97"/>
      <c r="AJ666" s="97"/>
      <c r="AK666" s="97"/>
      <c r="AL666" s="97"/>
      <c r="AM666" s="97"/>
      <c r="AN666" s="97"/>
      <c r="AO666" s="97"/>
      <c r="AP666" s="97"/>
      <c r="AQ666" s="97"/>
      <c r="AR666" s="97"/>
      <c r="AS666" s="97"/>
      <c r="AT666" s="97"/>
      <c r="AU666" s="97"/>
      <c r="AV666" s="97"/>
      <c r="AW666" s="97"/>
      <c r="AX666" s="97"/>
    </row>
    <row r="667" ht="15.75" customHeight="1">
      <c r="A667" s="150" t="s">
        <v>343</v>
      </c>
      <c r="B667" s="83" t="s">
        <v>4771</v>
      </c>
      <c r="C667" s="83" t="s">
        <v>4772</v>
      </c>
      <c r="D667" s="83"/>
      <c r="E667" s="83"/>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c r="AN667" s="84"/>
      <c r="AO667" s="97"/>
      <c r="AP667" s="97"/>
      <c r="AQ667" s="97"/>
      <c r="AR667" s="97"/>
      <c r="AS667" s="97"/>
      <c r="AT667" s="97"/>
      <c r="AU667" s="97"/>
      <c r="AV667" s="97"/>
      <c r="AW667" s="97"/>
      <c r="AX667" s="97"/>
    </row>
    <row r="668" ht="15.75" customHeight="1">
      <c r="A668" s="131" t="s">
        <v>150</v>
      </c>
      <c r="B668" s="164" t="s">
        <v>4866</v>
      </c>
      <c r="C668" s="133"/>
      <c r="D668" s="133"/>
      <c r="E668" s="133"/>
      <c r="F668" s="134"/>
      <c r="G668" s="134"/>
      <c r="H668" s="134"/>
      <c r="I668" s="134"/>
      <c r="J668" s="134"/>
      <c r="K668" s="134"/>
      <c r="L668" s="134"/>
      <c r="M668" s="134"/>
      <c r="N668" s="134"/>
      <c r="O668" s="134"/>
      <c r="P668" s="134"/>
      <c r="Q668" s="134"/>
      <c r="R668" s="134"/>
      <c r="S668" s="134"/>
      <c r="T668" s="291" t="s">
        <v>156</v>
      </c>
      <c r="U668" s="134"/>
      <c r="V668" s="134"/>
      <c r="W668" s="134"/>
      <c r="X668" s="134"/>
      <c r="Y668" s="134"/>
      <c r="Z668" s="134"/>
      <c r="AA668" s="134"/>
      <c r="AB668" s="134"/>
      <c r="AC668" s="134"/>
      <c r="AD668" s="97"/>
      <c r="AE668" s="97"/>
      <c r="AF668" s="97"/>
      <c r="AG668" s="97"/>
      <c r="AH668" s="97"/>
      <c r="AI668" s="97"/>
      <c r="AJ668" s="97"/>
      <c r="AK668" s="97"/>
      <c r="AL668" s="97"/>
      <c r="AM668" s="97"/>
      <c r="AN668" s="97"/>
      <c r="AO668" s="97"/>
      <c r="AP668" s="97"/>
      <c r="AQ668" s="97"/>
      <c r="AR668" s="97"/>
      <c r="AS668" s="97"/>
      <c r="AT668" s="97"/>
      <c r="AU668" s="97"/>
      <c r="AV668" s="97"/>
      <c r="AW668" s="97"/>
      <c r="AX668" s="97"/>
    </row>
    <row r="669" ht="15.75" customHeight="1">
      <c r="A669" s="150" t="s">
        <v>161</v>
      </c>
      <c r="B669" s="82" t="s">
        <v>4867</v>
      </c>
      <c r="C669" s="82" t="s">
        <v>4868</v>
      </c>
      <c r="D669" s="83" t="s">
        <v>4869</v>
      </c>
      <c r="E669" s="83" t="s">
        <v>4871</v>
      </c>
      <c r="F669" s="84"/>
      <c r="G669" s="84"/>
      <c r="H669" s="84"/>
      <c r="I669" s="84"/>
      <c r="J669" s="86" t="s">
        <v>1811</v>
      </c>
      <c r="K669" s="84"/>
      <c r="L669" s="84"/>
      <c r="M669" s="86"/>
      <c r="N669" s="86"/>
      <c r="O669" s="86"/>
      <c r="P669" s="84"/>
      <c r="Q669" s="84"/>
      <c r="R669" s="84"/>
      <c r="S669" s="84"/>
      <c r="T669" s="84"/>
      <c r="U669" s="84"/>
      <c r="V669" s="84"/>
      <c r="W669" s="84"/>
      <c r="X669" s="84"/>
      <c r="Y669" s="84"/>
      <c r="Z669" s="84"/>
      <c r="AA669" s="84"/>
      <c r="AB669" s="84"/>
      <c r="AC669" s="84"/>
      <c r="AD669" s="97"/>
      <c r="AE669" s="97"/>
      <c r="AF669" s="97"/>
      <c r="AG669" s="97"/>
      <c r="AH669" s="97"/>
      <c r="AI669" s="97"/>
      <c r="AJ669" s="97"/>
      <c r="AK669" s="97"/>
      <c r="AL669" s="97"/>
      <c r="AM669" s="97"/>
      <c r="AN669" s="97"/>
      <c r="AO669" s="97"/>
      <c r="AP669" s="97"/>
      <c r="AQ669" s="97"/>
      <c r="AR669" s="97"/>
      <c r="AS669" s="97"/>
      <c r="AT669" s="97"/>
      <c r="AU669" s="97"/>
      <c r="AV669" s="97"/>
      <c r="AW669" s="97"/>
      <c r="AX669" s="97"/>
    </row>
    <row r="670" ht="15.75" customHeight="1">
      <c r="A670" s="114" t="s">
        <v>541</v>
      </c>
      <c r="B670" s="165" t="s">
        <v>4874</v>
      </c>
      <c r="C670" s="76" t="s">
        <v>5859</v>
      </c>
      <c r="D670" s="76" t="s">
        <v>5860</v>
      </c>
      <c r="E670" s="117" t="s">
        <v>5861</v>
      </c>
      <c r="F670" s="76"/>
      <c r="G670" s="76"/>
      <c r="H670" s="76"/>
      <c r="I670" s="118"/>
      <c r="J670" s="120" t="s">
        <v>6</v>
      </c>
      <c r="K670" s="118"/>
      <c r="L670" s="118"/>
      <c r="M670" s="118"/>
      <c r="N670" s="118"/>
      <c r="O670" s="118"/>
      <c r="P670" s="118"/>
      <c r="Q670" s="118"/>
      <c r="R670" s="118"/>
      <c r="S670" s="118"/>
      <c r="T670" s="118"/>
      <c r="U670" s="118"/>
      <c r="V670" s="118"/>
      <c r="W670" s="118"/>
      <c r="X670" s="118"/>
      <c r="Y670" s="118"/>
      <c r="Z670" s="118"/>
      <c r="AA670" s="118"/>
      <c r="AB670" s="118"/>
      <c r="AC670" s="118"/>
      <c r="AD670" s="97"/>
      <c r="AE670" s="97"/>
      <c r="AF670" s="97"/>
      <c r="AG670" s="97"/>
      <c r="AH670" s="97"/>
      <c r="AI670" s="97"/>
      <c r="AJ670" s="97"/>
      <c r="AK670" s="97"/>
      <c r="AL670" s="118"/>
      <c r="AM670" s="118"/>
      <c r="AN670" s="118"/>
      <c r="AO670" s="97"/>
      <c r="AP670" s="97"/>
      <c r="AQ670" s="97"/>
      <c r="AR670" s="97"/>
      <c r="AS670" s="97"/>
      <c r="AT670" s="97"/>
      <c r="AU670" s="97"/>
      <c r="AV670" s="97"/>
      <c r="AW670" s="97"/>
      <c r="AX670" s="97"/>
    </row>
    <row r="671" ht="15.75" customHeight="1">
      <c r="A671" s="114" t="s">
        <v>541</v>
      </c>
      <c r="B671" s="165" t="s">
        <v>4880</v>
      </c>
      <c r="C671" s="76" t="s">
        <v>5862</v>
      </c>
      <c r="D671" s="76" t="s">
        <v>5863</v>
      </c>
      <c r="E671" s="117" t="s">
        <v>5864</v>
      </c>
      <c r="F671" s="76"/>
      <c r="G671" s="76"/>
      <c r="H671" s="76"/>
      <c r="I671" s="118"/>
      <c r="J671" s="120" t="s">
        <v>1837</v>
      </c>
      <c r="K671" s="118"/>
      <c r="L671" s="118"/>
      <c r="M671" s="118"/>
      <c r="N671" s="118"/>
      <c r="O671" s="118"/>
      <c r="P671" s="118"/>
      <c r="Q671" s="118" t="s">
        <v>184</v>
      </c>
      <c r="R671" s="118"/>
      <c r="S671" s="118"/>
      <c r="T671" s="118"/>
      <c r="U671" s="118"/>
      <c r="V671" s="118"/>
      <c r="W671" s="118"/>
      <c r="X671" s="118"/>
      <c r="Y671" s="118"/>
      <c r="Z671" s="118"/>
      <c r="AA671" s="118"/>
      <c r="AB671" s="118"/>
      <c r="AC671" s="118"/>
      <c r="AD671" s="97"/>
      <c r="AE671" s="97"/>
      <c r="AF671" s="97"/>
      <c r="AG671" s="97"/>
      <c r="AH671" s="97"/>
      <c r="AI671" s="97"/>
      <c r="AJ671" s="97"/>
      <c r="AK671" s="97"/>
      <c r="AL671" s="118"/>
      <c r="AM671" s="118"/>
      <c r="AN671" s="118"/>
      <c r="AO671" s="97"/>
      <c r="AP671" s="97"/>
      <c r="AQ671" s="97"/>
      <c r="AR671" s="97"/>
      <c r="AS671" s="97"/>
      <c r="AT671" s="97"/>
      <c r="AU671" s="97"/>
      <c r="AV671" s="97"/>
      <c r="AW671" s="97"/>
      <c r="AX671" s="97"/>
    </row>
    <row r="672" ht="15.75" customHeight="1">
      <c r="A672" s="114" t="s">
        <v>541</v>
      </c>
      <c r="B672" s="165" t="s">
        <v>4888</v>
      </c>
      <c r="C672" s="76" t="s">
        <v>5865</v>
      </c>
      <c r="D672" s="76" t="s">
        <v>5866</v>
      </c>
      <c r="E672" s="117" t="s">
        <v>5867</v>
      </c>
      <c r="F672" s="76"/>
      <c r="G672" s="76"/>
      <c r="H672" s="76"/>
      <c r="I672" s="118"/>
      <c r="J672" s="120" t="s">
        <v>1837</v>
      </c>
      <c r="K672" s="118"/>
      <c r="L672" s="118"/>
      <c r="M672" s="118"/>
      <c r="N672" s="118"/>
      <c r="O672" s="118"/>
      <c r="P672" s="118"/>
      <c r="Q672" s="118" t="s">
        <v>184</v>
      </c>
      <c r="R672" s="118"/>
      <c r="S672" s="118"/>
      <c r="T672" s="118"/>
      <c r="U672" s="118"/>
      <c r="V672" s="118"/>
      <c r="W672" s="118"/>
      <c r="X672" s="118"/>
      <c r="Y672" s="118"/>
      <c r="Z672" s="118"/>
      <c r="AA672" s="118"/>
      <c r="AB672" s="118"/>
      <c r="AC672" s="118"/>
      <c r="AD672" s="97"/>
      <c r="AE672" s="97"/>
      <c r="AF672" s="97"/>
      <c r="AG672" s="97"/>
      <c r="AH672" s="97"/>
      <c r="AI672" s="97"/>
      <c r="AJ672" s="97"/>
      <c r="AK672" s="97"/>
      <c r="AL672" s="118"/>
      <c r="AM672" s="118"/>
      <c r="AN672" s="118"/>
      <c r="AO672" s="97"/>
      <c r="AP672" s="97"/>
      <c r="AQ672" s="97"/>
      <c r="AR672" s="97"/>
      <c r="AS672" s="97"/>
      <c r="AT672" s="97"/>
      <c r="AU672" s="97"/>
      <c r="AV672" s="97"/>
      <c r="AW672" s="97"/>
      <c r="AX672" s="97"/>
    </row>
    <row r="673" ht="15.75" customHeight="1">
      <c r="A673" s="114" t="s">
        <v>541</v>
      </c>
      <c r="B673" s="165" t="s">
        <v>4892</v>
      </c>
      <c r="C673" s="76" t="s">
        <v>5868</v>
      </c>
      <c r="D673" s="76" t="s">
        <v>5869</v>
      </c>
      <c r="E673" s="117" t="s">
        <v>5870</v>
      </c>
      <c r="F673" s="76"/>
      <c r="G673" s="76"/>
      <c r="H673" s="76"/>
      <c r="I673" s="118"/>
      <c r="J673" s="120" t="s">
        <v>1837</v>
      </c>
      <c r="K673" s="118"/>
      <c r="L673" s="118"/>
      <c r="M673" s="118"/>
      <c r="N673" s="118"/>
      <c r="O673" s="118"/>
      <c r="P673" s="118"/>
      <c r="Q673" s="118" t="s">
        <v>184</v>
      </c>
      <c r="R673" s="118"/>
      <c r="S673" s="118"/>
      <c r="T673" s="118"/>
      <c r="U673" s="118"/>
      <c r="V673" s="118"/>
      <c r="W673" s="118"/>
      <c r="X673" s="118"/>
      <c r="Y673" s="118"/>
      <c r="Z673" s="118"/>
      <c r="AA673" s="118"/>
      <c r="AB673" s="118"/>
      <c r="AC673" s="118"/>
      <c r="AD673" s="97"/>
      <c r="AE673" s="97"/>
      <c r="AF673" s="97"/>
      <c r="AG673" s="97"/>
      <c r="AH673" s="97"/>
      <c r="AI673" s="97"/>
      <c r="AJ673" s="97"/>
      <c r="AK673" s="97"/>
      <c r="AL673" s="118"/>
      <c r="AM673" s="118"/>
      <c r="AN673" s="118"/>
      <c r="AO673" s="97"/>
      <c r="AP673" s="97"/>
      <c r="AQ673" s="97"/>
      <c r="AR673" s="97"/>
      <c r="AS673" s="97"/>
      <c r="AT673" s="97"/>
      <c r="AU673" s="97"/>
      <c r="AV673" s="97"/>
      <c r="AW673" s="97"/>
      <c r="AX673" s="97"/>
    </row>
    <row r="674" ht="15.75" customHeight="1">
      <c r="A674" s="114" t="s">
        <v>541</v>
      </c>
      <c r="B674" s="165" t="s">
        <v>4899</v>
      </c>
      <c r="C674" s="76" t="s">
        <v>5871</v>
      </c>
      <c r="D674" s="76" t="s">
        <v>5872</v>
      </c>
      <c r="E674" s="117" t="s">
        <v>5873</v>
      </c>
      <c r="F674" s="76"/>
      <c r="G674" s="76"/>
      <c r="H674" s="76"/>
      <c r="I674" s="118"/>
      <c r="J674" s="120" t="s">
        <v>1837</v>
      </c>
      <c r="K674" s="118"/>
      <c r="L674" s="118"/>
      <c r="M674" s="118"/>
      <c r="N674" s="118"/>
      <c r="O674" s="118"/>
      <c r="P674" s="118"/>
      <c r="Q674" s="118" t="s">
        <v>184</v>
      </c>
      <c r="R674" s="118"/>
      <c r="S674" s="118"/>
      <c r="T674" s="118"/>
      <c r="U674" s="118"/>
      <c r="V674" s="118"/>
      <c r="W674" s="118"/>
      <c r="X674" s="118"/>
      <c r="Y674" s="118"/>
      <c r="Z674" s="118"/>
      <c r="AA674" s="118"/>
      <c r="AB674" s="118"/>
      <c r="AC674" s="118"/>
      <c r="AD674" s="97"/>
      <c r="AE674" s="97"/>
      <c r="AF674" s="97"/>
      <c r="AG674" s="97"/>
      <c r="AH674" s="97"/>
      <c r="AI674" s="97"/>
      <c r="AJ674" s="97"/>
      <c r="AK674" s="97"/>
      <c r="AL674" s="118"/>
      <c r="AM674" s="118"/>
      <c r="AN674" s="118"/>
      <c r="AO674" s="97"/>
      <c r="AP674" s="97"/>
      <c r="AQ674" s="97"/>
      <c r="AR674" s="97"/>
      <c r="AS674" s="97"/>
      <c r="AT674" s="97"/>
      <c r="AU674" s="97"/>
      <c r="AV674" s="97"/>
      <c r="AW674" s="97"/>
      <c r="AX674" s="97"/>
    </row>
    <row r="675" ht="15.75" customHeight="1">
      <c r="A675" s="114" t="s">
        <v>541</v>
      </c>
      <c r="B675" s="165" t="s">
        <v>4904</v>
      </c>
      <c r="C675" s="76" t="s">
        <v>5874</v>
      </c>
      <c r="D675" s="76" t="s">
        <v>5875</v>
      </c>
      <c r="E675" s="117" t="s">
        <v>5876</v>
      </c>
      <c r="F675" s="76"/>
      <c r="G675" s="76"/>
      <c r="H675" s="76"/>
      <c r="I675" s="118"/>
      <c r="J675" s="120" t="s">
        <v>1837</v>
      </c>
      <c r="K675" s="118"/>
      <c r="L675" s="118"/>
      <c r="M675" s="118"/>
      <c r="N675" s="118"/>
      <c r="O675" s="118"/>
      <c r="P675" s="118"/>
      <c r="Q675" s="118" t="s">
        <v>184</v>
      </c>
      <c r="R675" s="118"/>
      <c r="S675" s="118"/>
      <c r="T675" s="118"/>
      <c r="U675" s="118"/>
      <c r="V675" s="118"/>
      <c r="W675" s="118"/>
      <c r="X675" s="118"/>
      <c r="Y675" s="118"/>
      <c r="Z675" s="118"/>
      <c r="AA675" s="118"/>
      <c r="AB675" s="118"/>
      <c r="AC675" s="118"/>
      <c r="AD675" s="97"/>
      <c r="AE675" s="97"/>
      <c r="AF675" s="97"/>
      <c r="AG675" s="97"/>
      <c r="AH675" s="97"/>
      <c r="AI675" s="97"/>
      <c r="AJ675" s="97"/>
      <c r="AK675" s="97"/>
      <c r="AL675" s="118"/>
      <c r="AM675" s="118"/>
      <c r="AN675" s="118"/>
      <c r="AO675" s="97"/>
      <c r="AP675" s="97"/>
      <c r="AQ675" s="97"/>
      <c r="AR675" s="97"/>
      <c r="AS675" s="97"/>
      <c r="AT675" s="97"/>
      <c r="AU675" s="97"/>
      <c r="AV675" s="97"/>
      <c r="AW675" s="97"/>
      <c r="AX675" s="97"/>
    </row>
    <row r="676" ht="15.75" customHeight="1">
      <c r="A676" s="150" t="s">
        <v>343</v>
      </c>
      <c r="B676" s="83" t="s">
        <v>4867</v>
      </c>
      <c r="C676" s="83" t="s">
        <v>4868</v>
      </c>
      <c r="D676" s="83" t="s">
        <v>4869</v>
      </c>
      <c r="E676" s="83" t="s">
        <v>4871</v>
      </c>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97"/>
      <c r="AE676" s="97"/>
      <c r="AF676" s="97"/>
      <c r="AG676" s="97"/>
      <c r="AH676" s="97"/>
      <c r="AI676" s="97"/>
      <c r="AJ676" s="97"/>
      <c r="AK676" s="97"/>
      <c r="AL676" s="118"/>
      <c r="AM676" s="118"/>
      <c r="AN676" s="118"/>
      <c r="AO676" s="97"/>
      <c r="AP676" s="97"/>
      <c r="AQ676" s="97"/>
      <c r="AR676" s="97"/>
      <c r="AS676" s="97"/>
      <c r="AT676" s="97"/>
      <c r="AU676" s="97"/>
      <c r="AV676" s="97"/>
      <c r="AW676" s="97"/>
      <c r="AX676" s="97"/>
    </row>
    <row r="677" ht="15.75" customHeight="1">
      <c r="A677" s="162" t="s">
        <v>217</v>
      </c>
      <c r="B677" s="166" t="s">
        <v>4908</v>
      </c>
      <c r="C677" s="76" t="s">
        <v>5877</v>
      </c>
      <c r="D677" s="76" t="s">
        <v>5878</v>
      </c>
      <c r="E677" s="117" t="s">
        <v>5879</v>
      </c>
      <c r="F677" s="76"/>
      <c r="G677" s="76"/>
      <c r="H677" s="76"/>
      <c r="I677" s="182"/>
      <c r="J677" s="183"/>
      <c r="K677" s="182"/>
      <c r="L677" s="182"/>
      <c r="M677" s="182"/>
      <c r="N677" s="182"/>
      <c r="O677" s="182" t="s">
        <v>5880</v>
      </c>
      <c r="P677" s="182"/>
      <c r="Q677" s="182" t="s">
        <v>184</v>
      </c>
      <c r="R677" s="182"/>
      <c r="S677" s="182"/>
      <c r="T677" s="182"/>
      <c r="U677" s="182"/>
      <c r="V677" s="182"/>
      <c r="W677" s="182"/>
      <c r="X677" s="182"/>
      <c r="Y677" s="182"/>
      <c r="Z677" s="182"/>
      <c r="AA677" s="182"/>
      <c r="AB677" s="182"/>
      <c r="AC677" s="182"/>
      <c r="AD677" s="97"/>
      <c r="AE677" s="97"/>
      <c r="AF677" s="97"/>
      <c r="AG677" s="97"/>
      <c r="AH677" s="97"/>
      <c r="AI677" s="97"/>
      <c r="AJ677" s="97"/>
      <c r="AK677" s="97"/>
      <c r="AL677" s="118"/>
      <c r="AM677" s="118"/>
      <c r="AN677" s="118"/>
      <c r="AO677" s="97"/>
      <c r="AP677" s="97"/>
      <c r="AQ677" s="97"/>
      <c r="AR677" s="97"/>
      <c r="AS677" s="97"/>
      <c r="AT677" s="97"/>
      <c r="AU677" s="97"/>
      <c r="AV677" s="97"/>
      <c r="AW677" s="97"/>
      <c r="AX677" s="97"/>
    </row>
    <row r="678" ht="15.75" customHeight="1">
      <c r="A678" s="170" t="s">
        <v>238</v>
      </c>
      <c r="B678" s="171" t="s">
        <v>4916</v>
      </c>
      <c r="C678" s="76" t="s">
        <v>5881</v>
      </c>
      <c r="D678" s="76" t="s">
        <v>5882</v>
      </c>
      <c r="E678" s="117" t="s">
        <v>5883</v>
      </c>
      <c r="F678" s="76"/>
      <c r="G678" s="76"/>
      <c r="H678" s="76"/>
      <c r="I678" s="209"/>
      <c r="J678" s="209"/>
      <c r="K678" s="210"/>
      <c r="L678" s="210"/>
      <c r="M678" s="209"/>
      <c r="N678" s="209"/>
      <c r="O678" s="209" t="s">
        <v>5884</v>
      </c>
      <c r="P678" s="209"/>
      <c r="Q678" s="209" t="s">
        <v>184</v>
      </c>
      <c r="R678" s="209"/>
      <c r="S678" s="209"/>
      <c r="T678" s="209"/>
      <c r="U678" s="209"/>
      <c r="V678" s="209"/>
      <c r="W678" s="209"/>
      <c r="X678" s="209"/>
      <c r="Y678" s="209"/>
      <c r="Z678" s="209"/>
      <c r="AA678" s="209"/>
      <c r="AB678" s="209"/>
      <c r="AC678" s="209"/>
      <c r="AD678" s="97"/>
      <c r="AE678" s="97"/>
      <c r="AF678" s="97"/>
      <c r="AG678" s="97"/>
      <c r="AH678" s="97"/>
      <c r="AI678" s="97"/>
      <c r="AJ678" s="97"/>
      <c r="AK678" s="97"/>
      <c r="AL678" s="118"/>
      <c r="AM678" s="118"/>
      <c r="AN678" s="118"/>
      <c r="AO678" s="97"/>
      <c r="AP678" s="97"/>
      <c r="AQ678" s="97"/>
      <c r="AR678" s="97"/>
      <c r="AS678" s="97"/>
      <c r="AT678" s="97"/>
      <c r="AU678" s="97"/>
      <c r="AV678" s="97"/>
      <c r="AW678" s="97"/>
      <c r="AX678" s="97"/>
    </row>
    <row r="679" ht="15.75" customHeight="1">
      <c r="A679" s="114" t="s">
        <v>541</v>
      </c>
      <c r="B679" s="165" t="s">
        <v>4921</v>
      </c>
      <c r="C679" s="76" t="s">
        <v>5885</v>
      </c>
      <c r="D679" s="76" t="s">
        <v>5886</v>
      </c>
      <c r="E679" s="117" t="s">
        <v>5887</v>
      </c>
      <c r="F679" s="76"/>
      <c r="G679" s="76"/>
      <c r="H679" s="76"/>
      <c r="I679" s="118"/>
      <c r="J679" s="120"/>
      <c r="K679" s="118"/>
      <c r="L679" s="118"/>
      <c r="M679" s="118"/>
      <c r="N679" s="118"/>
      <c r="O679" s="118" t="s">
        <v>5675</v>
      </c>
      <c r="P679" s="118"/>
      <c r="Q679" s="118" t="s">
        <v>184</v>
      </c>
      <c r="R679" s="118"/>
      <c r="S679" s="118"/>
      <c r="T679" s="118"/>
      <c r="U679" s="118"/>
      <c r="V679" s="118"/>
      <c r="W679" s="118"/>
      <c r="X679" s="118"/>
      <c r="Y679" s="118"/>
      <c r="Z679" s="118"/>
      <c r="AA679" s="118"/>
      <c r="AB679" s="118"/>
      <c r="AC679" s="118"/>
      <c r="AD679" s="97"/>
      <c r="AE679" s="97"/>
      <c r="AF679" s="97"/>
      <c r="AG679" s="97"/>
      <c r="AH679" s="97"/>
      <c r="AI679" s="97"/>
      <c r="AJ679" s="97"/>
      <c r="AK679" s="97"/>
      <c r="AL679" s="118"/>
      <c r="AM679" s="118"/>
      <c r="AN679" s="118"/>
      <c r="AO679" s="97"/>
      <c r="AP679" s="97"/>
      <c r="AQ679" s="97"/>
      <c r="AR679" s="97"/>
      <c r="AS679" s="97"/>
      <c r="AT679" s="97"/>
      <c r="AU679" s="97"/>
      <c r="AV679" s="97"/>
      <c r="AW679" s="97"/>
      <c r="AX679" s="97"/>
    </row>
    <row r="680" ht="15.75" customHeight="1">
      <c r="A680" s="162" t="s">
        <v>217</v>
      </c>
      <c r="B680" s="166" t="s">
        <v>4928</v>
      </c>
      <c r="C680" s="76" t="s">
        <v>5888</v>
      </c>
      <c r="D680" s="76" t="s">
        <v>5889</v>
      </c>
      <c r="E680" s="117" t="s">
        <v>5890</v>
      </c>
      <c r="F680" s="76"/>
      <c r="G680" s="76"/>
      <c r="H680" s="76"/>
      <c r="I680" s="182"/>
      <c r="J680" s="183"/>
      <c r="K680" s="182"/>
      <c r="L680" s="182"/>
      <c r="M680" s="182"/>
      <c r="N680" s="182"/>
      <c r="O680" s="182" t="s">
        <v>5891</v>
      </c>
      <c r="P680" s="182"/>
      <c r="Q680" s="182" t="s">
        <v>184</v>
      </c>
      <c r="R680" s="182"/>
      <c r="S680" s="182"/>
      <c r="T680" s="182"/>
      <c r="U680" s="182"/>
      <c r="V680" s="182"/>
      <c r="W680" s="182"/>
      <c r="X680" s="182"/>
      <c r="Y680" s="182"/>
      <c r="Z680" s="182"/>
      <c r="AA680" s="182"/>
      <c r="AB680" s="182"/>
      <c r="AC680" s="182"/>
      <c r="AD680" s="97"/>
      <c r="AE680" s="97"/>
      <c r="AF680" s="97"/>
      <c r="AG680" s="97"/>
      <c r="AH680" s="97"/>
      <c r="AI680" s="97"/>
      <c r="AJ680" s="97"/>
      <c r="AK680" s="97"/>
      <c r="AL680" s="118"/>
      <c r="AM680" s="118"/>
      <c r="AN680" s="118"/>
      <c r="AO680" s="97"/>
      <c r="AP680" s="97"/>
      <c r="AQ680" s="97"/>
      <c r="AR680" s="97"/>
      <c r="AS680" s="97"/>
      <c r="AT680" s="97"/>
      <c r="AU680" s="97"/>
      <c r="AV680" s="97"/>
      <c r="AW680" s="97"/>
      <c r="AX680" s="97"/>
    </row>
    <row r="681" ht="15.75" customHeight="1">
      <c r="A681" s="114" t="s">
        <v>541</v>
      </c>
      <c r="B681" s="165" t="s">
        <v>4932</v>
      </c>
      <c r="C681" s="76" t="s">
        <v>5892</v>
      </c>
      <c r="D681" s="76" t="s">
        <v>5893</v>
      </c>
      <c r="E681" s="117" t="s">
        <v>5894</v>
      </c>
      <c r="F681" s="76"/>
      <c r="G681" s="76"/>
      <c r="H681" s="76"/>
      <c r="I681" s="118"/>
      <c r="J681" s="120"/>
      <c r="K681" s="118"/>
      <c r="L681" s="118"/>
      <c r="M681" s="118"/>
      <c r="N681" s="118"/>
      <c r="O681" s="118"/>
      <c r="P681" s="118"/>
      <c r="Q681" s="118" t="s">
        <v>184</v>
      </c>
      <c r="R681" s="118"/>
      <c r="S681" s="118"/>
      <c r="T681" s="118"/>
      <c r="U681" s="118"/>
      <c r="V681" s="118"/>
      <c r="W681" s="118"/>
      <c r="X681" s="118"/>
      <c r="Y681" s="118"/>
      <c r="Z681" s="118"/>
      <c r="AA681" s="118"/>
      <c r="AB681" s="118"/>
      <c r="AC681" s="118"/>
      <c r="AD681" s="97"/>
      <c r="AE681" s="97"/>
      <c r="AF681" s="97"/>
      <c r="AG681" s="97"/>
      <c r="AH681" s="97"/>
      <c r="AI681" s="97"/>
      <c r="AJ681" s="97"/>
      <c r="AK681" s="97"/>
      <c r="AL681" s="118"/>
      <c r="AM681" s="118"/>
      <c r="AN681" s="118"/>
      <c r="AO681" s="97"/>
      <c r="AP681" s="97"/>
      <c r="AQ681" s="97"/>
      <c r="AR681" s="97"/>
      <c r="AS681" s="97"/>
      <c r="AT681" s="97"/>
      <c r="AU681" s="97"/>
      <c r="AV681" s="97"/>
      <c r="AW681" s="97"/>
      <c r="AX681" s="97"/>
    </row>
    <row r="682" ht="15.75" customHeight="1">
      <c r="A682" s="162" t="s">
        <v>217</v>
      </c>
      <c r="B682" s="166" t="s">
        <v>4939</v>
      </c>
      <c r="C682" s="76" t="s">
        <v>5895</v>
      </c>
      <c r="D682" s="76" t="s">
        <v>5896</v>
      </c>
      <c r="E682" s="117" t="s">
        <v>5897</v>
      </c>
      <c r="F682" s="76"/>
      <c r="G682" s="76"/>
      <c r="H682" s="76"/>
      <c r="I682" s="182"/>
      <c r="J682" s="183"/>
      <c r="K682" s="182"/>
      <c r="L682" s="182"/>
      <c r="M682" s="182"/>
      <c r="N682" s="182"/>
      <c r="O682" s="182" t="s">
        <v>5898</v>
      </c>
      <c r="P682" s="182"/>
      <c r="Q682" s="182" t="s">
        <v>184</v>
      </c>
      <c r="R682" s="182"/>
      <c r="S682" s="182"/>
      <c r="T682" s="182"/>
      <c r="U682" s="182"/>
      <c r="V682" s="182"/>
      <c r="W682" s="182"/>
      <c r="X682" s="182"/>
      <c r="Y682" s="182"/>
      <c r="Z682" s="182"/>
      <c r="AA682" s="182"/>
      <c r="AB682" s="182"/>
      <c r="AC682" s="182"/>
      <c r="AD682" s="97"/>
      <c r="AE682" s="97"/>
      <c r="AF682" s="97"/>
      <c r="AG682" s="97"/>
      <c r="AH682" s="97"/>
      <c r="AI682" s="97"/>
      <c r="AJ682" s="97"/>
      <c r="AK682" s="97"/>
      <c r="AL682" s="118"/>
      <c r="AM682" s="118"/>
      <c r="AN682" s="118"/>
      <c r="AO682" s="97"/>
      <c r="AP682" s="97"/>
      <c r="AQ682" s="97"/>
      <c r="AR682" s="97"/>
      <c r="AS682" s="97"/>
      <c r="AT682" s="97"/>
      <c r="AU682" s="97"/>
      <c r="AV682" s="97"/>
      <c r="AW682" s="97"/>
      <c r="AX682" s="97"/>
    </row>
    <row r="683" ht="15.75" customHeight="1">
      <c r="A683" s="131" t="s">
        <v>150</v>
      </c>
      <c r="B683" s="164" t="s">
        <v>4945</v>
      </c>
      <c r="C683" s="133"/>
      <c r="D683" s="133"/>
      <c r="E683" s="133"/>
      <c r="F683" s="134"/>
      <c r="G683" s="134"/>
      <c r="H683" s="134"/>
      <c r="I683" s="134"/>
      <c r="J683" s="134"/>
      <c r="K683" s="134"/>
      <c r="L683" s="134"/>
      <c r="M683" s="134"/>
      <c r="N683" s="134"/>
      <c r="O683" s="134"/>
      <c r="P683" s="134"/>
      <c r="Q683" s="134"/>
      <c r="R683" s="134"/>
      <c r="S683" s="134"/>
      <c r="T683" s="291" t="s">
        <v>156</v>
      </c>
      <c r="U683" s="134"/>
      <c r="V683" s="134"/>
      <c r="W683" s="134"/>
      <c r="X683" s="134"/>
      <c r="Y683" s="134"/>
      <c r="Z683" s="134"/>
      <c r="AA683" s="134"/>
      <c r="AB683" s="134"/>
      <c r="AC683" s="134"/>
      <c r="AD683" s="97"/>
      <c r="AE683" s="97"/>
      <c r="AF683" s="97"/>
      <c r="AG683" s="97"/>
      <c r="AH683" s="97"/>
      <c r="AI683" s="97"/>
      <c r="AJ683" s="97"/>
      <c r="AK683" s="97"/>
      <c r="AL683" s="97"/>
      <c r="AM683" s="97"/>
      <c r="AN683" s="97"/>
      <c r="AO683" s="97"/>
      <c r="AP683" s="97"/>
      <c r="AQ683" s="97"/>
      <c r="AR683" s="97"/>
      <c r="AS683" s="97"/>
      <c r="AT683" s="97"/>
      <c r="AU683" s="97"/>
      <c r="AV683" s="97"/>
      <c r="AW683" s="97"/>
      <c r="AX683" s="97"/>
    </row>
    <row r="684" ht="15.75" customHeight="1">
      <c r="A684" s="80" t="s">
        <v>115</v>
      </c>
      <c r="B684" s="81" t="s">
        <v>4946</v>
      </c>
      <c r="C684" s="82"/>
      <c r="D684" s="83"/>
      <c r="E684" s="83"/>
      <c r="F684" s="84"/>
      <c r="G684" s="84"/>
      <c r="H684" s="84"/>
      <c r="I684" s="86"/>
      <c r="J684" s="86"/>
      <c r="K684" s="84"/>
      <c r="L684" s="86"/>
      <c r="M684" s="86"/>
      <c r="N684" s="86"/>
      <c r="O684" s="86"/>
      <c r="P684" s="84"/>
      <c r="Q684" s="84"/>
      <c r="R684" s="84"/>
      <c r="S684" s="84"/>
      <c r="T684" s="80" t="s">
        <v>5899</v>
      </c>
      <c r="U684" s="84"/>
      <c r="V684" s="84"/>
      <c r="W684" s="84"/>
      <c r="X684" s="84"/>
      <c r="Y684" s="84"/>
      <c r="Z684" s="84"/>
      <c r="AA684" s="84"/>
      <c r="AB684" s="84"/>
      <c r="AC684" s="84"/>
      <c r="AD684" s="97"/>
      <c r="AE684" s="97"/>
      <c r="AF684" s="97"/>
      <c r="AG684" s="97"/>
      <c r="AH684" s="97"/>
      <c r="AI684" s="97"/>
      <c r="AJ684" s="97"/>
      <c r="AK684" s="97"/>
      <c r="AL684" s="97"/>
      <c r="AM684" s="97"/>
      <c r="AN684" s="97"/>
      <c r="AO684" s="97"/>
      <c r="AP684" s="97"/>
      <c r="AQ684" s="97"/>
      <c r="AR684" s="97"/>
      <c r="AS684" s="97"/>
      <c r="AT684" s="97"/>
      <c r="AU684" s="97"/>
      <c r="AV684" s="97"/>
      <c r="AW684" s="97"/>
      <c r="AX684" s="97"/>
    </row>
    <row r="685" ht="15.75" customHeight="1">
      <c r="A685" s="131" t="s">
        <v>150</v>
      </c>
      <c r="B685" s="164" t="s">
        <v>4947</v>
      </c>
      <c r="C685" s="133"/>
      <c r="D685" s="133"/>
      <c r="E685" s="133"/>
      <c r="F685" s="134"/>
      <c r="G685" s="134"/>
      <c r="H685" s="134"/>
      <c r="I685" s="134"/>
      <c r="J685" s="134"/>
      <c r="K685" s="134"/>
      <c r="L685" s="134"/>
      <c r="M685" s="134"/>
      <c r="N685" s="134"/>
      <c r="O685" s="134"/>
      <c r="P685" s="134"/>
      <c r="Q685" s="134"/>
      <c r="R685" s="134"/>
      <c r="S685" s="134"/>
      <c r="T685" s="291" t="s">
        <v>156</v>
      </c>
      <c r="U685" s="134"/>
      <c r="V685" s="134"/>
      <c r="W685" s="134"/>
      <c r="X685" s="134"/>
      <c r="Y685" s="134"/>
      <c r="Z685" s="134"/>
      <c r="AA685" s="134"/>
      <c r="AB685" s="134"/>
      <c r="AC685" s="134"/>
      <c r="AD685" s="97"/>
      <c r="AE685" s="97"/>
      <c r="AF685" s="97"/>
      <c r="AG685" s="97"/>
      <c r="AH685" s="97"/>
      <c r="AI685" s="97"/>
      <c r="AJ685" s="97"/>
      <c r="AK685" s="97"/>
      <c r="AL685" s="97"/>
      <c r="AM685" s="97"/>
      <c r="AN685" s="97"/>
      <c r="AO685" s="97"/>
      <c r="AP685" s="97"/>
      <c r="AQ685" s="97"/>
      <c r="AR685" s="97"/>
      <c r="AS685" s="97"/>
      <c r="AT685" s="97"/>
      <c r="AU685" s="97"/>
      <c r="AV685" s="97"/>
      <c r="AW685" s="97"/>
      <c r="AX685" s="97"/>
    </row>
    <row r="686" ht="15.75" customHeight="1">
      <c r="A686" s="152" t="s">
        <v>44</v>
      </c>
      <c r="B686" s="77" t="s">
        <v>4948</v>
      </c>
      <c r="C686" s="76" t="s">
        <v>5900</v>
      </c>
      <c r="D686" s="76" t="s">
        <v>5901</v>
      </c>
      <c r="E686" s="117" t="s">
        <v>5902</v>
      </c>
      <c r="F686" s="76"/>
      <c r="G686" s="76"/>
      <c r="H686" s="76"/>
      <c r="I686" s="176"/>
      <c r="J686" s="176"/>
      <c r="K686" s="176"/>
      <c r="L686" s="176"/>
      <c r="M686" s="176"/>
      <c r="N686" s="176"/>
      <c r="O686" s="176"/>
      <c r="P686" s="176"/>
      <c r="Q686" s="176"/>
      <c r="R686" s="176"/>
      <c r="S686" s="176"/>
      <c r="T686" s="176"/>
      <c r="U686" s="176"/>
      <c r="V686" s="176"/>
      <c r="W686" s="176"/>
      <c r="X686" s="176"/>
      <c r="Y686" s="176"/>
      <c r="Z686" s="176"/>
      <c r="AA686" s="176"/>
      <c r="AB686" s="176"/>
      <c r="AC686" s="176"/>
      <c r="AD686" s="97"/>
      <c r="AE686" s="97"/>
      <c r="AF686" s="97"/>
      <c r="AG686" s="97"/>
      <c r="AH686" s="97"/>
      <c r="AI686" s="97"/>
      <c r="AJ686" s="97"/>
      <c r="AK686" s="97"/>
      <c r="AL686" s="118"/>
      <c r="AM686" s="118"/>
      <c r="AN686" s="118"/>
      <c r="AO686" s="97"/>
      <c r="AP686" s="97"/>
      <c r="AQ686" s="97"/>
      <c r="AR686" s="97"/>
      <c r="AS686" s="97"/>
      <c r="AT686" s="97"/>
      <c r="AU686" s="97"/>
      <c r="AV686" s="97"/>
      <c r="AW686" s="97"/>
      <c r="AX686" s="97"/>
    </row>
    <row r="687" ht="15.75" customHeight="1">
      <c r="A687" s="114" t="s">
        <v>798</v>
      </c>
      <c r="B687" s="165" t="s">
        <v>4954</v>
      </c>
      <c r="C687" s="76" t="s">
        <v>5903</v>
      </c>
      <c r="D687" s="76" t="s">
        <v>5904</v>
      </c>
      <c r="E687" s="117" t="s">
        <v>5905</v>
      </c>
      <c r="F687" s="76"/>
      <c r="G687" s="76"/>
      <c r="H687" s="76"/>
      <c r="I687" s="118"/>
      <c r="J687" s="120"/>
      <c r="K687" s="118" t="s">
        <v>2731</v>
      </c>
      <c r="L687" s="118"/>
      <c r="M687" s="118"/>
      <c r="N687" s="118"/>
      <c r="O687" s="118"/>
      <c r="P687" s="118"/>
      <c r="Q687" s="118" t="s">
        <v>184</v>
      </c>
      <c r="R687" s="118"/>
      <c r="S687" s="118"/>
      <c r="T687" s="118"/>
      <c r="U687" s="118"/>
      <c r="V687" s="118"/>
      <c r="W687" s="118"/>
      <c r="X687" s="118"/>
      <c r="Y687" s="118"/>
      <c r="Z687" s="118"/>
      <c r="AA687" s="118"/>
      <c r="AB687" s="118"/>
      <c r="AC687" s="118"/>
      <c r="AD687" s="97"/>
      <c r="AE687" s="97"/>
      <c r="AF687" s="97"/>
      <c r="AG687" s="97"/>
      <c r="AH687" s="97"/>
      <c r="AI687" s="97"/>
      <c r="AJ687" s="97"/>
      <c r="AK687" s="97"/>
      <c r="AL687" s="118"/>
      <c r="AM687" s="118"/>
      <c r="AN687" s="118"/>
      <c r="AO687" s="97"/>
      <c r="AP687" s="97"/>
      <c r="AQ687" s="97"/>
      <c r="AR687" s="97"/>
      <c r="AS687" s="97"/>
      <c r="AT687" s="97"/>
      <c r="AU687" s="97"/>
      <c r="AV687" s="97"/>
      <c r="AW687" s="97"/>
      <c r="AX687" s="97"/>
    </row>
    <row r="688" ht="15.75" customHeight="1">
      <c r="A688" s="162" t="s">
        <v>217</v>
      </c>
      <c r="B688" s="166" t="s">
        <v>4957</v>
      </c>
      <c r="C688" s="76" t="s">
        <v>5906</v>
      </c>
      <c r="D688" s="76" t="s">
        <v>5907</v>
      </c>
      <c r="E688" s="117" t="s">
        <v>5908</v>
      </c>
      <c r="F688" s="76"/>
      <c r="G688" s="76"/>
      <c r="H688" s="76"/>
      <c r="I688" s="182"/>
      <c r="J688" s="183"/>
      <c r="K688" s="182"/>
      <c r="L688" s="182"/>
      <c r="M688" s="182"/>
      <c r="N688" s="182"/>
      <c r="O688" s="182" t="s">
        <v>5909</v>
      </c>
      <c r="P688" s="182"/>
      <c r="Q688" s="182" t="s">
        <v>184</v>
      </c>
      <c r="R688" s="182"/>
      <c r="S688" s="182"/>
      <c r="T688" s="182"/>
      <c r="U688" s="182"/>
      <c r="V688" s="182"/>
      <c r="W688" s="182"/>
      <c r="X688" s="182"/>
      <c r="Y688" s="182"/>
      <c r="Z688" s="182"/>
      <c r="AA688" s="182"/>
      <c r="AB688" s="182"/>
      <c r="AC688" s="182"/>
      <c r="AD688" s="97"/>
      <c r="AE688" s="97"/>
      <c r="AF688" s="97"/>
      <c r="AG688" s="97"/>
      <c r="AH688" s="97"/>
      <c r="AI688" s="97"/>
      <c r="AJ688" s="97"/>
      <c r="AK688" s="97"/>
      <c r="AL688" s="118"/>
      <c r="AM688" s="118"/>
      <c r="AN688" s="118"/>
      <c r="AO688" s="97"/>
      <c r="AP688" s="97"/>
      <c r="AQ688" s="97"/>
      <c r="AR688" s="97"/>
      <c r="AS688" s="97"/>
      <c r="AT688" s="97"/>
      <c r="AU688" s="97"/>
      <c r="AV688" s="97"/>
      <c r="AW688" s="97"/>
      <c r="AX688" s="97"/>
    </row>
    <row r="689" ht="15.75" customHeight="1">
      <c r="A689" s="167" t="s">
        <v>807</v>
      </c>
      <c r="B689" s="168" t="s">
        <v>4963</v>
      </c>
      <c r="C689" s="168" t="s">
        <v>809</v>
      </c>
      <c r="D689" s="169" t="s">
        <v>810</v>
      </c>
      <c r="E689" s="169" t="s">
        <v>811</v>
      </c>
      <c r="F689" s="205"/>
      <c r="G689" s="205"/>
      <c r="H689" s="205"/>
      <c r="I689" s="205"/>
      <c r="J689" s="205"/>
      <c r="K689" s="205"/>
      <c r="L689" s="205"/>
      <c r="M689" s="207"/>
      <c r="N689" s="207"/>
      <c r="O689" s="207" t="s">
        <v>5910</v>
      </c>
      <c r="P689" s="205"/>
      <c r="Q689" s="205"/>
      <c r="R689" s="205"/>
      <c r="S689" s="205"/>
      <c r="T689" s="205"/>
      <c r="U689" s="207" t="s">
        <v>5911</v>
      </c>
      <c r="V689" s="205"/>
      <c r="W689" s="205"/>
      <c r="X689" s="205"/>
      <c r="Y689" s="205"/>
      <c r="Z689" s="205"/>
      <c r="AA689" s="205"/>
      <c r="AB689" s="205"/>
      <c r="AC689" s="205"/>
      <c r="AD689" s="97"/>
      <c r="AE689" s="97"/>
      <c r="AF689" s="97"/>
      <c r="AG689" s="97"/>
      <c r="AH689" s="97"/>
      <c r="AI689" s="97"/>
      <c r="AJ689" s="97"/>
      <c r="AK689" s="97"/>
      <c r="AL689" s="118"/>
      <c r="AM689" s="118"/>
      <c r="AN689" s="118"/>
      <c r="AO689" s="97"/>
      <c r="AP689" s="97"/>
      <c r="AQ689" s="97"/>
      <c r="AR689" s="97"/>
      <c r="AS689" s="97"/>
      <c r="AT689" s="97"/>
      <c r="AU689" s="97"/>
      <c r="AV689" s="97"/>
      <c r="AW689" s="97"/>
      <c r="AX689" s="97"/>
    </row>
    <row r="690" ht="15.75" customHeight="1">
      <c r="A690" s="131" t="s">
        <v>115</v>
      </c>
      <c r="B690" s="132" t="s">
        <v>4964</v>
      </c>
      <c r="C690" s="133"/>
      <c r="D690" s="133"/>
      <c r="E690" s="133"/>
      <c r="F690" s="134"/>
      <c r="G690" s="134"/>
      <c r="H690" s="134"/>
      <c r="I690" s="134"/>
      <c r="J690" s="134"/>
      <c r="K690" s="134"/>
      <c r="L690" s="134"/>
      <c r="M690" s="134"/>
      <c r="N690" s="134"/>
      <c r="O690" s="134"/>
      <c r="P690" s="134"/>
      <c r="Q690" s="134"/>
      <c r="R690" s="134"/>
      <c r="S690" s="134"/>
      <c r="T690" s="149" t="s">
        <v>5912</v>
      </c>
      <c r="U690" s="134"/>
      <c r="V690" s="134"/>
      <c r="W690" s="134"/>
      <c r="X690" s="134"/>
      <c r="Y690" s="134"/>
      <c r="Z690" s="134"/>
      <c r="AA690" s="134"/>
      <c r="AB690" s="134"/>
      <c r="AC690" s="134"/>
      <c r="AD690" s="97"/>
      <c r="AE690" s="97"/>
      <c r="AF690" s="97"/>
      <c r="AG690" s="97"/>
      <c r="AH690" s="97"/>
      <c r="AI690" s="97"/>
      <c r="AJ690" s="97"/>
      <c r="AK690" s="97"/>
      <c r="AL690" s="118"/>
      <c r="AM690" s="118"/>
      <c r="AN690" s="118"/>
      <c r="AO690" s="97"/>
      <c r="AP690" s="97"/>
      <c r="AQ690" s="97"/>
      <c r="AR690" s="97"/>
      <c r="AS690" s="97"/>
      <c r="AT690" s="97"/>
      <c r="AU690" s="97"/>
      <c r="AV690" s="97"/>
      <c r="AW690" s="97"/>
      <c r="AX690" s="97"/>
    </row>
    <row r="691" ht="15.75" customHeight="1">
      <c r="A691" s="131" t="s">
        <v>115</v>
      </c>
      <c r="B691" s="132" t="s">
        <v>4965</v>
      </c>
      <c r="C691" s="133" t="s">
        <v>817</v>
      </c>
      <c r="D691" s="133" t="s">
        <v>818</v>
      </c>
      <c r="E691" s="133" t="s">
        <v>4966</v>
      </c>
      <c r="F691" s="134"/>
      <c r="G691" s="134"/>
      <c r="H691" s="134"/>
      <c r="I691" s="134"/>
      <c r="J691" s="134"/>
      <c r="K691" s="134"/>
      <c r="L691" s="134"/>
      <c r="M691" s="134"/>
      <c r="N691" s="134"/>
      <c r="O691" s="134"/>
      <c r="P691" s="134"/>
      <c r="Q691" s="134"/>
      <c r="R691" s="134"/>
      <c r="S691" s="134"/>
      <c r="T691" s="149" t="s">
        <v>5913</v>
      </c>
      <c r="U691" s="134"/>
      <c r="V691" s="134"/>
      <c r="W691" s="134"/>
      <c r="X691" s="134"/>
      <c r="Y691" s="134"/>
      <c r="Z691" s="134"/>
      <c r="AA691" s="134"/>
      <c r="AB691" s="134"/>
      <c r="AC691" s="134"/>
      <c r="AD691" s="97"/>
      <c r="AE691" s="97"/>
      <c r="AF691" s="97"/>
      <c r="AG691" s="97"/>
      <c r="AH691" s="97"/>
      <c r="AI691" s="97"/>
      <c r="AJ691" s="97"/>
      <c r="AK691" s="97"/>
      <c r="AL691" s="118"/>
      <c r="AM691" s="118"/>
      <c r="AN691" s="118"/>
      <c r="AO691" s="97"/>
      <c r="AP691" s="97"/>
      <c r="AQ691" s="97"/>
      <c r="AR691" s="97"/>
      <c r="AS691" s="97"/>
      <c r="AT691" s="97"/>
      <c r="AU691" s="97"/>
      <c r="AV691" s="97"/>
      <c r="AW691" s="97"/>
      <c r="AX691" s="97"/>
    </row>
    <row r="692" ht="15.75" customHeight="1">
      <c r="A692" s="170" t="s">
        <v>238</v>
      </c>
      <c r="B692" s="171" t="s">
        <v>4967</v>
      </c>
      <c r="C692" s="76" t="s">
        <v>5914</v>
      </c>
      <c r="D692" s="76" t="s">
        <v>5915</v>
      </c>
      <c r="E692" s="117" t="s">
        <v>5916</v>
      </c>
      <c r="F692" s="76"/>
      <c r="G692" s="76"/>
      <c r="H692" s="76"/>
      <c r="I692" s="209"/>
      <c r="J692" s="209"/>
      <c r="K692" s="210"/>
      <c r="L692" s="210" t="s">
        <v>1526</v>
      </c>
      <c r="M692" s="209"/>
      <c r="N692" s="209"/>
      <c r="O692" s="209"/>
      <c r="P692" s="209"/>
      <c r="Q692" s="209" t="s">
        <v>184</v>
      </c>
      <c r="R692" s="209"/>
      <c r="S692" s="209"/>
      <c r="T692" s="209"/>
      <c r="U692" s="209"/>
      <c r="V692" s="209"/>
      <c r="W692" s="209"/>
      <c r="X692" s="209"/>
      <c r="Y692" s="209"/>
      <c r="Z692" s="209"/>
      <c r="AA692" s="209"/>
      <c r="AB692" s="209"/>
      <c r="AC692" s="209"/>
      <c r="AD692" s="97"/>
      <c r="AE692" s="97"/>
      <c r="AF692" s="97"/>
      <c r="AG692" s="97"/>
      <c r="AH692" s="97"/>
      <c r="AI692" s="97"/>
      <c r="AJ692" s="97"/>
      <c r="AK692" s="97"/>
      <c r="AL692" s="118"/>
      <c r="AM692" s="118"/>
      <c r="AN692" s="118"/>
      <c r="AO692" s="97"/>
      <c r="AP692" s="97"/>
      <c r="AQ692" s="97"/>
      <c r="AR692" s="97"/>
      <c r="AS692" s="97"/>
      <c r="AT692" s="97"/>
      <c r="AU692" s="97"/>
      <c r="AV692" s="97"/>
      <c r="AW692" s="97"/>
      <c r="AX692" s="97"/>
    </row>
    <row r="693" ht="15.75" customHeight="1">
      <c r="A693" s="114" t="s">
        <v>541</v>
      </c>
      <c r="B693" s="165" t="s">
        <v>4975</v>
      </c>
      <c r="C693" s="76" t="s">
        <v>5917</v>
      </c>
      <c r="D693" s="76" t="s">
        <v>5918</v>
      </c>
      <c r="E693" s="117" t="s">
        <v>5919</v>
      </c>
      <c r="F693" s="76"/>
      <c r="G693" s="76"/>
      <c r="H693" s="76"/>
      <c r="I693" s="118"/>
      <c r="J693" s="120"/>
      <c r="K693" s="118"/>
      <c r="L693" s="118"/>
      <c r="M693" s="118"/>
      <c r="N693" s="118"/>
      <c r="O693" s="118" t="s">
        <v>5920</v>
      </c>
      <c r="P693" s="118"/>
      <c r="Q693" s="118" t="s">
        <v>184</v>
      </c>
      <c r="R693" s="118"/>
      <c r="S693" s="118"/>
      <c r="T693" s="118"/>
      <c r="U693" s="118"/>
      <c r="V693" s="118"/>
      <c r="W693" s="118"/>
      <c r="X693" s="118"/>
      <c r="Y693" s="118"/>
      <c r="Z693" s="118"/>
      <c r="AA693" s="118"/>
      <c r="AB693" s="118"/>
      <c r="AC693" s="118"/>
      <c r="AD693" s="97"/>
      <c r="AE693" s="97"/>
      <c r="AF693" s="97"/>
      <c r="AG693" s="97"/>
      <c r="AH693" s="97"/>
      <c r="AI693" s="97"/>
      <c r="AJ693" s="97"/>
      <c r="AK693" s="97"/>
      <c r="AL693" s="118"/>
      <c r="AM693" s="118"/>
      <c r="AN693" s="118"/>
      <c r="AO693" s="97"/>
      <c r="AP693" s="97"/>
      <c r="AQ693" s="97"/>
      <c r="AR693" s="97"/>
      <c r="AS693" s="97"/>
      <c r="AT693" s="97"/>
      <c r="AU693" s="97"/>
      <c r="AV693" s="97"/>
      <c r="AW693" s="97"/>
      <c r="AX693" s="97"/>
    </row>
    <row r="694" ht="15.75" customHeight="1">
      <c r="A694" s="167" t="s">
        <v>842</v>
      </c>
      <c r="B694" s="169" t="s">
        <v>4963</v>
      </c>
      <c r="C694" s="169" t="s">
        <v>809</v>
      </c>
      <c r="D694" s="169" t="s">
        <v>810</v>
      </c>
      <c r="E694" s="169" t="s">
        <v>811</v>
      </c>
      <c r="F694" s="205"/>
      <c r="G694" s="205"/>
      <c r="H694" s="205"/>
      <c r="I694" s="205"/>
      <c r="J694" s="205"/>
      <c r="K694" s="205"/>
      <c r="L694" s="205"/>
      <c r="M694" s="205"/>
      <c r="N694" s="205"/>
      <c r="O694" s="205"/>
      <c r="P694" s="205"/>
      <c r="Q694" s="205"/>
      <c r="R694" s="205"/>
      <c r="S694" s="205"/>
      <c r="T694" s="205"/>
      <c r="U694" s="205"/>
      <c r="V694" s="205"/>
      <c r="W694" s="205"/>
      <c r="X694" s="205"/>
      <c r="Y694" s="205"/>
      <c r="Z694" s="205"/>
      <c r="AA694" s="205"/>
      <c r="AB694" s="205"/>
      <c r="AC694" s="205"/>
      <c r="AD694" s="97"/>
      <c r="AE694" s="97"/>
      <c r="AF694" s="97"/>
      <c r="AG694" s="97"/>
      <c r="AH694" s="97"/>
      <c r="AI694" s="97"/>
      <c r="AJ694" s="97"/>
      <c r="AK694" s="97"/>
      <c r="AL694" s="118"/>
      <c r="AM694" s="118"/>
      <c r="AN694" s="118"/>
      <c r="AO694" s="97"/>
      <c r="AP694" s="97"/>
      <c r="AQ694" s="97"/>
      <c r="AR694" s="97"/>
      <c r="AS694" s="97"/>
      <c r="AT694" s="97"/>
      <c r="AU694" s="97"/>
      <c r="AV694" s="97"/>
      <c r="AW694" s="97"/>
      <c r="AX694" s="97"/>
    </row>
    <row r="695" ht="15.75" customHeight="1">
      <c r="A695" s="131" t="s">
        <v>150</v>
      </c>
      <c r="B695" s="164" t="s">
        <v>4982</v>
      </c>
      <c r="C695" s="133"/>
      <c r="D695" s="133"/>
      <c r="E695" s="133"/>
      <c r="F695" s="134"/>
      <c r="G695" s="134"/>
      <c r="H695" s="134"/>
      <c r="I695" s="134"/>
      <c r="J695" s="134"/>
      <c r="K695" s="134"/>
      <c r="L695" s="134"/>
      <c r="M695" s="134"/>
      <c r="N695" s="134"/>
      <c r="O695" s="134"/>
      <c r="P695" s="134"/>
      <c r="Q695" s="134"/>
      <c r="R695" s="134"/>
      <c r="S695" s="134"/>
      <c r="T695" s="291" t="s">
        <v>156</v>
      </c>
      <c r="U695" s="134"/>
      <c r="V695" s="134"/>
      <c r="W695" s="134"/>
      <c r="X695" s="134"/>
      <c r="Y695" s="134"/>
      <c r="Z695" s="134"/>
      <c r="AA695" s="134"/>
      <c r="AB695" s="134"/>
      <c r="AC695" s="134"/>
      <c r="AD695" s="97"/>
      <c r="AE695" s="97"/>
      <c r="AF695" s="97"/>
      <c r="AG695" s="97"/>
      <c r="AH695" s="97"/>
      <c r="AI695" s="97"/>
      <c r="AJ695" s="97"/>
      <c r="AK695" s="97"/>
      <c r="AL695" s="97"/>
      <c r="AM695" s="97"/>
      <c r="AN695" s="97"/>
      <c r="AO695" s="97"/>
      <c r="AP695" s="97"/>
      <c r="AQ695" s="97"/>
      <c r="AR695" s="97"/>
      <c r="AS695" s="97"/>
      <c r="AT695" s="97"/>
      <c r="AU695" s="97"/>
      <c r="AV695" s="97"/>
      <c r="AW695" s="97"/>
      <c r="AX695" s="97"/>
    </row>
    <row r="696" ht="15.75" customHeight="1">
      <c r="A696" s="80" t="s">
        <v>115</v>
      </c>
      <c r="B696" s="81" t="s">
        <v>4983</v>
      </c>
      <c r="C696" s="82"/>
      <c r="D696" s="83"/>
      <c r="E696" s="83"/>
      <c r="F696" s="84"/>
      <c r="G696" s="84"/>
      <c r="H696" s="84"/>
      <c r="I696" s="86"/>
      <c r="J696" s="86"/>
      <c r="K696" s="84"/>
      <c r="L696" s="86"/>
      <c r="M696" s="86"/>
      <c r="N696" s="86"/>
      <c r="O696" s="86"/>
      <c r="P696" s="84"/>
      <c r="Q696" s="84"/>
      <c r="R696" s="84"/>
      <c r="S696" s="84"/>
      <c r="T696" s="80" t="s">
        <v>5921</v>
      </c>
      <c r="U696" s="84"/>
      <c r="V696" s="84"/>
      <c r="W696" s="84"/>
      <c r="X696" s="84"/>
      <c r="Y696" s="84"/>
      <c r="Z696" s="84"/>
      <c r="AA696" s="84"/>
      <c r="AB696" s="84"/>
      <c r="AC696" s="84"/>
      <c r="AD696" s="97"/>
      <c r="AE696" s="97"/>
      <c r="AF696" s="97"/>
      <c r="AG696" s="97"/>
      <c r="AH696" s="97"/>
      <c r="AI696" s="97"/>
      <c r="AJ696" s="97"/>
      <c r="AK696" s="97"/>
      <c r="AL696" s="97"/>
      <c r="AM696" s="97"/>
      <c r="AN696" s="97"/>
      <c r="AO696" s="97"/>
      <c r="AP696" s="97"/>
      <c r="AQ696" s="97"/>
      <c r="AR696" s="97"/>
      <c r="AS696" s="97"/>
      <c r="AT696" s="97"/>
      <c r="AU696" s="97"/>
      <c r="AV696" s="97"/>
      <c r="AW696" s="97"/>
      <c r="AX696" s="97"/>
    </row>
    <row r="697" ht="15.75" customHeight="1">
      <c r="A697" s="131" t="s">
        <v>115</v>
      </c>
      <c r="B697" s="132" t="s">
        <v>4985</v>
      </c>
      <c r="C697" s="133"/>
      <c r="D697" s="133"/>
      <c r="E697" s="133"/>
      <c r="F697" s="134"/>
      <c r="G697" s="134"/>
      <c r="H697" s="134"/>
      <c r="I697" s="134"/>
      <c r="J697" s="134"/>
      <c r="K697" s="134"/>
      <c r="L697" s="134"/>
      <c r="M697" s="134"/>
      <c r="N697" s="134"/>
      <c r="O697" s="134"/>
      <c r="P697" s="134"/>
      <c r="Q697" s="134"/>
      <c r="R697" s="134"/>
      <c r="S697" s="134"/>
      <c r="T697" s="149" t="s">
        <v>5922</v>
      </c>
      <c r="U697" s="134"/>
      <c r="V697" s="134"/>
      <c r="W697" s="134"/>
      <c r="X697" s="134"/>
      <c r="Y697" s="134"/>
      <c r="Z697" s="134"/>
      <c r="AA697" s="134"/>
      <c r="AB697" s="134"/>
      <c r="AC697" s="134"/>
      <c r="AD697" s="97"/>
      <c r="AE697" s="97"/>
      <c r="AF697" s="97"/>
      <c r="AG697" s="97"/>
      <c r="AH697" s="97"/>
      <c r="AI697" s="97"/>
      <c r="AJ697" s="97"/>
      <c r="AK697" s="97"/>
      <c r="AL697" s="118"/>
      <c r="AM697" s="118"/>
      <c r="AN697" s="118"/>
      <c r="AO697" s="97"/>
      <c r="AP697" s="97"/>
      <c r="AQ697" s="97"/>
      <c r="AR697" s="97"/>
      <c r="AS697" s="97"/>
      <c r="AT697" s="97"/>
      <c r="AU697" s="97"/>
      <c r="AV697" s="97"/>
      <c r="AW697" s="97"/>
      <c r="AX697" s="97"/>
    </row>
    <row r="698" ht="15.75" customHeight="1">
      <c r="A698" s="114" t="s">
        <v>541</v>
      </c>
      <c r="B698" s="165" t="s">
        <v>4986</v>
      </c>
      <c r="C698" s="76" t="s">
        <v>5923</v>
      </c>
      <c r="D698" s="76" t="s">
        <v>5924</v>
      </c>
      <c r="E698" s="117" t="s">
        <v>5925</v>
      </c>
      <c r="F698" s="76"/>
      <c r="G698" s="76"/>
      <c r="H698" s="76"/>
      <c r="I698" s="118"/>
      <c r="J698" s="120"/>
      <c r="K698" s="118" t="s">
        <v>5547</v>
      </c>
      <c r="L698" s="118" t="s">
        <v>5926</v>
      </c>
      <c r="M698" s="118"/>
      <c r="N698" s="118"/>
      <c r="O698" s="118"/>
      <c r="P698" s="118"/>
      <c r="Q698" s="118" t="s">
        <v>184</v>
      </c>
      <c r="R698" s="118"/>
      <c r="S698" s="118"/>
      <c r="T698" s="118"/>
      <c r="U698" s="118"/>
      <c r="V698" s="118"/>
      <c r="W698" s="118"/>
      <c r="X698" s="118"/>
      <c r="Y698" s="118"/>
      <c r="Z698" s="118"/>
      <c r="AA698" s="118"/>
      <c r="AB698" s="118"/>
      <c r="AC698" s="118"/>
      <c r="AD698" s="97"/>
      <c r="AE698" s="97"/>
      <c r="AF698" s="97"/>
      <c r="AG698" s="97"/>
      <c r="AH698" s="97"/>
      <c r="AI698" s="97"/>
      <c r="AJ698" s="97"/>
      <c r="AK698" s="97"/>
      <c r="AL698" s="118"/>
      <c r="AM698" s="118"/>
      <c r="AN698" s="118"/>
      <c r="AO698" s="97"/>
      <c r="AP698" s="97"/>
      <c r="AQ698" s="97"/>
      <c r="AR698" s="97"/>
      <c r="AS698" s="97"/>
      <c r="AT698" s="97"/>
      <c r="AU698" s="97"/>
      <c r="AV698" s="97"/>
      <c r="AW698" s="97"/>
      <c r="AX698" s="97"/>
    </row>
    <row r="699" ht="15.75" customHeight="1">
      <c r="A699" s="114"/>
      <c r="B699" s="165"/>
      <c r="C699" s="165"/>
      <c r="D699" s="165"/>
      <c r="E699" s="165"/>
      <c r="F699" s="118"/>
      <c r="G699" s="118"/>
      <c r="H699" s="118"/>
      <c r="I699" s="118"/>
      <c r="J699" s="120"/>
      <c r="K699" s="118"/>
      <c r="L699" s="118"/>
      <c r="M699" s="118"/>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c r="AI699" s="118"/>
      <c r="AJ699" s="118"/>
      <c r="AK699" s="118"/>
      <c r="AL699" s="118"/>
      <c r="AM699" s="118"/>
      <c r="AN699" s="118"/>
      <c r="AO699" s="97"/>
      <c r="AP699" s="97"/>
      <c r="AQ699" s="97"/>
      <c r="AR699" s="97"/>
      <c r="AS699" s="97"/>
      <c r="AT699" s="97"/>
      <c r="AU699" s="97"/>
      <c r="AV699" s="97"/>
      <c r="AW699" s="97"/>
      <c r="AX699" s="97"/>
    </row>
    <row r="700" ht="15.75" customHeight="1">
      <c r="A700" s="114" t="s">
        <v>1777</v>
      </c>
      <c r="B700" s="165" t="s">
        <v>4993</v>
      </c>
      <c r="C700" s="76" t="s">
        <v>5927</v>
      </c>
      <c r="D700" s="76" t="s">
        <v>5928</v>
      </c>
      <c r="E700" s="117" t="s">
        <v>5929</v>
      </c>
      <c r="F700" s="76" t="s">
        <v>2728</v>
      </c>
      <c r="G700" s="76" t="s">
        <v>2729</v>
      </c>
      <c r="H700" s="76" t="s">
        <v>2730</v>
      </c>
      <c r="I700" s="118"/>
      <c r="J700" s="120"/>
      <c r="K700" s="118" t="s">
        <v>2731</v>
      </c>
      <c r="L700" s="118"/>
      <c r="M700" s="118"/>
      <c r="N700" s="118"/>
      <c r="O700" s="118"/>
      <c r="P700" s="118"/>
      <c r="Q700" s="118" t="s">
        <v>184</v>
      </c>
      <c r="R700" s="118"/>
      <c r="S700" s="118"/>
      <c r="T700" s="118"/>
      <c r="U700" s="118"/>
      <c r="V700" s="118"/>
      <c r="W700" s="118"/>
      <c r="X700" s="118"/>
      <c r="Y700" s="118"/>
      <c r="Z700" s="118"/>
      <c r="AA700" s="118"/>
      <c r="AB700" s="118"/>
      <c r="AC700" s="118"/>
      <c r="AD700" s="118"/>
      <c r="AE700" s="118"/>
      <c r="AF700" s="118"/>
      <c r="AG700" s="118"/>
      <c r="AH700" s="118"/>
      <c r="AI700" s="118"/>
      <c r="AJ700" s="118"/>
      <c r="AK700" s="118"/>
      <c r="AL700" s="118"/>
      <c r="AM700" s="118"/>
      <c r="AN700" s="118"/>
      <c r="AO700" s="97"/>
      <c r="AP700" s="97"/>
      <c r="AQ700" s="97"/>
      <c r="AR700" s="97"/>
      <c r="AS700" s="97"/>
      <c r="AT700" s="97"/>
      <c r="AU700" s="97"/>
      <c r="AV700" s="97"/>
      <c r="AW700" s="97"/>
      <c r="AX700" s="97"/>
    </row>
    <row r="701" ht="15.75" customHeight="1">
      <c r="A701" s="162" t="s">
        <v>217</v>
      </c>
      <c r="B701" s="166" t="s">
        <v>4999</v>
      </c>
      <c r="C701" s="76" t="s">
        <v>5930</v>
      </c>
      <c r="D701" s="76" t="s">
        <v>5931</v>
      </c>
      <c r="E701" s="117" t="s">
        <v>5932</v>
      </c>
      <c r="F701" s="76"/>
      <c r="G701" s="76"/>
      <c r="H701" s="76"/>
      <c r="I701" s="182"/>
      <c r="J701" s="183"/>
      <c r="K701" s="182"/>
      <c r="L701" s="182"/>
      <c r="M701" s="182"/>
      <c r="N701" s="182"/>
      <c r="O701" s="182" t="s">
        <v>5933</v>
      </c>
      <c r="P701" s="182"/>
      <c r="Q701" s="182" t="s">
        <v>184</v>
      </c>
      <c r="R701" s="182"/>
      <c r="S701" s="182"/>
      <c r="T701" s="182"/>
      <c r="U701" s="182"/>
      <c r="V701" s="182"/>
      <c r="W701" s="182"/>
      <c r="X701" s="182"/>
      <c r="Y701" s="182"/>
      <c r="Z701" s="182"/>
      <c r="AA701" s="182"/>
      <c r="AB701" s="182"/>
      <c r="AC701" s="182"/>
      <c r="AD701" s="182"/>
      <c r="AE701" s="182"/>
      <c r="AF701" s="182"/>
      <c r="AG701" s="182"/>
      <c r="AH701" s="182"/>
      <c r="AI701" s="182"/>
      <c r="AJ701" s="182"/>
      <c r="AK701" s="182"/>
      <c r="AL701" s="182"/>
      <c r="AM701" s="182"/>
      <c r="AN701" s="182"/>
      <c r="AO701" s="97"/>
      <c r="AP701" s="97"/>
      <c r="AQ701" s="97"/>
      <c r="AR701" s="97"/>
      <c r="AS701" s="97"/>
      <c r="AT701" s="97"/>
      <c r="AU701" s="97"/>
      <c r="AV701" s="97"/>
      <c r="AW701" s="97"/>
      <c r="AX701" s="97"/>
    </row>
    <row r="702" ht="15.75" customHeight="1">
      <c r="A702" s="131" t="s">
        <v>150</v>
      </c>
      <c r="B702" s="164" t="s">
        <v>5003</v>
      </c>
      <c r="C702" s="133"/>
      <c r="D702" s="133"/>
      <c r="E702" s="133"/>
      <c r="F702" s="134"/>
      <c r="G702" s="134"/>
      <c r="H702" s="134"/>
      <c r="I702" s="134"/>
      <c r="J702" s="134"/>
      <c r="K702" s="134"/>
      <c r="L702" s="134"/>
      <c r="M702" s="134"/>
      <c r="N702" s="134"/>
      <c r="O702" s="134"/>
      <c r="P702" s="134"/>
      <c r="Q702" s="134"/>
      <c r="R702" s="134"/>
      <c r="S702" s="134"/>
      <c r="T702" s="291" t="s">
        <v>156</v>
      </c>
      <c r="U702" s="134"/>
      <c r="V702" s="134"/>
      <c r="W702" s="134"/>
      <c r="X702" s="134"/>
      <c r="Y702" s="134"/>
      <c r="Z702" s="134"/>
      <c r="AA702" s="134"/>
      <c r="AB702" s="134"/>
      <c r="AC702" s="134"/>
      <c r="AD702" s="97"/>
      <c r="AE702" s="97"/>
      <c r="AF702" s="97"/>
      <c r="AG702" s="97"/>
      <c r="AH702" s="97"/>
      <c r="AI702" s="97"/>
      <c r="AJ702" s="97"/>
      <c r="AK702" s="97"/>
      <c r="AL702" s="97"/>
      <c r="AM702" s="97"/>
      <c r="AN702" s="97"/>
      <c r="AO702" s="97"/>
      <c r="AP702" s="97"/>
      <c r="AQ702" s="97"/>
      <c r="AR702" s="97"/>
      <c r="AS702" s="97"/>
      <c r="AT702" s="97"/>
      <c r="AU702" s="97"/>
      <c r="AV702" s="97"/>
      <c r="AW702" s="97"/>
      <c r="AX702" s="97"/>
    </row>
    <row r="703" ht="15.75" customHeight="1">
      <c r="A703" s="167" t="s">
        <v>807</v>
      </c>
      <c r="B703" s="168" t="s">
        <v>5004</v>
      </c>
      <c r="C703" s="168" t="s">
        <v>1839</v>
      </c>
      <c r="D703" s="169"/>
      <c r="E703" s="169"/>
      <c r="F703" s="205"/>
      <c r="G703" s="205"/>
      <c r="H703" s="205"/>
      <c r="I703" s="205"/>
      <c r="J703" s="205"/>
      <c r="K703" s="205"/>
      <c r="L703" s="205"/>
      <c r="M703" s="207"/>
      <c r="N703" s="207"/>
      <c r="O703" s="207" t="s">
        <v>5934</v>
      </c>
      <c r="P703" s="205"/>
      <c r="Q703" s="205"/>
      <c r="R703" s="205"/>
      <c r="S703" s="205"/>
      <c r="T703" s="205"/>
      <c r="U703" s="207" t="s">
        <v>2761</v>
      </c>
      <c r="V703" s="205"/>
      <c r="W703" s="205"/>
      <c r="X703" s="205"/>
      <c r="Y703" s="205"/>
      <c r="Z703" s="205"/>
      <c r="AA703" s="205"/>
      <c r="AB703" s="205"/>
      <c r="AC703" s="205"/>
      <c r="AD703" s="205"/>
      <c r="AE703" s="205"/>
      <c r="AF703" s="205"/>
      <c r="AG703" s="205"/>
      <c r="AH703" s="205"/>
      <c r="AI703" s="205"/>
      <c r="AJ703" s="205"/>
      <c r="AK703" s="205"/>
      <c r="AL703" s="205"/>
      <c r="AM703" s="205"/>
      <c r="AN703" s="205"/>
      <c r="AO703" s="97"/>
      <c r="AP703" s="97"/>
      <c r="AQ703" s="97"/>
      <c r="AR703" s="97"/>
      <c r="AS703" s="97"/>
      <c r="AT703" s="97"/>
      <c r="AU703" s="97"/>
      <c r="AV703" s="97"/>
      <c r="AW703" s="97"/>
      <c r="AX703" s="97"/>
    </row>
    <row r="704" ht="15.75" customHeight="1">
      <c r="A704" s="131" t="s">
        <v>115</v>
      </c>
      <c r="B704" s="132" t="s">
        <v>5006</v>
      </c>
      <c r="C704" s="133" t="s">
        <v>1864</v>
      </c>
      <c r="D704" s="133"/>
      <c r="E704" s="133"/>
      <c r="F704" s="134"/>
      <c r="G704" s="134"/>
      <c r="H704" s="134"/>
      <c r="I704" s="134"/>
      <c r="J704" s="134"/>
      <c r="K704" s="134"/>
      <c r="L704" s="134"/>
      <c r="M704" s="134"/>
      <c r="N704" s="134"/>
      <c r="O704" s="134"/>
      <c r="P704" s="134"/>
      <c r="Q704" s="134"/>
      <c r="R704" s="134"/>
      <c r="S704" s="134"/>
      <c r="T704" s="149" t="s">
        <v>5935</v>
      </c>
      <c r="U704" s="134"/>
      <c r="V704" s="134"/>
      <c r="W704" s="134"/>
      <c r="X704" s="134"/>
      <c r="Y704" s="134"/>
      <c r="Z704" s="134"/>
      <c r="AA704" s="134"/>
      <c r="AB704" s="134"/>
      <c r="AC704" s="134"/>
      <c r="AD704" s="134"/>
      <c r="AE704" s="134"/>
      <c r="AF704" s="134"/>
      <c r="AG704" s="134"/>
      <c r="AH704" s="134"/>
      <c r="AI704" s="134"/>
      <c r="AJ704" s="134"/>
      <c r="AK704" s="134"/>
      <c r="AL704" s="134"/>
      <c r="AM704" s="134"/>
      <c r="AN704" s="134"/>
      <c r="AO704" s="97"/>
      <c r="AP704" s="97"/>
      <c r="AQ704" s="97"/>
      <c r="AR704" s="97"/>
      <c r="AS704" s="97"/>
      <c r="AT704" s="97"/>
      <c r="AU704" s="97"/>
      <c r="AV704" s="97"/>
      <c r="AW704" s="97"/>
      <c r="AX704" s="97"/>
    </row>
    <row r="705" ht="15.75" customHeight="1">
      <c r="A705" s="150" t="s">
        <v>161</v>
      </c>
      <c r="B705" s="82" t="s">
        <v>5007</v>
      </c>
      <c r="C705" s="82"/>
      <c r="D705" s="83"/>
      <c r="E705" s="83"/>
      <c r="F705" s="84"/>
      <c r="G705" s="84"/>
      <c r="H705" s="84"/>
      <c r="I705" s="84"/>
      <c r="J705" s="86" t="s">
        <v>1811</v>
      </c>
      <c r="K705" s="84"/>
      <c r="L705" s="84"/>
      <c r="M705" s="86"/>
      <c r="N705" s="86"/>
      <c r="O705" s="86"/>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c r="AN705" s="84"/>
      <c r="AO705" s="97"/>
      <c r="AP705" s="97"/>
      <c r="AQ705" s="97"/>
      <c r="AR705" s="97"/>
      <c r="AS705" s="97"/>
      <c r="AT705" s="97"/>
      <c r="AU705" s="97"/>
      <c r="AV705" s="97"/>
      <c r="AW705" s="97"/>
      <c r="AX705" s="97"/>
    </row>
    <row r="706" ht="15.75" customHeight="1">
      <c r="A706" s="114" t="s">
        <v>680</v>
      </c>
      <c r="B706" s="165" t="s">
        <v>5008</v>
      </c>
      <c r="C706" s="76" t="s">
        <v>5936</v>
      </c>
      <c r="D706" s="76" t="s">
        <v>5937</v>
      </c>
      <c r="E706" s="117" t="s">
        <v>5938</v>
      </c>
      <c r="F706" s="76"/>
      <c r="G706" s="76"/>
      <c r="H706" s="76"/>
      <c r="I706" s="118"/>
      <c r="J706" s="120" t="s">
        <v>6</v>
      </c>
      <c r="K706" s="118"/>
      <c r="L706" s="118"/>
      <c r="M706" s="118"/>
      <c r="N706" s="118"/>
      <c r="O706" s="118"/>
      <c r="P706" s="118"/>
      <c r="Q706" s="118"/>
      <c r="R706" s="118"/>
      <c r="S706" s="118"/>
      <c r="T706" s="118"/>
      <c r="U706" s="118"/>
      <c r="V706" s="118"/>
      <c r="W706" s="118"/>
      <c r="X706" s="118"/>
      <c r="Y706" s="118"/>
      <c r="Z706" s="118"/>
      <c r="AA706" s="118"/>
      <c r="AB706" s="118"/>
      <c r="AC706" s="118"/>
      <c r="AD706" s="118"/>
      <c r="AE706" s="118"/>
      <c r="AF706" s="118"/>
      <c r="AG706" s="118"/>
      <c r="AH706" s="118"/>
      <c r="AI706" s="118"/>
      <c r="AJ706" s="118"/>
      <c r="AK706" s="118"/>
      <c r="AL706" s="118"/>
      <c r="AM706" s="118"/>
      <c r="AN706" s="118"/>
      <c r="AO706" s="97"/>
      <c r="AP706" s="97"/>
      <c r="AQ706" s="97"/>
      <c r="AR706" s="97"/>
      <c r="AS706" s="97"/>
      <c r="AT706" s="97"/>
      <c r="AU706" s="97"/>
      <c r="AV706" s="97"/>
      <c r="AW706" s="97"/>
      <c r="AX706" s="97"/>
    </row>
    <row r="707" ht="15.75" customHeight="1">
      <c r="A707" s="114" t="s">
        <v>680</v>
      </c>
      <c r="B707" s="165" t="s">
        <v>5016</v>
      </c>
      <c r="C707" s="76" t="s">
        <v>5939</v>
      </c>
      <c r="D707" s="76" t="s">
        <v>5940</v>
      </c>
      <c r="E707" s="117" t="s">
        <v>5941</v>
      </c>
      <c r="F707" s="76"/>
      <c r="G707" s="76"/>
      <c r="H707" s="76"/>
      <c r="I707" s="118"/>
      <c r="J707" s="120" t="s">
        <v>1837</v>
      </c>
      <c r="K707" s="118"/>
      <c r="L707" s="118"/>
      <c r="M707" s="118"/>
      <c r="N707" s="118"/>
      <c r="O707" s="118"/>
      <c r="P707" s="118"/>
      <c r="Q707" s="118" t="s">
        <v>184</v>
      </c>
      <c r="R707" s="118"/>
      <c r="S707" s="118"/>
      <c r="T707" s="118"/>
      <c r="U707" s="118"/>
      <c r="V707" s="118"/>
      <c r="W707" s="118"/>
      <c r="X707" s="118"/>
      <c r="Y707" s="118"/>
      <c r="Z707" s="118"/>
      <c r="AA707" s="118"/>
      <c r="AB707" s="118"/>
      <c r="AC707" s="118"/>
      <c r="AD707" s="118"/>
      <c r="AE707" s="118"/>
      <c r="AF707" s="118"/>
      <c r="AG707" s="118"/>
      <c r="AH707" s="118"/>
      <c r="AI707" s="118"/>
      <c r="AJ707" s="118"/>
      <c r="AK707" s="118"/>
      <c r="AL707" s="118"/>
      <c r="AM707" s="118"/>
      <c r="AN707" s="118"/>
      <c r="AO707" s="97"/>
      <c r="AP707" s="97"/>
      <c r="AQ707" s="97"/>
      <c r="AR707" s="97"/>
      <c r="AS707" s="97"/>
      <c r="AT707" s="97"/>
      <c r="AU707" s="97"/>
      <c r="AV707" s="97"/>
      <c r="AW707" s="97"/>
      <c r="AX707" s="97"/>
    </row>
    <row r="708" ht="15.75" customHeight="1">
      <c r="A708" s="114" t="s">
        <v>680</v>
      </c>
      <c r="B708" s="165" t="s">
        <v>5021</v>
      </c>
      <c r="C708" s="76" t="s">
        <v>5942</v>
      </c>
      <c r="D708" s="76" t="s">
        <v>5943</v>
      </c>
      <c r="E708" s="117" t="s">
        <v>5944</v>
      </c>
      <c r="F708" s="76"/>
      <c r="G708" s="76"/>
      <c r="H708" s="76"/>
      <c r="I708" s="118"/>
      <c r="J708" s="120" t="s">
        <v>1837</v>
      </c>
      <c r="K708" s="118"/>
      <c r="L708" s="118"/>
      <c r="M708" s="118"/>
      <c r="N708" s="118"/>
      <c r="O708" s="118"/>
      <c r="P708" s="118"/>
      <c r="Q708" s="118" t="s">
        <v>184</v>
      </c>
      <c r="R708" s="118"/>
      <c r="S708" s="118"/>
      <c r="T708" s="118"/>
      <c r="U708" s="118"/>
      <c r="V708" s="118"/>
      <c r="W708" s="118"/>
      <c r="X708" s="118"/>
      <c r="Y708" s="118"/>
      <c r="Z708" s="118"/>
      <c r="AA708" s="118"/>
      <c r="AB708" s="118"/>
      <c r="AC708" s="118"/>
      <c r="AD708" s="118"/>
      <c r="AE708" s="118"/>
      <c r="AF708" s="118"/>
      <c r="AG708" s="118"/>
      <c r="AH708" s="118"/>
      <c r="AI708" s="118"/>
      <c r="AJ708" s="118"/>
      <c r="AK708" s="118"/>
      <c r="AL708" s="118"/>
      <c r="AM708" s="118"/>
      <c r="AN708" s="118"/>
      <c r="AO708" s="97"/>
      <c r="AP708" s="97"/>
      <c r="AQ708" s="97"/>
      <c r="AR708" s="97"/>
      <c r="AS708" s="97"/>
      <c r="AT708" s="97"/>
      <c r="AU708" s="97"/>
      <c r="AV708" s="97"/>
      <c r="AW708" s="97"/>
      <c r="AX708" s="97"/>
    </row>
    <row r="709" ht="15.75" customHeight="1">
      <c r="A709" s="114" t="s">
        <v>680</v>
      </c>
      <c r="B709" s="165" t="s">
        <v>5025</v>
      </c>
      <c r="C709" s="76" t="s">
        <v>5945</v>
      </c>
      <c r="D709" s="76" t="s">
        <v>5946</v>
      </c>
      <c r="E709" s="117" t="s">
        <v>5947</v>
      </c>
      <c r="F709" s="76"/>
      <c r="G709" s="76"/>
      <c r="H709" s="76"/>
      <c r="I709" s="118"/>
      <c r="J709" s="120" t="s">
        <v>1837</v>
      </c>
      <c r="K709" s="118"/>
      <c r="L709" s="118"/>
      <c r="M709" s="118"/>
      <c r="N709" s="118"/>
      <c r="O709" s="118"/>
      <c r="P709" s="118"/>
      <c r="Q709" s="118" t="s">
        <v>184</v>
      </c>
      <c r="R709" s="118"/>
      <c r="S709" s="118"/>
      <c r="T709" s="118"/>
      <c r="U709" s="118"/>
      <c r="V709" s="118"/>
      <c r="W709" s="118"/>
      <c r="X709" s="118"/>
      <c r="Y709" s="118"/>
      <c r="Z709" s="118"/>
      <c r="AA709" s="118"/>
      <c r="AB709" s="118"/>
      <c r="AC709" s="118"/>
      <c r="AD709" s="118"/>
      <c r="AE709" s="118"/>
      <c r="AF709" s="118"/>
      <c r="AG709" s="118"/>
      <c r="AH709" s="118"/>
      <c r="AI709" s="118"/>
      <c r="AJ709" s="118"/>
      <c r="AK709" s="118"/>
      <c r="AL709" s="118"/>
      <c r="AM709" s="118"/>
      <c r="AN709" s="118"/>
      <c r="AO709" s="97"/>
      <c r="AP709" s="97"/>
      <c r="AQ709" s="97"/>
      <c r="AR709" s="97"/>
      <c r="AS709" s="97"/>
      <c r="AT709" s="97"/>
      <c r="AU709" s="97"/>
      <c r="AV709" s="97"/>
      <c r="AW709" s="97"/>
      <c r="AX709" s="97"/>
    </row>
    <row r="710" ht="15.75" customHeight="1">
      <c r="A710" s="114" t="s">
        <v>680</v>
      </c>
      <c r="B710" s="165" t="s">
        <v>5031</v>
      </c>
      <c r="C710" s="76" t="s">
        <v>5948</v>
      </c>
      <c r="D710" s="76" t="s">
        <v>5949</v>
      </c>
      <c r="E710" s="117" t="s">
        <v>5950</v>
      </c>
      <c r="F710" s="76"/>
      <c r="G710" s="76"/>
      <c r="H710" s="76"/>
      <c r="I710" s="118"/>
      <c r="J710" s="120" t="s">
        <v>1837</v>
      </c>
      <c r="K710" s="118"/>
      <c r="L710" s="118"/>
      <c r="M710" s="118"/>
      <c r="N710" s="118"/>
      <c r="O710" s="118"/>
      <c r="P710" s="118"/>
      <c r="Q710" s="118" t="s">
        <v>184</v>
      </c>
      <c r="R710" s="118"/>
      <c r="S710" s="118"/>
      <c r="T710" s="118"/>
      <c r="U710" s="118"/>
      <c r="V710" s="118"/>
      <c r="W710" s="118"/>
      <c r="X710" s="118"/>
      <c r="Y710" s="118"/>
      <c r="Z710" s="118"/>
      <c r="AA710" s="118"/>
      <c r="AB710" s="118"/>
      <c r="AC710" s="118"/>
      <c r="AD710" s="118"/>
      <c r="AE710" s="118"/>
      <c r="AF710" s="118"/>
      <c r="AG710" s="118"/>
      <c r="AH710" s="118"/>
      <c r="AI710" s="118"/>
      <c r="AJ710" s="118"/>
      <c r="AK710" s="118"/>
      <c r="AL710" s="118"/>
      <c r="AM710" s="118"/>
      <c r="AN710" s="118"/>
      <c r="AO710" s="97"/>
      <c r="AP710" s="97"/>
      <c r="AQ710" s="97"/>
      <c r="AR710" s="97"/>
      <c r="AS710" s="97"/>
      <c r="AT710" s="97"/>
      <c r="AU710" s="97"/>
      <c r="AV710" s="97"/>
      <c r="AW710" s="97"/>
      <c r="AX710" s="97"/>
    </row>
    <row r="711" ht="15.75" customHeight="1">
      <c r="A711" s="150" t="s">
        <v>343</v>
      </c>
      <c r="B711" s="83" t="s">
        <v>5007</v>
      </c>
      <c r="C711" s="83"/>
      <c r="D711" s="83"/>
      <c r="E711" s="83"/>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c r="AN711" s="84"/>
      <c r="AO711" s="97"/>
      <c r="AP711" s="97"/>
      <c r="AQ711" s="97"/>
      <c r="AR711" s="97"/>
      <c r="AS711" s="97"/>
      <c r="AT711" s="97"/>
      <c r="AU711" s="97"/>
      <c r="AV711" s="97"/>
      <c r="AW711" s="97"/>
      <c r="AX711" s="97"/>
    </row>
    <row r="712" ht="15.75" customHeight="1">
      <c r="A712" s="150" t="s">
        <v>161</v>
      </c>
      <c r="B712" s="82" t="s">
        <v>5037</v>
      </c>
      <c r="C712" s="82"/>
      <c r="D712" s="83"/>
      <c r="E712" s="83"/>
      <c r="F712" s="84"/>
      <c r="G712" s="84"/>
      <c r="H712" s="84"/>
      <c r="I712" s="84"/>
      <c r="J712" s="86" t="s">
        <v>1811</v>
      </c>
      <c r="K712" s="84"/>
      <c r="L712" s="84"/>
      <c r="M712" s="86"/>
      <c r="N712" s="86"/>
      <c r="O712" s="86" t="s">
        <v>5951</v>
      </c>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c r="AN712" s="84"/>
      <c r="AO712" s="97"/>
      <c r="AP712" s="97"/>
      <c r="AQ712" s="97"/>
      <c r="AR712" s="97"/>
      <c r="AS712" s="97"/>
      <c r="AT712" s="97"/>
      <c r="AU712" s="97"/>
      <c r="AV712" s="97"/>
      <c r="AW712" s="97"/>
      <c r="AX712" s="97"/>
    </row>
    <row r="713" ht="15.75" customHeight="1">
      <c r="A713" s="152" t="s">
        <v>44</v>
      </c>
      <c r="B713" s="77" t="s">
        <v>5038</v>
      </c>
      <c r="C713" s="76" t="s">
        <v>5952</v>
      </c>
      <c r="D713" s="76" t="s">
        <v>5953</v>
      </c>
      <c r="E713" s="117" t="s">
        <v>5954</v>
      </c>
      <c r="F713" s="76"/>
      <c r="G713" s="76"/>
      <c r="H713" s="76"/>
      <c r="I713" s="176"/>
      <c r="J713" s="176" t="s">
        <v>6</v>
      </c>
      <c r="K713" s="176"/>
      <c r="L713" s="176"/>
      <c r="M713" s="176"/>
      <c r="N713" s="176"/>
      <c r="O713" s="176"/>
      <c r="P713" s="176"/>
      <c r="Q713" s="176"/>
      <c r="R713" s="176"/>
      <c r="S713" s="176"/>
      <c r="T713" s="176"/>
      <c r="U713" s="176"/>
      <c r="V713" s="176"/>
      <c r="W713" s="176"/>
      <c r="X713" s="176"/>
      <c r="Y713" s="176"/>
      <c r="Z713" s="176"/>
      <c r="AA713" s="176"/>
      <c r="AB713" s="176"/>
      <c r="AC713" s="176"/>
      <c r="AD713" s="176"/>
      <c r="AE713" s="176"/>
      <c r="AF713" s="176"/>
      <c r="AG713" s="176"/>
      <c r="AH713" s="176"/>
      <c r="AI713" s="176"/>
      <c r="AJ713" s="176"/>
      <c r="AK713" s="176"/>
      <c r="AL713" s="176"/>
      <c r="AM713" s="176"/>
      <c r="AN713" s="176"/>
      <c r="AO713" s="97"/>
      <c r="AP713" s="97"/>
      <c r="AQ713" s="97"/>
      <c r="AR713" s="97"/>
      <c r="AS713" s="97"/>
      <c r="AT713" s="97"/>
      <c r="AU713" s="97"/>
      <c r="AV713" s="97"/>
      <c r="AW713" s="97"/>
      <c r="AX713" s="97"/>
    </row>
    <row r="714" ht="15.75" customHeight="1">
      <c r="A714" s="170" t="s">
        <v>238</v>
      </c>
      <c r="B714" s="171" t="s">
        <v>5043</v>
      </c>
      <c r="C714" s="76" t="s">
        <v>5955</v>
      </c>
      <c r="D714" s="76" t="s">
        <v>5956</v>
      </c>
      <c r="E714" s="117" t="s">
        <v>5957</v>
      </c>
      <c r="F714" s="76" t="s">
        <v>2875</v>
      </c>
      <c r="G714" s="76" t="s">
        <v>2876</v>
      </c>
      <c r="H714" s="76" t="s">
        <v>2877</v>
      </c>
      <c r="I714" s="209"/>
      <c r="J714" s="209" t="s">
        <v>1837</v>
      </c>
      <c r="K714" s="210" t="s">
        <v>2607</v>
      </c>
      <c r="L714" s="210"/>
      <c r="M714" s="209"/>
      <c r="N714" s="209"/>
      <c r="O714" s="209" t="s">
        <v>5958</v>
      </c>
      <c r="P714" s="209"/>
      <c r="Q714" s="209" t="s">
        <v>184</v>
      </c>
      <c r="R714" s="209"/>
      <c r="S714" s="209"/>
      <c r="T714" s="209"/>
      <c r="U714" s="209"/>
      <c r="V714" s="209"/>
      <c r="W714" s="209"/>
      <c r="X714" s="209"/>
      <c r="Y714" s="209"/>
      <c r="Z714" s="209"/>
      <c r="AA714" s="209"/>
      <c r="AB714" s="209"/>
      <c r="AC714" s="209"/>
      <c r="AD714" s="209"/>
      <c r="AE714" s="209"/>
      <c r="AF714" s="209"/>
      <c r="AG714" s="209"/>
      <c r="AH714" s="209"/>
      <c r="AI714" s="209"/>
      <c r="AJ714" s="209"/>
      <c r="AK714" s="209"/>
      <c r="AL714" s="209"/>
      <c r="AM714" s="209"/>
      <c r="AN714" s="209"/>
      <c r="AO714" s="97"/>
      <c r="AP714" s="97"/>
      <c r="AQ714" s="97"/>
      <c r="AR714" s="97"/>
      <c r="AS714" s="97"/>
      <c r="AT714" s="97"/>
      <c r="AU714" s="97"/>
      <c r="AV714" s="97"/>
      <c r="AW714" s="97"/>
      <c r="AX714" s="97"/>
    </row>
    <row r="715" ht="15.75" customHeight="1">
      <c r="A715" s="170" t="s">
        <v>238</v>
      </c>
      <c r="B715" s="171" t="s">
        <v>5047</v>
      </c>
      <c r="C715" s="76" t="s">
        <v>5959</v>
      </c>
      <c r="D715" s="76" t="s">
        <v>5960</v>
      </c>
      <c r="E715" s="117" t="s">
        <v>5961</v>
      </c>
      <c r="F715" s="76"/>
      <c r="G715" s="76"/>
      <c r="H715" s="76"/>
      <c r="I715" s="209"/>
      <c r="J715" s="209" t="s">
        <v>1837</v>
      </c>
      <c r="K715" s="210" t="s">
        <v>2607</v>
      </c>
      <c r="L715" s="210"/>
      <c r="M715" s="209"/>
      <c r="N715" s="209"/>
      <c r="O715" s="209" t="s">
        <v>5962</v>
      </c>
      <c r="P715" s="209"/>
      <c r="Q715" s="209" t="s">
        <v>184</v>
      </c>
      <c r="R715" s="209"/>
      <c r="S715" s="209"/>
      <c r="T715" s="209"/>
      <c r="U715" s="209"/>
      <c r="V715" s="209"/>
      <c r="W715" s="209"/>
      <c r="X715" s="209"/>
      <c r="Y715" s="209"/>
      <c r="Z715" s="209"/>
      <c r="AA715" s="209"/>
      <c r="AB715" s="209"/>
      <c r="AC715" s="209"/>
      <c r="AD715" s="209"/>
      <c r="AE715" s="209"/>
      <c r="AF715" s="209"/>
      <c r="AG715" s="209"/>
      <c r="AH715" s="209"/>
      <c r="AI715" s="209"/>
      <c r="AJ715" s="209"/>
      <c r="AK715" s="209"/>
      <c r="AL715" s="209"/>
      <c r="AM715" s="209"/>
      <c r="AN715" s="209"/>
      <c r="AO715" s="97"/>
      <c r="AP715" s="97"/>
      <c r="AQ715" s="97"/>
      <c r="AR715" s="97"/>
      <c r="AS715" s="97"/>
      <c r="AT715" s="97"/>
      <c r="AU715" s="97"/>
      <c r="AV715" s="97"/>
      <c r="AW715" s="97"/>
      <c r="AX715" s="97"/>
    </row>
    <row r="716" ht="15.75" customHeight="1">
      <c r="A716" s="170" t="s">
        <v>238</v>
      </c>
      <c r="B716" s="171" t="s">
        <v>5052</v>
      </c>
      <c r="C716" s="76" t="s">
        <v>5963</v>
      </c>
      <c r="D716" s="76" t="s">
        <v>5964</v>
      </c>
      <c r="E716" s="117" t="s">
        <v>5965</v>
      </c>
      <c r="F716" s="76"/>
      <c r="G716" s="76"/>
      <c r="H716" s="76"/>
      <c r="I716" s="209"/>
      <c r="J716" s="209" t="s">
        <v>1837</v>
      </c>
      <c r="K716" s="210" t="s">
        <v>2607</v>
      </c>
      <c r="L716" s="210"/>
      <c r="M716" s="209"/>
      <c r="N716" s="209"/>
      <c r="O716" s="209" t="s">
        <v>5966</v>
      </c>
      <c r="P716" s="209"/>
      <c r="Q716" s="209" t="s">
        <v>184</v>
      </c>
      <c r="R716" s="209"/>
      <c r="S716" s="209"/>
      <c r="T716" s="209"/>
      <c r="U716" s="209"/>
      <c r="V716" s="209"/>
      <c r="W716" s="209"/>
      <c r="X716" s="209"/>
      <c r="Y716" s="209"/>
      <c r="Z716" s="209"/>
      <c r="AA716" s="209"/>
      <c r="AB716" s="209"/>
      <c r="AC716" s="209"/>
      <c r="AD716" s="209"/>
      <c r="AE716" s="209"/>
      <c r="AF716" s="209"/>
      <c r="AG716" s="209"/>
      <c r="AH716" s="209"/>
      <c r="AI716" s="209"/>
      <c r="AJ716" s="209"/>
      <c r="AK716" s="209"/>
      <c r="AL716" s="209"/>
      <c r="AM716" s="209"/>
      <c r="AN716" s="209"/>
      <c r="AO716" s="97"/>
      <c r="AP716" s="97"/>
      <c r="AQ716" s="97"/>
      <c r="AR716" s="97"/>
      <c r="AS716" s="97"/>
      <c r="AT716" s="97"/>
      <c r="AU716" s="97"/>
      <c r="AV716" s="97"/>
      <c r="AW716" s="97"/>
      <c r="AX716" s="97"/>
    </row>
    <row r="717" ht="15.75" customHeight="1">
      <c r="A717" s="150" t="s">
        <v>343</v>
      </c>
      <c r="B717" s="83" t="s">
        <v>5037</v>
      </c>
      <c r="C717" s="83"/>
      <c r="D717" s="83"/>
      <c r="E717" s="83"/>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c r="AN717" s="84"/>
      <c r="AO717" s="97"/>
      <c r="AP717" s="97"/>
      <c r="AQ717" s="97"/>
      <c r="AR717" s="97"/>
      <c r="AS717" s="97"/>
      <c r="AT717" s="97"/>
      <c r="AU717" s="97"/>
      <c r="AV717" s="97"/>
      <c r="AW717" s="97"/>
      <c r="AX717" s="97"/>
    </row>
    <row r="718" ht="15.75" customHeight="1">
      <c r="A718" s="167" t="s">
        <v>842</v>
      </c>
      <c r="B718" s="169" t="s">
        <v>5004</v>
      </c>
      <c r="C718" s="169" t="s">
        <v>1839</v>
      </c>
      <c r="D718" s="169"/>
      <c r="E718" s="169"/>
      <c r="F718" s="205"/>
      <c r="G718" s="205"/>
      <c r="H718" s="205"/>
      <c r="I718" s="205"/>
      <c r="J718" s="205"/>
      <c r="K718" s="205"/>
      <c r="L718" s="205"/>
      <c r="M718" s="205"/>
      <c r="N718" s="205"/>
      <c r="O718" s="205"/>
      <c r="P718" s="205"/>
      <c r="Q718" s="205"/>
      <c r="R718" s="205"/>
      <c r="S718" s="205"/>
      <c r="T718" s="205"/>
      <c r="U718" s="205"/>
      <c r="V718" s="205"/>
      <c r="W718" s="205"/>
      <c r="X718" s="205"/>
      <c r="Y718" s="205"/>
      <c r="Z718" s="205"/>
      <c r="AA718" s="205"/>
      <c r="AB718" s="205"/>
      <c r="AC718" s="205"/>
      <c r="AD718" s="205"/>
      <c r="AE718" s="205"/>
      <c r="AF718" s="205"/>
      <c r="AG718" s="205"/>
      <c r="AH718" s="205"/>
      <c r="AI718" s="205"/>
      <c r="AJ718" s="205"/>
      <c r="AK718" s="205"/>
      <c r="AL718" s="205"/>
      <c r="AM718" s="205"/>
      <c r="AN718" s="205"/>
      <c r="AO718" s="97"/>
      <c r="AP718" s="97"/>
      <c r="AQ718" s="97"/>
      <c r="AR718" s="97"/>
      <c r="AS718" s="97"/>
      <c r="AT718" s="97"/>
      <c r="AU718" s="97"/>
      <c r="AV718" s="97"/>
      <c r="AW718" s="97"/>
      <c r="AX718" s="97"/>
    </row>
    <row r="719" ht="15.75" customHeight="1">
      <c r="A719" s="131" t="s">
        <v>150</v>
      </c>
      <c r="B719" s="164" t="s">
        <v>5057</v>
      </c>
      <c r="C719" s="133"/>
      <c r="D719" s="133"/>
      <c r="E719" s="133"/>
      <c r="F719" s="134"/>
      <c r="G719" s="134"/>
      <c r="H719" s="134"/>
      <c r="I719" s="134"/>
      <c r="J719" s="134"/>
      <c r="K719" s="134"/>
      <c r="L719" s="134"/>
      <c r="M719" s="134"/>
      <c r="N719" s="134"/>
      <c r="O719" s="134"/>
      <c r="P719" s="134"/>
      <c r="Q719" s="134"/>
      <c r="R719" s="134"/>
      <c r="S719" s="134"/>
      <c r="T719" s="291" t="s">
        <v>156</v>
      </c>
      <c r="U719" s="134"/>
      <c r="V719" s="134"/>
      <c r="W719" s="134"/>
      <c r="X719" s="134"/>
      <c r="Y719" s="134"/>
      <c r="Z719" s="134"/>
      <c r="AA719" s="134"/>
      <c r="AB719" s="134"/>
      <c r="AC719" s="134"/>
      <c r="AD719" s="97"/>
      <c r="AE719" s="97"/>
      <c r="AF719" s="97"/>
      <c r="AG719" s="97"/>
      <c r="AH719" s="97"/>
      <c r="AI719" s="97"/>
      <c r="AJ719" s="97"/>
      <c r="AK719" s="97"/>
      <c r="AL719" s="97"/>
      <c r="AM719" s="97"/>
      <c r="AN719" s="97"/>
      <c r="AO719" s="97"/>
      <c r="AP719" s="97"/>
      <c r="AQ719" s="97"/>
      <c r="AR719" s="97"/>
      <c r="AS719" s="97"/>
      <c r="AT719" s="97"/>
      <c r="AU719" s="97"/>
      <c r="AV719" s="97"/>
      <c r="AW719" s="97"/>
      <c r="AX719" s="97"/>
    </row>
    <row r="720" ht="15.75" customHeight="1">
      <c r="A720" s="80" t="s">
        <v>115</v>
      </c>
      <c r="B720" s="81" t="s">
        <v>5058</v>
      </c>
      <c r="C720" s="82"/>
      <c r="D720" s="83"/>
      <c r="E720" s="83"/>
      <c r="F720" s="84"/>
      <c r="G720" s="84"/>
      <c r="H720" s="84"/>
      <c r="I720" s="86"/>
      <c r="J720" s="86"/>
      <c r="K720" s="84"/>
      <c r="L720" s="86"/>
      <c r="M720" s="86"/>
      <c r="N720" s="86"/>
      <c r="O720" s="86"/>
      <c r="P720" s="84"/>
      <c r="Q720" s="84"/>
      <c r="R720" s="84"/>
      <c r="S720" s="84"/>
      <c r="T720" s="80" t="s">
        <v>5967</v>
      </c>
      <c r="U720" s="84"/>
      <c r="V720" s="84"/>
      <c r="W720" s="84"/>
      <c r="X720" s="84"/>
      <c r="Y720" s="84"/>
      <c r="Z720" s="84"/>
      <c r="AA720" s="84"/>
      <c r="AB720" s="84"/>
      <c r="AC720" s="84"/>
      <c r="AD720" s="97"/>
      <c r="AE720" s="97"/>
      <c r="AF720" s="97"/>
      <c r="AG720" s="97"/>
      <c r="AH720" s="97"/>
      <c r="AI720" s="97"/>
      <c r="AJ720" s="97"/>
      <c r="AK720" s="97"/>
      <c r="AL720" s="97"/>
      <c r="AM720" s="97"/>
      <c r="AN720" s="97"/>
      <c r="AO720" s="97"/>
      <c r="AP720" s="97"/>
      <c r="AQ720" s="97"/>
      <c r="AR720" s="97"/>
      <c r="AS720" s="97"/>
      <c r="AT720" s="97"/>
      <c r="AU720" s="97"/>
      <c r="AV720" s="97"/>
      <c r="AW720" s="97"/>
      <c r="AX720" s="97"/>
    </row>
    <row r="721" ht="15.75" customHeight="1">
      <c r="A721" s="131" t="s">
        <v>150</v>
      </c>
      <c r="B721" s="164" t="s">
        <v>5059</v>
      </c>
      <c r="C721" s="133"/>
      <c r="D721" s="133"/>
      <c r="E721" s="133"/>
      <c r="F721" s="134"/>
      <c r="G721" s="134"/>
      <c r="H721" s="134"/>
      <c r="I721" s="134"/>
      <c r="J721" s="134"/>
      <c r="K721" s="134"/>
      <c r="L721" s="134"/>
      <c r="M721" s="134"/>
      <c r="N721" s="134"/>
      <c r="O721" s="134"/>
      <c r="P721" s="134"/>
      <c r="Q721" s="134"/>
      <c r="R721" s="134"/>
      <c r="S721" s="134"/>
      <c r="T721" s="291" t="s">
        <v>156</v>
      </c>
      <c r="U721" s="134"/>
      <c r="V721" s="134"/>
      <c r="W721" s="134"/>
      <c r="X721" s="134"/>
      <c r="Y721" s="134"/>
      <c r="Z721" s="134"/>
      <c r="AA721" s="134"/>
      <c r="AB721" s="134"/>
      <c r="AC721" s="134"/>
      <c r="AD721" s="97"/>
      <c r="AE721" s="97"/>
      <c r="AF721" s="97"/>
      <c r="AG721" s="97"/>
      <c r="AH721" s="97"/>
      <c r="AI721" s="97"/>
      <c r="AJ721" s="97"/>
      <c r="AK721" s="97"/>
      <c r="AL721" s="97"/>
      <c r="AM721" s="97"/>
      <c r="AN721" s="97"/>
      <c r="AO721" s="97"/>
      <c r="AP721" s="97"/>
      <c r="AQ721" s="97"/>
      <c r="AR721" s="97"/>
      <c r="AS721" s="97"/>
      <c r="AT721" s="97"/>
      <c r="AU721" s="97"/>
      <c r="AV721" s="97"/>
      <c r="AW721" s="97"/>
      <c r="AX721" s="97"/>
    </row>
    <row r="722" ht="15.75" customHeight="1">
      <c r="A722" s="152" t="s">
        <v>44</v>
      </c>
      <c r="B722" s="77" t="s">
        <v>5060</v>
      </c>
      <c r="C722" s="76" t="s">
        <v>5968</v>
      </c>
      <c r="D722" s="76" t="s">
        <v>5969</v>
      </c>
      <c r="E722" s="117" t="s">
        <v>5970</v>
      </c>
      <c r="F722" s="76"/>
      <c r="G722" s="76"/>
      <c r="H722" s="76"/>
      <c r="I722" s="176"/>
      <c r="J722" s="176"/>
      <c r="K722" s="176"/>
      <c r="L722" s="176"/>
      <c r="M722" s="176"/>
      <c r="N722" s="176"/>
      <c r="O722" s="176"/>
      <c r="P722" s="176"/>
      <c r="Q722" s="176"/>
      <c r="R722" s="176"/>
      <c r="S722" s="176"/>
      <c r="T722" s="176"/>
      <c r="U722" s="176"/>
      <c r="V722" s="176"/>
      <c r="W722" s="176"/>
      <c r="X722" s="176"/>
      <c r="Y722" s="176"/>
      <c r="Z722" s="176"/>
      <c r="AA722" s="176"/>
      <c r="AB722" s="176"/>
      <c r="AC722" s="176"/>
      <c r="AD722" s="97"/>
      <c r="AE722" s="97"/>
      <c r="AF722" s="97"/>
      <c r="AG722" s="97"/>
      <c r="AH722" s="97"/>
      <c r="AI722" s="97"/>
      <c r="AJ722" s="97"/>
      <c r="AK722" s="97"/>
      <c r="AL722" s="176"/>
      <c r="AM722" s="176"/>
      <c r="AN722" s="176"/>
      <c r="AO722" s="97"/>
      <c r="AP722" s="97"/>
      <c r="AQ722" s="97"/>
      <c r="AR722" s="97"/>
      <c r="AS722" s="97"/>
      <c r="AT722" s="97"/>
      <c r="AU722" s="97"/>
      <c r="AV722" s="97"/>
      <c r="AW722" s="97"/>
      <c r="AX722" s="97"/>
    </row>
    <row r="723" ht="15.75" customHeight="1">
      <c r="A723" s="114" t="s">
        <v>680</v>
      </c>
      <c r="B723" s="165" t="s">
        <v>5065</v>
      </c>
      <c r="C723" s="76" t="s">
        <v>5971</v>
      </c>
      <c r="D723" s="76" t="s">
        <v>5972</v>
      </c>
      <c r="E723" s="117" t="s">
        <v>5973</v>
      </c>
      <c r="F723" s="76"/>
      <c r="G723" s="76"/>
      <c r="H723" s="76"/>
      <c r="I723" s="118"/>
      <c r="J723" s="120"/>
      <c r="K723" s="118"/>
      <c r="L723" s="118"/>
      <c r="M723" s="118"/>
      <c r="N723" s="118"/>
      <c r="O723" s="118"/>
      <c r="P723" s="118"/>
      <c r="Q723" s="118" t="s">
        <v>184</v>
      </c>
      <c r="R723" s="118"/>
      <c r="S723" s="118"/>
      <c r="T723" s="118"/>
      <c r="U723" s="118"/>
      <c r="V723" s="118"/>
      <c r="W723" s="118"/>
      <c r="X723" s="118"/>
      <c r="Y723" s="118"/>
      <c r="Z723" s="118"/>
      <c r="AA723" s="118"/>
      <c r="AB723" s="118"/>
      <c r="AC723" s="118"/>
      <c r="AD723" s="97"/>
      <c r="AE723" s="97"/>
      <c r="AF723" s="97"/>
      <c r="AG723" s="97"/>
      <c r="AH723" s="97"/>
      <c r="AI723" s="97"/>
      <c r="AJ723" s="97"/>
      <c r="AK723" s="97"/>
      <c r="AL723" s="176"/>
      <c r="AM723" s="176"/>
      <c r="AN723" s="176"/>
      <c r="AO723" s="97"/>
      <c r="AP723" s="97"/>
      <c r="AQ723" s="97"/>
      <c r="AR723" s="97"/>
      <c r="AS723" s="97"/>
      <c r="AT723" s="97"/>
      <c r="AU723" s="97"/>
      <c r="AV723" s="97"/>
      <c r="AW723" s="97"/>
      <c r="AX723" s="97"/>
    </row>
    <row r="724" ht="15.75" customHeight="1">
      <c r="A724" s="170" t="s">
        <v>238</v>
      </c>
      <c r="B724" s="171" t="s">
        <v>5069</v>
      </c>
      <c r="C724" s="76" t="s">
        <v>5974</v>
      </c>
      <c r="D724" s="76" t="s">
        <v>5975</v>
      </c>
      <c r="E724" s="117" t="s">
        <v>5976</v>
      </c>
      <c r="F724" s="76"/>
      <c r="G724" s="76"/>
      <c r="H724" s="76"/>
      <c r="I724" s="209"/>
      <c r="J724" s="209"/>
      <c r="K724" s="210"/>
      <c r="L724" s="210"/>
      <c r="M724" s="209"/>
      <c r="N724" s="209"/>
      <c r="O724" s="209" t="s">
        <v>5977</v>
      </c>
      <c r="P724" s="209"/>
      <c r="Q724" s="209" t="s">
        <v>184</v>
      </c>
      <c r="R724" s="209"/>
      <c r="S724" s="209"/>
      <c r="T724" s="209"/>
      <c r="U724" s="209"/>
      <c r="V724" s="209"/>
      <c r="W724" s="209"/>
      <c r="X724" s="209"/>
      <c r="Y724" s="209"/>
      <c r="Z724" s="209"/>
      <c r="AA724" s="209"/>
      <c r="AB724" s="209"/>
      <c r="AC724" s="209"/>
      <c r="AD724" s="97"/>
      <c r="AE724" s="97"/>
      <c r="AF724" s="97"/>
      <c r="AG724" s="97"/>
      <c r="AH724" s="97"/>
      <c r="AI724" s="97"/>
      <c r="AJ724" s="97"/>
      <c r="AK724" s="97"/>
      <c r="AL724" s="176"/>
      <c r="AM724" s="176"/>
      <c r="AN724" s="176"/>
      <c r="AO724" s="97"/>
      <c r="AP724" s="97"/>
      <c r="AQ724" s="97"/>
      <c r="AR724" s="97"/>
      <c r="AS724" s="97"/>
      <c r="AT724" s="97"/>
      <c r="AU724" s="97"/>
      <c r="AV724" s="97"/>
      <c r="AW724" s="97"/>
      <c r="AX724" s="97"/>
    </row>
    <row r="725" ht="15.75" customHeight="1">
      <c r="A725" s="170" t="s">
        <v>238</v>
      </c>
      <c r="B725" s="171" t="s">
        <v>5076</v>
      </c>
      <c r="C725" s="76" t="s">
        <v>5978</v>
      </c>
      <c r="D725" s="76" t="s">
        <v>5979</v>
      </c>
      <c r="E725" s="117" t="s">
        <v>5980</v>
      </c>
      <c r="F725" s="76"/>
      <c r="G725" s="76"/>
      <c r="H725" s="76"/>
      <c r="I725" s="209"/>
      <c r="J725" s="209"/>
      <c r="K725" s="210"/>
      <c r="L725" s="210"/>
      <c r="M725" s="209"/>
      <c r="N725" s="209"/>
      <c r="O725" s="209"/>
      <c r="P725" s="209"/>
      <c r="Q725" s="209" t="s">
        <v>184</v>
      </c>
      <c r="R725" s="209"/>
      <c r="S725" s="209"/>
      <c r="T725" s="209"/>
      <c r="U725" s="209"/>
      <c r="V725" s="209"/>
      <c r="W725" s="209"/>
      <c r="X725" s="209"/>
      <c r="Y725" s="209"/>
      <c r="Z725" s="209"/>
      <c r="AA725" s="209"/>
      <c r="AB725" s="209"/>
      <c r="AC725" s="209"/>
      <c r="AD725" s="97"/>
      <c r="AE725" s="97"/>
      <c r="AF725" s="97"/>
      <c r="AG725" s="97"/>
      <c r="AH725" s="97"/>
      <c r="AI725" s="97"/>
      <c r="AJ725" s="97"/>
      <c r="AK725" s="97"/>
      <c r="AL725" s="176"/>
      <c r="AM725" s="176"/>
      <c r="AN725" s="176"/>
      <c r="AO725" s="97"/>
      <c r="AP725" s="97"/>
      <c r="AQ725" s="97"/>
      <c r="AR725" s="97"/>
      <c r="AS725" s="97"/>
      <c r="AT725" s="97"/>
      <c r="AU725" s="97"/>
      <c r="AV725" s="97"/>
      <c r="AW725" s="97"/>
      <c r="AX725" s="97"/>
    </row>
    <row r="726" ht="15.75" customHeight="1">
      <c r="A726" s="114" t="s">
        <v>680</v>
      </c>
      <c r="B726" s="165" t="s">
        <v>5081</v>
      </c>
      <c r="C726" s="76" t="s">
        <v>5981</v>
      </c>
      <c r="D726" s="76" t="s">
        <v>5982</v>
      </c>
      <c r="E726" s="117" t="s">
        <v>5983</v>
      </c>
      <c r="F726" s="76"/>
      <c r="G726" s="76"/>
      <c r="H726" s="76"/>
      <c r="I726" s="118"/>
      <c r="J726" s="120"/>
      <c r="K726" s="118"/>
      <c r="L726" s="118"/>
      <c r="M726" s="118"/>
      <c r="N726" s="118"/>
      <c r="O726" s="118" t="s">
        <v>5984</v>
      </c>
      <c r="P726" s="118"/>
      <c r="Q726" s="118" t="s">
        <v>184</v>
      </c>
      <c r="R726" s="118"/>
      <c r="S726" s="118"/>
      <c r="T726" s="118"/>
      <c r="U726" s="118"/>
      <c r="V726" s="118"/>
      <c r="W726" s="118"/>
      <c r="X726" s="118"/>
      <c r="Y726" s="118"/>
      <c r="Z726" s="118"/>
      <c r="AA726" s="118"/>
      <c r="AB726" s="118"/>
      <c r="AC726" s="118"/>
      <c r="AD726" s="176"/>
      <c r="AE726" s="176"/>
      <c r="AF726" s="176"/>
      <c r="AG726" s="176"/>
      <c r="AH726" s="176"/>
      <c r="AI726" s="176"/>
      <c r="AJ726" s="176"/>
      <c r="AK726" s="176"/>
      <c r="AL726" s="176"/>
      <c r="AM726" s="176"/>
      <c r="AN726" s="176"/>
      <c r="AO726" s="97"/>
      <c r="AP726" s="97"/>
      <c r="AQ726" s="97"/>
      <c r="AR726" s="97"/>
      <c r="AS726" s="97"/>
      <c r="AT726" s="97"/>
      <c r="AU726" s="97"/>
      <c r="AV726" s="97"/>
      <c r="AW726" s="97"/>
      <c r="AX726" s="97"/>
    </row>
    <row r="727" ht="15.75" customHeight="1">
      <c r="A727" s="114" t="s">
        <v>541</v>
      </c>
      <c r="B727" s="165" t="s">
        <v>5085</v>
      </c>
      <c r="C727" s="76" t="s">
        <v>5985</v>
      </c>
      <c r="D727" s="76" t="s">
        <v>5986</v>
      </c>
      <c r="E727" s="117" t="s">
        <v>5987</v>
      </c>
      <c r="F727" s="76"/>
      <c r="G727" s="76"/>
      <c r="H727" s="76"/>
      <c r="I727" s="118"/>
      <c r="J727" s="120"/>
      <c r="K727" s="118"/>
      <c r="L727" s="118"/>
      <c r="M727" s="118"/>
      <c r="N727" s="118"/>
      <c r="O727" s="118"/>
      <c r="P727" s="118"/>
      <c r="Q727" s="118" t="s">
        <v>184</v>
      </c>
      <c r="R727" s="118"/>
      <c r="S727" s="118"/>
      <c r="T727" s="118"/>
      <c r="U727" s="118"/>
      <c r="V727" s="118"/>
      <c r="W727" s="118"/>
      <c r="X727" s="118"/>
      <c r="Y727" s="118"/>
      <c r="Z727" s="118"/>
      <c r="AA727" s="118"/>
      <c r="AB727" s="118"/>
      <c r="AC727" s="118"/>
      <c r="AD727" s="176"/>
      <c r="AE727" s="176"/>
      <c r="AF727" s="176"/>
      <c r="AG727" s="176"/>
      <c r="AH727" s="176"/>
      <c r="AI727" s="176"/>
      <c r="AJ727" s="176"/>
      <c r="AK727" s="176"/>
      <c r="AL727" s="176"/>
      <c r="AM727" s="176"/>
      <c r="AN727" s="176"/>
      <c r="AO727" s="97"/>
      <c r="AP727" s="97"/>
      <c r="AQ727" s="97"/>
      <c r="AR727" s="97"/>
      <c r="AS727" s="97"/>
      <c r="AT727" s="97"/>
      <c r="AU727" s="97"/>
      <c r="AV727" s="97"/>
      <c r="AW727" s="97"/>
      <c r="AX727" s="97"/>
    </row>
    <row r="728" ht="15.75" customHeight="1">
      <c r="A728" s="114" t="s">
        <v>680</v>
      </c>
      <c r="B728" s="165" t="s">
        <v>5090</v>
      </c>
      <c r="C728" s="76" t="s">
        <v>5988</v>
      </c>
      <c r="D728" s="76" t="s">
        <v>5989</v>
      </c>
      <c r="E728" s="117" t="s">
        <v>5990</v>
      </c>
      <c r="F728" s="76"/>
      <c r="G728" s="76"/>
      <c r="H728" s="76"/>
      <c r="I728" s="118"/>
      <c r="J728" s="120"/>
      <c r="K728" s="118"/>
      <c r="L728" s="118"/>
      <c r="M728" s="118"/>
      <c r="N728" s="118"/>
      <c r="O728" s="118" t="s">
        <v>5991</v>
      </c>
      <c r="P728" s="118"/>
      <c r="Q728" s="118" t="s">
        <v>184</v>
      </c>
      <c r="R728" s="118"/>
      <c r="S728" s="118"/>
      <c r="T728" s="118"/>
      <c r="U728" s="118"/>
      <c r="V728" s="118"/>
      <c r="W728" s="118"/>
      <c r="X728" s="118"/>
      <c r="Y728" s="118"/>
      <c r="Z728" s="118"/>
      <c r="AA728" s="118"/>
      <c r="AB728" s="118"/>
      <c r="AC728" s="118"/>
      <c r="AD728" s="176"/>
      <c r="AE728" s="176"/>
      <c r="AF728" s="176"/>
      <c r="AG728" s="176"/>
      <c r="AH728" s="176"/>
      <c r="AI728" s="176"/>
      <c r="AJ728" s="176"/>
      <c r="AK728" s="176"/>
      <c r="AL728" s="176"/>
      <c r="AM728" s="176"/>
      <c r="AN728" s="176"/>
      <c r="AO728" s="97"/>
      <c r="AP728" s="97"/>
      <c r="AQ728" s="97"/>
      <c r="AR728" s="97"/>
      <c r="AS728" s="97"/>
      <c r="AT728" s="97"/>
      <c r="AU728" s="97"/>
      <c r="AV728" s="97"/>
      <c r="AW728" s="97"/>
      <c r="AX728" s="97"/>
    </row>
    <row r="729" ht="15.75" customHeight="1">
      <c r="A729" s="131" t="s">
        <v>150</v>
      </c>
      <c r="B729" s="164" t="s">
        <v>5091</v>
      </c>
      <c r="C729" s="133"/>
      <c r="D729" s="133"/>
      <c r="E729" s="133"/>
      <c r="F729" s="134"/>
      <c r="G729" s="134"/>
      <c r="H729" s="134"/>
      <c r="I729" s="134"/>
      <c r="J729" s="134"/>
      <c r="K729" s="134"/>
      <c r="L729" s="134"/>
      <c r="M729" s="134"/>
      <c r="N729" s="134"/>
      <c r="O729" s="134"/>
      <c r="P729" s="134"/>
      <c r="Q729" s="134"/>
      <c r="R729" s="134"/>
      <c r="S729" s="134"/>
      <c r="T729" s="291" t="s">
        <v>156</v>
      </c>
      <c r="U729" s="134"/>
      <c r="V729" s="134"/>
      <c r="W729" s="134"/>
      <c r="X729" s="134"/>
      <c r="Y729" s="134"/>
      <c r="Z729" s="134"/>
      <c r="AA729" s="134"/>
      <c r="AB729" s="134"/>
      <c r="AC729" s="134"/>
      <c r="AD729" s="97"/>
      <c r="AE729" s="97"/>
      <c r="AF729" s="97"/>
      <c r="AG729" s="97"/>
      <c r="AH729" s="97"/>
      <c r="AI729" s="97"/>
      <c r="AJ729" s="97"/>
      <c r="AK729" s="97"/>
      <c r="AL729" s="97"/>
      <c r="AM729" s="97"/>
      <c r="AN729" s="97"/>
      <c r="AO729" s="97"/>
      <c r="AP729" s="97"/>
      <c r="AQ729" s="97"/>
      <c r="AR729" s="97"/>
      <c r="AS729" s="97"/>
      <c r="AT729" s="97"/>
      <c r="AU729" s="97"/>
      <c r="AV729" s="97"/>
      <c r="AW729" s="97"/>
      <c r="AX729" s="97"/>
    </row>
    <row r="730" ht="15.75" customHeight="1">
      <c r="A730" s="80" t="s">
        <v>115</v>
      </c>
      <c r="B730" s="81" t="s">
        <v>5092</v>
      </c>
      <c r="C730" s="82"/>
      <c r="D730" s="83"/>
      <c r="E730" s="83"/>
      <c r="F730" s="84"/>
      <c r="G730" s="84"/>
      <c r="H730" s="84"/>
      <c r="I730" s="86"/>
      <c r="J730" s="86"/>
      <c r="K730" s="84"/>
      <c r="L730" s="86"/>
      <c r="M730" s="86"/>
      <c r="N730" s="86"/>
      <c r="O730" s="86"/>
      <c r="P730" s="84"/>
      <c r="Q730" s="84"/>
      <c r="R730" s="84"/>
      <c r="S730" s="84"/>
      <c r="T730" s="80" t="s">
        <v>5992</v>
      </c>
      <c r="U730" s="84"/>
      <c r="V730" s="84"/>
      <c r="W730" s="84"/>
      <c r="X730" s="84"/>
      <c r="Y730" s="84"/>
      <c r="Z730" s="84"/>
      <c r="AA730" s="84"/>
      <c r="AB730" s="84"/>
      <c r="AC730" s="84"/>
      <c r="AD730" s="97"/>
      <c r="AE730" s="97"/>
      <c r="AF730" s="97"/>
      <c r="AG730" s="97"/>
      <c r="AH730" s="97"/>
      <c r="AI730" s="97"/>
      <c r="AJ730" s="97"/>
      <c r="AK730" s="97"/>
      <c r="AL730" s="97"/>
      <c r="AM730" s="97"/>
      <c r="AN730" s="97"/>
      <c r="AO730" s="97"/>
      <c r="AP730" s="97"/>
      <c r="AQ730" s="97"/>
      <c r="AR730" s="97"/>
      <c r="AS730" s="97"/>
      <c r="AT730" s="97"/>
      <c r="AU730" s="97"/>
      <c r="AV730" s="97"/>
      <c r="AW730" s="97"/>
      <c r="AX730" s="97"/>
    </row>
    <row r="731" ht="15.75" customHeight="1">
      <c r="A731" s="131" t="s">
        <v>150</v>
      </c>
      <c r="B731" s="164" t="s">
        <v>5093</v>
      </c>
      <c r="C731" s="133"/>
      <c r="D731" s="133"/>
      <c r="E731" s="133"/>
      <c r="F731" s="134"/>
      <c r="G731" s="134"/>
      <c r="H731" s="134"/>
      <c r="I731" s="134"/>
      <c r="J731" s="134"/>
      <c r="K731" s="134"/>
      <c r="L731" s="134"/>
      <c r="M731" s="134"/>
      <c r="N731" s="134"/>
      <c r="O731" s="134"/>
      <c r="P731" s="134"/>
      <c r="Q731" s="134"/>
      <c r="R731" s="134"/>
      <c r="S731" s="134"/>
      <c r="T731" s="291" t="s">
        <v>156</v>
      </c>
      <c r="U731" s="134"/>
      <c r="V731" s="134"/>
      <c r="W731" s="134"/>
      <c r="X731" s="134"/>
      <c r="Y731" s="134"/>
      <c r="Z731" s="134"/>
      <c r="AA731" s="134"/>
      <c r="AB731" s="134"/>
      <c r="AC731" s="134"/>
      <c r="AD731" s="97"/>
      <c r="AE731" s="97"/>
      <c r="AF731" s="97"/>
      <c r="AG731" s="97"/>
      <c r="AH731" s="97"/>
      <c r="AI731" s="97"/>
      <c r="AJ731" s="97"/>
      <c r="AK731" s="97"/>
      <c r="AL731" s="97"/>
      <c r="AM731" s="97"/>
      <c r="AN731" s="97"/>
      <c r="AO731" s="97"/>
      <c r="AP731" s="97"/>
      <c r="AQ731" s="97"/>
      <c r="AR731" s="97"/>
      <c r="AS731" s="97"/>
      <c r="AT731" s="97"/>
      <c r="AU731" s="97"/>
      <c r="AV731" s="97"/>
      <c r="AW731" s="97"/>
      <c r="AX731" s="97"/>
    </row>
    <row r="732" ht="15.75" customHeight="1">
      <c r="A732" s="152" t="s">
        <v>44</v>
      </c>
      <c r="B732" s="77" t="s">
        <v>5096</v>
      </c>
      <c r="C732" s="76" t="s">
        <v>5993</v>
      </c>
      <c r="D732" s="76" t="s">
        <v>5994</v>
      </c>
      <c r="E732" s="117" t="s">
        <v>5995</v>
      </c>
      <c r="F732" s="76"/>
      <c r="G732" s="76"/>
      <c r="H732" s="76"/>
      <c r="I732" s="176"/>
      <c r="J732" s="176"/>
      <c r="K732" s="176"/>
      <c r="L732" s="176"/>
      <c r="M732" s="176"/>
      <c r="N732" s="176"/>
      <c r="O732" s="176"/>
      <c r="P732" s="176"/>
      <c r="Q732" s="176"/>
      <c r="R732" s="176"/>
      <c r="S732" s="176"/>
      <c r="T732" s="176"/>
      <c r="U732" s="176"/>
      <c r="V732" s="176"/>
      <c r="W732" s="176"/>
      <c r="X732" s="176"/>
      <c r="Y732" s="176"/>
      <c r="Z732" s="176"/>
      <c r="AA732" s="176"/>
      <c r="AB732" s="176"/>
      <c r="AC732" s="176"/>
      <c r="AD732" s="176"/>
      <c r="AE732" s="176"/>
      <c r="AF732" s="176"/>
      <c r="AG732" s="176"/>
      <c r="AH732" s="176"/>
      <c r="AI732" s="176"/>
      <c r="AJ732" s="176"/>
      <c r="AK732" s="176"/>
      <c r="AL732" s="176"/>
      <c r="AM732" s="176"/>
      <c r="AN732" s="176"/>
      <c r="AO732" s="97"/>
      <c r="AP732" s="97"/>
      <c r="AQ732" s="97"/>
      <c r="AR732" s="97"/>
      <c r="AS732" s="97"/>
      <c r="AT732" s="97"/>
      <c r="AU732" s="97"/>
      <c r="AV732" s="97"/>
      <c r="AW732" s="97"/>
      <c r="AX732" s="97"/>
    </row>
    <row r="733" ht="15.75" customHeight="1">
      <c r="A733" s="114" t="s">
        <v>680</v>
      </c>
      <c r="B733" s="165" t="s">
        <v>5099</v>
      </c>
      <c r="C733" s="76" t="s">
        <v>5996</v>
      </c>
      <c r="D733" s="76" t="s">
        <v>5997</v>
      </c>
      <c r="E733" s="117" t="s">
        <v>5998</v>
      </c>
      <c r="F733" s="76"/>
      <c r="G733" s="76"/>
      <c r="H733" s="76"/>
      <c r="I733" s="118"/>
      <c r="J733" s="120"/>
      <c r="K733" s="118"/>
      <c r="L733" s="118"/>
      <c r="M733" s="118"/>
      <c r="N733" s="118"/>
      <c r="O733" s="118"/>
      <c r="P733" s="118"/>
      <c r="Q733" s="118" t="s">
        <v>184</v>
      </c>
      <c r="R733" s="118"/>
      <c r="S733" s="118"/>
      <c r="T733" s="118"/>
      <c r="U733" s="118"/>
      <c r="V733" s="118"/>
      <c r="W733" s="118"/>
      <c r="X733" s="118"/>
      <c r="Y733" s="118"/>
      <c r="Z733" s="118"/>
      <c r="AA733" s="118"/>
      <c r="AB733" s="118"/>
      <c r="AC733" s="118"/>
      <c r="AD733" s="118"/>
      <c r="AE733" s="118"/>
      <c r="AF733" s="118"/>
      <c r="AG733" s="118"/>
      <c r="AH733" s="118"/>
      <c r="AI733" s="118"/>
      <c r="AJ733" s="118"/>
      <c r="AK733" s="118"/>
      <c r="AL733" s="118"/>
      <c r="AM733" s="118"/>
      <c r="AN733" s="118"/>
      <c r="AO733" s="97"/>
      <c r="AP733" s="97"/>
      <c r="AQ733" s="97"/>
      <c r="AR733" s="97"/>
      <c r="AS733" s="97"/>
      <c r="AT733" s="97"/>
      <c r="AU733" s="97"/>
      <c r="AV733" s="97"/>
      <c r="AW733" s="97"/>
      <c r="AX733" s="97"/>
    </row>
    <row r="734" ht="15.75" customHeight="1">
      <c r="A734" s="170" t="s">
        <v>238</v>
      </c>
      <c r="B734" s="171" t="s">
        <v>5102</v>
      </c>
      <c r="C734" s="76" t="s">
        <v>5999</v>
      </c>
      <c r="D734" s="76" t="s">
        <v>6000</v>
      </c>
      <c r="E734" s="117" t="s">
        <v>6001</v>
      </c>
      <c r="F734" s="76"/>
      <c r="G734" s="76"/>
      <c r="H734" s="76"/>
      <c r="I734" s="209"/>
      <c r="J734" s="209"/>
      <c r="K734" s="210" t="s">
        <v>2476</v>
      </c>
      <c r="L734" s="210"/>
      <c r="M734" s="209"/>
      <c r="N734" s="209"/>
      <c r="O734" s="209" t="s">
        <v>6002</v>
      </c>
      <c r="P734" s="209"/>
      <c r="Q734" s="209" t="s">
        <v>184</v>
      </c>
      <c r="R734" s="209"/>
      <c r="S734" s="209"/>
      <c r="T734" s="209"/>
      <c r="U734" s="209"/>
      <c r="V734" s="209"/>
      <c r="W734" s="209"/>
      <c r="X734" s="209"/>
      <c r="Y734" s="209"/>
      <c r="Z734" s="209"/>
      <c r="AA734" s="209"/>
      <c r="AB734" s="209"/>
      <c r="AC734" s="209"/>
      <c r="AD734" s="209"/>
      <c r="AE734" s="209"/>
      <c r="AF734" s="209"/>
      <c r="AG734" s="209"/>
      <c r="AH734" s="209"/>
      <c r="AI734" s="209"/>
      <c r="AJ734" s="209"/>
      <c r="AK734" s="209"/>
      <c r="AL734" s="209"/>
      <c r="AM734" s="209"/>
      <c r="AN734" s="209"/>
      <c r="AO734" s="97"/>
      <c r="AP734" s="97"/>
      <c r="AQ734" s="97"/>
      <c r="AR734" s="97"/>
      <c r="AS734" s="97"/>
      <c r="AT734" s="97"/>
      <c r="AU734" s="97"/>
      <c r="AV734" s="97"/>
      <c r="AW734" s="97"/>
      <c r="AX734" s="97"/>
    </row>
    <row r="735" ht="15.75" customHeight="1">
      <c r="A735" s="114" t="s">
        <v>680</v>
      </c>
      <c r="B735" s="165" t="s">
        <v>5105</v>
      </c>
      <c r="C735" s="76" t="s">
        <v>6003</v>
      </c>
      <c r="D735" s="76" t="s">
        <v>6004</v>
      </c>
      <c r="E735" s="117" t="s">
        <v>6005</v>
      </c>
      <c r="F735" s="76"/>
      <c r="G735" s="76"/>
      <c r="H735" s="76"/>
      <c r="I735" s="118"/>
      <c r="J735" s="120"/>
      <c r="K735" s="118"/>
      <c r="L735" s="118"/>
      <c r="M735" s="118"/>
      <c r="N735" s="118"/>
      <c r="O735" s="118"/>
      <c r="P735" s="118"/>
      <c r="Q735" s="118" t="s">
        <v>184</v>
      </c>
      <c r="R735" s="118"/>
      <c r="S735" s="118"/>
      <c r="T735" s="118"/>
      <c r="U735" s="118"/>
      <c r="V735" s="118"/>
      <c r="W735" s="118"/>
      <c r="X735" s="118"/>
      <c r="Y735" s="118"/>
      <c r="Z735" s="118"/>
      <c r="AA735" s="118"/>
      <c r="AB735" s="118"/>
      <c r="AC735" s="118"/>
      <c r="AD735" s="118"/>
      <c r="AE735" s="118"/>
      <c r="AF735" s="118"/>
      <c r="AG735" s="118"/>
      <c r="AH735" s="118"/>
      <c r="AI735" s="118"/>
      <c r="AJ735" s="118"/>
      <c r="AK735" s="118"/>
      <c r="AL735" s="118"/>
      <c r="AM735" s="118"/>
      <c r="AN735" s="118"/>
      <c r="AO735" s="97"/>
      <c r="AP735" s="97"/>
      <c r="AQ735" s="97"/>
      <c r="AR735" s="97"/>
      <c r="AS735" s="97"/>
      <c r="AT735" s="97"/>
      <c r="AU735" s="97"/>
      <c r="AV735" s="97"/>
      <c r="AW735" s="97"/>
      <c r="AX735" s="97"/>
    </row>
    <row r="736" ht="15.75" customHeight="1">
      <c r="A736" s="170" t="s">
        <v>238</v>
      </c>
      <c r="B736" s="171" t="s">
        <v>5106</v>
      </c>
      <c r="C736" s="76" t="s">
        <v>6006</v>
      </c>
      <c r="D736" s="76" t="s">
        <v>6007</v>
      </c>
      <c r="E736" s="117" t="s">
        <v>6008</v>
      </c>
      <c r="F736" s="76"/>
      <c r="G736" s="76"/>
      <c r="H736" s="76"/>
      <c r="I736" s="209"/>
      <c r="J736" s="209"/>
      <c r="K736" s="210" t="s">
        <v>2476</v>
      </c>
      <c r="L736" s="210"/>
      <c r="M736" s="209"/>
      <c r="N736" s="209"/>
      <c r="O736" s="209" t="s">
        <v>6009</v>
      </c>
      <c r="P736" s="209"/>
      <c r="Q736" s="209" t="s">
        <v>184</v>
      </c>
      <c r="R736" s="209"/>
      <c r="S736" s="209"/>
      <c r="T736" s="209"/>
      <c r="U736" s="209"/>
      <c r="V736" s="209"/>
      <c r="W736" s="209"/>
      <c r="X736" s="209"/>
      <c r="Y736" s="209"/>
      <c r="Z736" s="209"/>
      <c r="AA736" s="209"/>
      <c r="AB736" s="209"/>
      <c r="AC736" s="209"/>
      <c r="AD736" s="209"/>
      <c r="AE736" s="209"/>
      <c r="AF736" s="209"/>
      <c r="AG736" s="209"/>
      <c r="AH736" s="209"/>
      <c r="AI736" s="209"/>
      <c r="AJ736" s="209"/>
      <c r="AK736" s="209"/>
      <c r="AL736" s="209"/>
      <c r="AM736" s="209"/>
      <c r="AN736" s="209"/>
      <c r="AO736" s="97"/>
      <c r="AP736" s="97"/>
      <c r="AQ736" s="97"/>
      <c r="AR736" s="97"/>
      <c r="AS736" s="97"/>
      <c r="AT736" s="97"/>
      <c r="AU736" s="97"/>
      <c r="AV736" s="97"/>
      <c r="AW736" s="97"/>
      <c r="AX736" s="97"/>
    </row>
    <row r="737" ht="15.75" customHeight="1">
      <c r="A737" s="170" t="s">
        <v>238</v>
      </c>
      <c r="B737" s="171" t="s">
        <v>5110</v>
      </c>
      <c r="C737" s="76" t="s">
        <v>6010</v>
      </c>
      <c r="D737" s="76" t="s">
        <v>6011</v>
      </c>
      <c r="E737" s="117" t="s">
        <v>6012</v>
      </c>
      <c r="F737" s="76"/>
      <c r="G737" s="76"/>
      <c r="H737" s="76"/>
      <c r="I737" s="209"/>
      <c r="J737" s="209"/>
      <c r="K737" s="210" t="s">
        <v>2476</v>
      </c>
      <c r="L737" s="210"/>
      <c r="M737" s="209"/>
      <c r="N737" s="209"/>
      <c r="O737" s="209"/>
      <c r="P737" s="209"/>
      <c r="Q737" s="209" t="s">
        <v>184</v>
      </c>
      <c r="R737" s="209"/>
      <c r="S737" s="209"/>
      <c r="T737" s="209"/>
      <c r="U737" s="209"/>
      <c r="V737" s="209"/>
      <c r="W737" s="209"/>
      <c r="X737" s="209"/>
      <c r="Y737" s="209"/>
      <c r="Z737" s="209"/>
      <c r="AA737" s="209"/>
      <c r="AB737" s="209"/>
      <c r="AC737" s="209"/>
      <c r="AD737" s="209"/>
      <c r="AE737" s="209"/>
      <c r="AF737" s="209"/>
      <c r="AG737" s="209"/>
      <c r="AH737" s="209"/>
      <c r="AI737" s="209"/>
      <c r="AJ737" s="209"/>
      <c r="AK737" s="209"/>
      <c r="AL737" s="209"/>
      <c r="AM737" s="209"/>
      <c r="AN737" s="209"/>
      <c r="AO737" s="97"/>
      <c r="AP737" s="97"/>
      <c r="AQ737" s="97"/>
      <c r="AR737" s="97"/>
      <c r="AS737" s="97"/>
      <c r="AT737" s="97"/>
      <c r="AU737" s="97"/>
      <c r="AV737" s="97"/>
      <c r="AW737" s="97"/>
      <c r="AX737" s="97"/>
    </row>
    <row r="738" ht="15.75" customHeight="1">
      <c r="A738" s="114" t="s">
        <v>680</v>
      </c>
      <c r="B738" s="165" t="s">
        <v>5112</v>
      </c>
      <c r="C738" s="76" t="s">
        <v>6013</v>
      </c>
      <c r="D738" s="76" t="s">
        <v>6014</v>
      </c>
      <c r="E738" s="117" t="s">
        <v>6015</v>
      </c>
      <c r="F738" s="76"/>
      <c r="G738" s="76"/>
      <c r="H738" s="76"/>
      <c r="I738" s="118"/>
      <c r="J738" s="120"/>
      <c r="K738" s="118"/>
      <c r="L738" s="118"/>
      <c r="M738" s="118"/>
      <c r="N738" s="118"/>
      <c r="O738" s="118"/>
      <c r="P738" s="118"/>
      <c r="Q738" s="118" t="s">
        <v>184</v>
      </c>
      <c r="R738" s="118"/>
      <c r="S738" s="118"/>
      <c r="T738" s="118"/>
      <c r="U738" s="118"/>
      <c r="V738" s="118"/>
      <c r="W738" s="118"/>
      <c r="X738" s="118"/>
      <c r="Y738" s="118"/>
      <c r="Z738" s="118"/>
      <c r="AA738" s="118"/>
      <c r="AB738" s="118"/>
      <c r="AC738" s="118"/>
      <c r="AD738" s="118"/>
      <c r="AE738" s="118"/>
      <c r="AF738" s="118"/>
      <c r="AG738" s="118"/>
      <c r="AH738" s="118"/>
      <c r="AI738" s="118"/>
      <c r="AJ738" s="118"/>
      <c r="AK738" s="118"/>
      <c r="AL738" s="118"/>
      <c r="AM738" s="118"/>
      <c r="AN738" s="118"/>
      <c r="AO738" s="97"/>
      <c r="AP738" s="97"/>
      <c r="AQ738" s="97"/>
      <c r="AR738" s="97"/>
      <c r="AS738" s="97"/>
      <c r="AT738" s="97"/>
      <c r="AU738" s="97"/>
      <c r="AV738" s="97"/>
      <c r="AW738" s="97"/>
      <c r="AX738" s="97"/>
    </row>
    <row r="739" ht="15.75" customHeight="1">
      <c r="A739" s="170" t="s">
        <v>238</v>
      </c>
      <c r="B739" s="171" t="s">
        <v>5116</v>
      </c>
      <c r="C739" s="76" t="s">
        <v>6016</v>
      </c>
      <c r="D739" s="76" t="s">
        <v>6017</v>
      </c>
      <c r="E739" s="117" t="s">
        <v>6018</v>
      </c>
      <c r="F739" s="76"/>
      <c r="G739" s="76"/>
      <c r="H739" s="76"/>
      <c r="I739" s="209"/>
      <c r="J739" s="209"/>
      <c r="K739" s="210" t="s">
        <v>2476</v>
      </c>
      <c r="L739" s="210"/>
      <c r="M739" s="209"/>
      <c r="N739" s="209"/>
      <c r="O739" s="209" t="s">
        <v>6019</v>
      </c>
      <c r="P739" s="209"/>
      <c r="Q739" s="209" t="s">
        <v>184</v>
      </c>
      <c r="R739" s="209"/>
      <c r="S739" s="209"/>
      <c r="T739" s="209"/>
      <c r="U739" s="209"/>
      <c r="V739" s="209"/>
      <c r="W739" s="209"/>
      <c r="X739" s="209"/>
      <c r="Y739" s="209"/>
      <c r="Z739" s="209"/>
      <c r="AA739" s="209"/>
      <c r="AB739" s="209"/>
      <c r="AC739" s="209"/>
      <c r="AD739" s="209"/>
      <c r="AE739" s="209"/>
      <c r="AF739" s="209"/>
      <c r="AG739" s="209"/>
      <c r="AH739" s="209"/>
      <c r="AI739" s="209"/>
      <c r="AJ739" s="209"/>
      <c r="AK739" s="209"/>
      <c r="AL739" s="209"/>
      <c r="AM739" s="209"/>
      <c r="AN739" s="209"/>
      <c r="AO739" s="97"/>
      <c r="AP739" s="97"/>
      <c r="AQ739" s="97"/>
      <c r="AR739" s="97"/>
      <c r="AS739" s="97"/>
      <c r="AT739" s="97"/>
      <c r="AU739" s="97"/>
      <c r="AV739" s="97"/>
      <c r="AW739" s="97"/>
      <c r="AX739" s="97"/>
    </row>
    <row r="740" ht="15.75" customHeight="1">
      <c r="A740" s="114" t="s">
        <v>680</v>
      </c>
      <c r="B740" s="165" t="s">
        <v>5119</v>
      </c>
      <c r="C740" s="76" t="s">
        <v>6020</v>
      </c>
      <c r="D740" s="76" t="s">
        <v>6021</v>
      </c>
      <c r="E740" s="117" t="s">
        <v>6022</v>
      </c>
      <c r="F740" s="76"/>
      <c r="G740" s="76"/>
      <c r="H740" s="76"/>
      <c r="I740" s="118"/>
      <c r="J740" s="120"/>
      <c r="K740" s="118"/>
      <c r="L740" s="118"/>
      <c r="M740" s="118"/>
      <c r="N740" s="118"/>
      <c r="O740" s="118"/>
      <c r="P740" s="118"/>
      <c r="Q740" s="118" t="s">
        <v>184</v>
      </c>
      <c r="R740" s="118"/>
      <c r="S740" s="118"/>
      <c r="T740" s="118"/>
      <c r="U740" s="118"/>
      <c r="V740" s="118"/>
      <c r="W740" s="118"/>
      <c r="X740" s="118"/>
      <c r="Y740" s="118"/>
      <c r="Z740" s="118"/>
      <c r="AA740" s="118"/>
      <c r="AB740" s="118"/>
      <c r="AC740" s="118"/>
      <c r="AD740" s="118"/>
      <c r="AE740" s="118"/>
      <c r="AF740" s="118"/>
      <c r="AG740" s="118"/>
      <c r="AH740" s="118"/>
      <c r="AI740" s="118"/>
      <c r="AJ740" s="118"/>
      <c r="AK740" s="118"/>
      <c r="AL740" s="118"/>
      <c r="AM740" s="118"/>
      <c r="AN740" s="118"/>
      <c r="AO740" s="97"/>
      <c r="AP740" s="97"/>
      <c r="AQ740" s="97"/>
      <c r="AR740" s="97"/>
      <c r="AS740" s="97"/>
      <c r="AT740" s="97"/>
      <c r="AU740" s="97"/>
      <c r="AV740" s="97"/>
      <c r="AW740" s="97"/>
      <c r="AX740" s="97"/>
    </row>
    <row r="741" ht="15.75" customHeight="1">
      <c r="A741" s="170" t="s">
        <v>238</v>
      </c>
      <c r="B741" s="171" t="s">
        <v>5124</v>
      </c>
      <c r="C741" s="76" t="s">
        <v>6023</v>
      </c>
      <c r="D741" s="76" t="s">
        <v>6024</v>
      </c>
      <c r="E741" s="117" t="s">
        <v>6025</v>
      </c>
      <c r="F741" s="76"/>
      <c r="G741" s="76"/>
      <c r="H741" s="76"/>
      <c r="I741" s="209"/>
      <c r="J741" s="209"/>
      <c r="K741" s="210" t="s">
        <v>2476</v>
      </c>
      <c r="L741" s="210"/>
      <c r="M741" s="209"/>
      <c r="N741" s="209"/>
      <c r="O741" s="209" t="s">
        <v>6026</v>
      </c>
      <c r="P741" s="209"/>
      <c r="Q741" s="209" t="s">
        <v>184</v>
      </c>
      <c r="R741" s="209"/>
      <c r="S741" s="209"/>
      <c r="T741" s="209"/>
      <c r="U741" s="209"/>
      <c r="V741" s="209"/>
      <c r="W741" s="209"/>
      <c r="X741" s="209"/>
      <c r="Y741" s="209"/>
      <c r="Z741" s="209"/>
      <c r="AA741" s="209"/>
      <c r="AB741" s="209"/>
      <c r="AC741" s="209"/>
      <c r="AD741" s="209"/>
      <c r="AE741" s="209"/>
      <c r="AF741" s="209"/>
      <c r="AG741" s="209"/>
      <c r="AH741" s="209"/>
      <c r="AI741" s="209"/>
      <c r="AJ741" s="209"/>
      <c r="AK741" s="209"/>
      <c r="AL741" s="209"/>
      <c r="AM741" s="209"/>
      <c r="AN741" s="209"/>
      <c r="AO741" s="97"/>
      <c r="AP741" s="97"/>
      <c r="AQ741" s="97"/>
      <c r="AR741" s="97"/>
      <c r="AS741" s="97"/>
      <c r="AT741" s="97"/>
      <c r="AU741" s="97"/>
      <c r="AV741" s="97"/>
      <c r="AW741" s="97"/>
      <c r="AX741" s="97"/>
    </row>
    <row r="742" ht="15.75" customHeight="1">
      <c r="A742" s="170" t="s">
        <v>238</v>
      </c>
      <c r="B742" s="171" t="s">
        <v>5131</v>
      </c>
      <c r="C742" s="76" t="s">
        <v>6027</v>
      </c>
      <c r="D742" s="76" t="s">
        <v>6028</v>
      </c>
      <c r="E742" s="117" t="s">
        <v>6029</v>
      </c>
      <c r="F742" s="76"/>
      <c r="G742" s="76"/>
      <c r="H742" s="76"/>
      <c r="I742" s="209"/>
      <c r="J742" s="209"/>
      <c r="K742" s="210" t="s">
        <v>2476</v>
      </c>
      <c r="L742" s="210"/>
      <c r="M742" s="209"/>
      <c r="N742" s="209"/>
      <c r="O742" s="209"/>
      <c r="P742" s="209"/>
      <c r="Q742" s="209" t="s">
        <v>184</v>
      </c>
      <c r="R742" s="209"/>
      <c r="S742" s="209"/>
      <c r="T742" s="209"/>
      <c r="U742" s="209"/>
      <c r="V742" s="209"/>
      <c r="W742" s="209"/>
      <c r="X742" s="209"/>
      <c r="Y742" s="209"/>
      <c r="Z742" s="209"/>
      <c r="AA742" s="209"/>
      <c r="AB742" s="209"/>
      <c r="AC742" s="209"/>
      <c r="AD742" s="209"/>
      <c r="AE742" s="209"/>
      <c r="AF742" s="209"/>
      <c r="AG742" s="209"/>
      <c r="AH742" s="209"/>
      <c r="AI742" s="209"/>
      <c r="AJ742" s="209"/>
      <c r="AK742" s="209"/>
      <c r="AL742" s="209"/>
      <c r="AM742" s="209"/>
      <c r="AN742" s="209"/>
      <c r="AO742" s="97"/>
      <c r="AP742" s="97"/>
      <c r="AQ742" s="97"/>
      <c r="AR742" s="97"/>
      <c r="AS742" s="97"/>
      <c r="AT742" s="97"/>
      <c r="AU742" s="97"/>
      <c r="AV742" s="97"/>
      <c r="AW742" s="97"/>
      <c r="AX742" s="97"/>
    </row>
    <row r="743" ht="15.75" customHeight="1">
      <c r="A743" s="131" t="s">
        <v>150</v>
      </c>
      <c r="B743" s="164" t="s">
        <v>5137</v>
      </c>
      <c r="C743" s="133"/>
      <c r="D743" s="133"/>
      <c r="E743" s="133"/>
      <c r="F743" s="134"/>
      <c r="G743" s="134"/>
      <c r="H743" s="134"/>
      <c r="I743" s="134"/>
      <c r="J743" s="134"/>
      <c r="K743" s="134"/>
      <c r="L743" s="134"/>
      <c r="M743" s="134"/>
      <c r="N743" s="134"/>
      <c r="O743" s="134"/>
      <c r="P743" s="134"/>
      <c r="Q743" s="134"/>
      <c r="R743" s="134"/>
      <c r="S743" s="134"/>
      <c r="T743" s="291" t="s">
        <v>156</v>
      </c>
      <c r="U743" s="134"/>
      <c r="V743" s="134"/>
      <c r="W743" s="134"/>
      <c r="X743" s="134"/>
      <c r="Y743" s="134"/>
      <c r="Z743" s="134"/>
      <c r="AA743" s="134"/>
      <c r="AB743" s="134"/>
      <c r="AC743" s="134"/>
      <c r="AD743" s="97"/>
      <c r="AE743" s="97"/>
      <c r="AF743" s="97"/>
      <c r="AG743" s="97"/>
      <c r="AH743" s="97"/>
      <c r="AI743" s="97"/>
      <c r="AJ743" s="97"/>
      <c r="AK743" s="97"/>
      <c r="AL743" s="97"/>
      <c r="AM743" s="97"/>
      <c r="AN743" s="97"/>
      <c r="AO743" s="97"/>
      <c r="AP743" s="97"/>
      <c r="AQ743" s="97"/>
      <c r="AR743" s="97"/>
      <c r="AS743" s="97"/>
      <c r="AT743" s="97"/>
      <c r="AU743" s="97"/>
      <c r="AV743" s="97"/>
      <c r="AW743" s="97"/>
      <c r="AX743" s="97"/>
    </row>
    <row r="744" ht="15.75" customHeight="1">
      <c r="A744" s="80" t="s">
        <v>115</v>
      </c>
      <c r="B744" s="81" t="s">
        <v>5138</v>
      </c>
      <c r="C744" s="82"/>
      <c r="D744" s="83"/>
      <c r="E744" s="83"/>
      <c r="F744" s="84"/>
      <c r="G744" s="84"/>
      <c r="H744" s="84"/>
      <c r="I744" s="86"/>
      <c r="J744" s="86"/>
      <c r="K744" s="84"/>
      <c r="L744" s="86"/>
      <c r="M744" s="86"/>
      <c r="N744" s="86"/>
      <c r="O744" s="86"/>
      <c r="P744" s="84"/>
      <c r="Q744" s="84"/>
      <c r="R744" s="84"/>
      <c r="S744" s="84"/>
      <c r="T744" s="80" t="s">
        <v>6030</v>
      </c>
      <c r="U744" s="84"/>
      <c r="V744" s="84"/>
      <c r="W744" s="84"/>
      <c r="X744" s="84"/>
      <c r="Y744" s="84"/>
      <c r="Z744" s="84"/>
      <c r="AA744" s="84"/>
      <c r="AB744" s="84"/>
      <c r="AC744" s="84"/>
      <c r="AD744" s="97"/>
      <c r="AE744" s="97"/>
      <c r="AF744" s="97"/>
      <c r="AG744" s="97"/>
      <c r="AH744" s="97"/>
      <c r="AI744" s="97"/>
      <c r="AJ744" s="97"/>
      <c r="AK744" s="97"/>
      <c r="AL744" s="97"/>
      <c r="AM744" s="97"/>
      <c r="AN744" s="97"/>
      <c r="AO744" s="97"/>
      <c r="AP744" s="97"/>
      <c r="AQ744" s="97"/>
      <c r="AR744" s="97"/>
      <c r="AS744" s="97"/>
      <c r="AT744" s="97"/>
      <c r="AU744" s="97"/>
      <c r="AV744" s="97"/>
      <c r="AW744" s="97"/>
      <c r="AX744" s="97"/>
    </row>
    <row r="745" ht="15.75" customHeight="1">
      <c r="A745" s="203"/>
      <c r="B745" s="204"/>
      <c r="C745" s="204" t="s">
        <v>50</v>
      </c>
      <c r="D745" s="204" t="s">
        <v>50</v>
      </c>
      <c r="E745" s="204" t="s">
        <v>50</v>
      </c>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7"/>
      <c r="AR745" s="97"/>
      <c r="AS745" s="97"/>
      <c r="AT745" s="97"/>
      <c r="AU745" s="97"/>
      <c r="AV745" s="97"/>
      <c r="AW745" s="97"/>
      <c r="AX745" s="97"/>
    </row>
    <row r="746" ht="15.75" customHeight="1">
      <c r="A746" s="150" t="s">
        <v>161</v>
      </c>
      <c r="B746" s="82" t="s">
        <v>5139</v>
      </c>
      <c r="C746" s="82"/>
      <c r="D746" s="83"/>
      <c r="E746" s="83"/>
      <c r="F746" s="84"/>
      <c r="G746" s="84"/>
      <c r="H746" s="84"/>
      <c r="I746" s="84"/>
      <c r="J746" s="86"/>
      <c r="K746" s="84"/>
      <c r="L746" s="84"/>
      <c r="M746" s="86"/>
      <c r="N746" s="86"/>
      <c r="O746" s="86"/>
      <c r="P746" s="84"/>
      <c r="Q746" s="84"/>
      <c r="R746" s="84"/>
      <c r="S746" s="84"/>
      <c r="T746" s="84"/>
      <c r="U746" s="84"/>
      <c r="V746" s="84"/>
      <c r="W746" s="84"/>
      <c r="X746" s="84"/>
      <c r="Y746" s="84"/>
      <c r="Z746" s="84"/>
      <c r="AA746" s="84"/>
      <c r="AB746" s="84"/>
      <c r="AC746" s="84"/>
      <c r="AD746" s="97"/>
      <c r="AE746" s="97"/>
      <c r="AF746" s="97"/>
      <c r="AG746" s="97"/>
      <c r="AH746" s="97"/>
      <c r="AI746" s="97"/>
      <c r="AJ746" s="97"/>
      <c r="AK746" s="97"/>
      <c r="AL746" s="97"/>
      <c r="AM746" s="97"/>
      <c r="AN746" s="97"/>
      <c r="AO746" s="97"/>
      <c r="AP746" s="97"/>
      <c r="AQ746" s="97"/>
      <c r="AR746" s="97"/>
      <c r="AS746" s="97"/>
      <c r="AT746" s="97"/>
      <c r="AU746" s="97"/>
      <c r="AV746" s="97"/>
      <c r="AW746" s="97"/>
      <c r="AX746" s="97"/>
    </row>
    <row r="747" ht="15.75" customHeight="1">
      <c r="A747" s="131" t="s">
        <v>150</v>
      </c>
      <c r="B747" s="164" t="s">
        <v>5142</v>
      </c>
      <c r="C747" s="133"/>
      <c r="D747" s="133"/>
      <c r="E747" s="133"/>
      <c r="F747" s="134"/>
      <c r="G747" s="134"/>
      <c r="H747" s="134"/>
      <c r="I747" s="134"/>
      <c r="J747" s="134"/>
      <c r="K747" s="134"/>
      <c r="L747" s="134"/>
      <c r="M747" s="134"/>
      <c r="N747" s="134"/>
      <c r="O747" s="134"/>
      <c r="P747" s="134"/>
      <c r="Q747" s="134"/>
      <c r="R747" s="134"/>
      <c r="S747" s="134"/>
      <c r="T747" s="291" t="s">
        <v>156</v>
      </c>
      <c r="U747" s="134"/>
      <c r="V747" s="134"/>
      <c r="W747" s="134"/>
      <c r="X747" s="134"/>
      <c r="Y747" s="134"/>
      <c r="Z747" s="134"/>
      <c r="AA747" s="134"/>
      <c r="AB747" s="134"/>
      <c r="AC747" s="134"/>
      <c r="AD747" s="97"/>
      <c r="AE747" s="97"/>
      <c r="AF747" s="97"/>
      <c r="AG747" s="97"/>
      <c r="AH747" s="97"/>
      <c r="AI747" s="97"/>
      <c r="AJ747" s="97"/>
      <c r="AK747" s="97"/>
      <c r="AL747" s="97"/>
      <c r="AM747" s="97"/>
      <c r="AN747" s="97"/>
      <c r="AO747" s="97"/>
      <c r="AP747" s="97"/>
      <c r="AQ747" s="97"/>
      <c r="AR747" s="97"/>
      <c r="AS747" s="97"/>
      <c r="AT747" s="97"/>
      <c r="AU747" s="97"/>
      <c r="AV747" s="97"/>
      <c r="AW747" s="97"/>
      <c r="AX747" s="97"/>
    </row>
    <row r="748" ht="15.75" customHeight="1">
      <c r="A748" s="114" t="s">
        <v>1477</v>
      </c>
      <c r="B748" s="165" t="s">
        <v>5144</v>
      </c>
      <c r="C748" s="76" t="s">
        <v>6031</v>
      </c>
      <c r="D748" s="76" t="s">
        <v>6032</v>
      </c>
      <c r="E748" s="117" t="s">
        <v>6033</v>
      </c>
      <c r="F748" s="76"/>
      <c r="G748" s="76"/>
      <c r="H748" s="76"/>
      <c r="I748" s="118"/>
      <c r="J748" s="120"/>
      <c r="K748" s="118" t="s">
        <v>2585</v>
      </c>
      <c r="L748" s="118"/>
      <c r="M748" s="118"/>
      <c r="N748" s="118"/>
      <c r="O748" s="118"/>
      <c r="P748" s="118"/>
      <c r="Q748" s="118" t="s">
        <v>184</v>
      </c>
      <c r="R748" s="118"/>
      <c r="S748" s="118"/>
      <c r="T748" s="118"/>
      <c r="U748" s="118"/>
      <c r="V748" s="118"/>
      <c r="W748" s="118"/>
      <c r="X748" s="118"/>
      <c r="Y748" s="118"/>
      <c r="Z748" s="118"/>
      <c r="AA748" s="118"/>
      <c r="AB748" s="118"/>
      <c r="AC748" s="118"/>
      <c r="AD748" s="118"/>
      <c r="AE748" s="118"/>
      <c r="AF748" s="118"/>
      <c r="AG748" s="118"/>
      <c r="AH748" s="118"/>
      <c r="AI748" s="118"/>
      <c r="AJ748" s="118"/>
      <c r="AK748" s="118"/>
      <c r="AL748" s="118"/>
      <c r="AM748" s="118"/>
      <c r="AN748" s="118"/>
      <c r="AO748" s="97"/>
      <c r="AP748" s="97"/>
      <c r="AQ748" s="97"/>
      <c r="AR748" s="97"/>
      <c r="AS748" s="97"/>
      <c r="AT748" s="97"/>
      <c r="AU748" s="97"/>
      <c r="AV748" s="97"/>
      <c r="AW748" s="97"/>
      <c r="AX748" s="97"/>
    </row>
    <row r="749" ht="15.75" customHeight="1">
      <c r="A749" s="167" t="s">
        <v>807</v>
      </c>
      <c r="B749" s="168" t="s">
        <v>5148</v>
      </c>
      <c r="C749" s="168" t="s">
        <v>1497</v>
      </c>
      <c r="D749" s="169" t="s">
        <v>1499</v>
      </c>
      <c r="E749" s="169" t="s">
        <v>1500</v>
      </c>
      <c r="F749" s="205"/>
      <c r="G749" s="205"/>
      <c r="H749" s="205"/>
      <c r="I749" s="205"/>
      <c r="J749" s="205"/>
      <c r="K749" s="205"/>
      <c r="L749" s="205"/>
      <c r="M749" s="207"/>
      <c r="N749" s="207"/>
      <c r="O749" s="207" t="s">
        <v>6034</v>
      </c>
      <c r="P749" s="205"/>
      <c r="Q749" s="205"/>
      <c r="R749" s="205"/>
      <c r="S749" s="205"/>
      <c r="T749" s="205"/>
      <c r="U749" s="207" t="s">
        <v>6035</v>
      </c>
      <c r="V749" s="205"/>
      <c r="W749" s="205"/>
      <c r="X749" s="205"/>
      <c r="Y749" s="205"/>
      <c r="Z749" s="205"/>
      <c r="AA749" s="205"/>
      <c r="AB749" s="205"/>
      <c r="AC749" s="205"/>
      <c r="AD749" s="205"/>
      <c r="AE749" s="205"/>
      <c r="AF749" s="205"/>
      <c r="AG749" s="205"/>
      <c r="AH749" s="205"/>
      <c r="AI749" s="205"/>
      <c r="AJ749" s="205"/>
      <c r="AK749" s="205"/>
      <c r="AL749" s="205"/>
      <c r="AM749" s="205"/>
      <c r="AN749" s="205"/>
      <c r="AO749" s="97"/>
      <c r="AP749" s="97"/>
      <c r="AQ749" s="97"/>
      <c r="AR749" s="97"/>
      <c r="AS749" s="97"/>
      <c r="AT749" s="97"/>
      <c r="AU749" s="97"/>
      <c r="AV749" s="97"/>
      <c r="AW749" s="97"/>
      <c r="AX749" s="97"/>
    </row>
    <row r="750" ht="15.75" customHeight="1">
      <c r="A750" s="131" t="s">
        <v>115</v>
      </c>
      <c r="B750" s="132" t="s">
        <v>5152</v>
      </c>
      <c r="C750" s="133" t="s">
        <v>1508</v>
      </c>
      <c r="D750" s="133" t="s">
        <v>1510</v>
      </c>
      <c r="E750" s="133" t="s">
        <v>1511</v>
      </c>
      <c r="F750" s="134"/>
      <c r="G750" s="134"/>
      <c r="H750" s="134"/>
      <c r="I750" s="134"/>
      <c r="J750" s="134"/>
      <c r="K750" s="134"/>
      <c r="L750" s="134"/>
      <c r="M750" s="134"/>
      <c r="N750" s="134"/>
      <c r="O750" s="134"/>
      <c r="P750" s="134"/>
      <c r="Q750" s="134"/>
      <c r="R750" s="134"/>
      <c r="S750" s="134"/>
      <c r="T750" s="149" t="s">
        <v>6036</v>
      </c>
      <c r="U750" s="134"/>
      <c r="V750" s="134"/>
      <c r="W750" s="134"/>
      <c r="X750" s="134"/>
      <c r="Y750" s="134"/>
      <c r="Z750" s="134"/>
      <c r="AA750" s="134"/>
      <c r="AB750" s="134"/>
      <c r="AC750" s="134"/>
      <c r="AD750" s="134"/>
      <c r="AE750" s="134"/>
      <c r="AF750" s="134"/>
      <c r="AG750" s="134"/>
      <c r="AH750" s="134"/>
      <c r="AI750" s="134"/>
      <c r="AJ750" s="134"/>
      <c r="AK750" s="134"/>
      <c r="AL750" s="134"/>
      <c r="AM750" s="134"/>
      <c r="AN750" s="134"/>
      <c r="AO750" s="97"/>
      <c r="AP750" s="97"/>
      <c r="AQ750" s="97"/>
      <c r="AR750" s="97"/>
      <c r="AS750" s="97"/>
      <c r="AT750" s="97"/>
      <c r="AU750" s="97"/>
      <c r="AV750" s="97"/>
      <c r="AW750" s="97"/>
      <c r="AX750" s="97"/>
    </row>
    <row r="751" ht="15.75" customHeight="1">
      <c r="A751" s="170" t="s">
        <v>238</v>
      </c>
      <c r="B751" s="171" t="s">
        <v>5153</v>
      </c>
      <c r="C751" s="76" t="s">
        <v>6037</v>
      </c>
      <c r="D751" s="76" t="s">
        <v>6038</v>
      </c>
      <c r="E751" s="117" t="s">
        <v>6039</v>
      </c>
      <c r="F751" s="76"/>
      <c r="G751" s="76"/>
      <c r="H751" s="76"/>
      <c r="I751" s="209"/>
      <c r="J751" s="209"/>
      <c r="K751" s="210" t="s">
        <v>2607</v>
      </c>
      <c r="L751" s="210"/>
      <c r="M751" s="209"/>
      <c r="N751" s="209"/>
      <c r="O751" s="209"/>
      <c r="P751" s="209"/>
      <c r="Q751" s="209" t="s">
        <v>184</v>
      </c>
      <c r="R751" s="209"/>
      <c r="S751" s="209"/>
      <c r="T751" s="209"/>
      <c r="U751" s="209"/>
      <c r="V751" s="209"/>
      <c r="W751" s="209"/>
      <c r="X751" s="209"/>
      <c r="Y751" s="209"/>
      <c r="Z751" s="209"/>
      <c r="AA751" s="209"/>
      <c r="AB751" s="209"/>
      <c r="AC751" s="209"/>
      <c r="AD751" s="209"/>
      <c r="AE751" s="209"/>
      <c r="AF751" s="209"/>
      <c r="AG751" s="209"/>
      <c r="AH751" s="209"/>
      <c r="AI751" s="209"/>
      <c r="AJ751" s="209"/>
      <c r="AK751" s="209"/>
      <c r="AL751" s="209"/>
      <c r="AM751" s="209"/>
      <c r="AN751" s="209"/>
      <c r="AO751" s="97"/>
      <c r="AP751" s="97"/>
      <c r="AQ751" s="97"/>
      <c r="AR751" s="97"/>
      <c r="AS751" s="97"/>
      <c r="AT751" s="97"/>
      <c r="AU751" s="97"/>
      <c r="AV751" s="97"/>
      <c r="AW751" s="97"/>
      <c r="AX751" s="97"/>
    </row>
    <row r="752" ht="15.75" customHeight="1">
      <c r="A752" s="167" t="s">
        <v>842</v>
      </c>
      <c r="B752" s="169" t="s">
        <v>5148</v>
      </c>
      <c r="C752" s="169" t="s">
        <v>1497</v>
      </c>
      <c r="D752" s="169" t="s">
        <v>1499</v>
      </c>
      <c r="E752" s="169" t="s">
        <v>1500</v>
      </c>
      <c r="F752" s="205"/>
      <c r="G752" s="205"/>
      <c r="H752" s="205"/>
      <c r="I752" s="205"/>
      <c r="J752" s="205"/>
      <c r="K752" s="205"/>
      <c r="L752" s="205"/>
      <c r="M752" s="205"/>
      <c r="N752" s="205"/>
      <c r="O752" s="205"/>
      <c r="P752" s="205"/>
      <c r="Q752" s="205"/>
      <c r="R752" s="205"/>
      <c r="S752" s="205"/>
      <c r="T752" s="205"/>
      <c r="U752" s="205"/>
      <c r="V752" s="205"/>
      <c r="W752" s="205"/>
      <c r="X752" s="205"/>
      <c r="Y752" s="205"/>
      <c r="Z752" s="205"/>
      <c r="AA752" s="205"/>
      <c r="AB752" s="205"/>
      <c r="AC752" s="205"/>
      <c r="AD752" s="205"/>
      <c r="AE752" s="205"/>
      <c r="AF752" s="205"/>
      <c r="AG752" s="205"/>
      <c r="AH752" s="205"/>
      <c r="AI752" s="205"/>
      <c r="AJ752" s="205"/>
      <c r="AK752" s="205"/>
      <c r="AL752" s="205"/>
      <c r="AM752" s="205"/>
      <c r="AN752" s="205"/>
      <c r="AO752" s="97"/>
      <c r="AP752" s="97"/>
      <c r="AQ752" s="97"/>
      <c r="AR752" s="97"/>
      <c r="AS752" s="97"/>
      <c r="AT752" s="97"/>
      <c r="AU752" s="97"/>
      <c r="AV752" s="97"/>
      <c r="AW752" s="97"/>
      <c r="AX752" s="97"/>
    </row>
    <row r="753" ht="15.75" customHeight="1">
      <c r="A753" s="114" t="s">
        <v>1552</v>
      </c>
      <c r="B753" s="165" t="s">
        <v>5158</v>
      </c>
      <c r="C753" s="76" t="s">
        <v>6040</v>
      </c>
      <c r="D753" s="76" t="s">
        <v>6041</v>
      </c>
      <c r="E753" s="117" t="s">
        <v>6042</v>
      </c>
      <c r="F753" s="76"/>
      <c r="G753" s="76"/>
      <c r="H753" s="76"/>
      <c r="I753" s="118"/>
      <c r="J753" s="120"/>
      <c r="K753" s="118" t="s">
        <v>2585</v>
      </c>
      <c r="L753" s="118"/>
      <c r="M753" s="118"/>
      <c r="N753" s="118"/>
      <c r="O753" s="118"/>
      <c r="P753" s="118"/>
      <c r="Q753" s="118" t="s">
        <v>184</v>
      </c>
      <c r="R753" s="118"/>
      <c r="S753" s="118"/>
      <c r="T753" s="118"/>
      <c r="U753" s="118"/>
      <c r="V753" s="118"/>
      <c r="W753" s="118"/>
      <c r="X753" s="118"/>
      <c r="Y753" s="118"/>
      <c r="Z753" s="118"/>
      <c r="AA753" s="118"/>
      <c r="AB753" s="118"/>
      <c r="AC753" s="118"/>
      <c r="AD753" s="118"/>
      <c r="AE753" s="118"/>
      <c r="AF753" s="118"/>
      <c r="AG753" s="118"/>
      <c r="AH753" s="118"/>
      <c r="AI753" s="118"/>
      <c r="AJ753" s="118"/>
      <c r="AK753" s="118"/>
      <c r="AL753" s="118"/>
      <c r="AM753" s="118"/>
      <c r="AN753" s="118"/>
      <c r="AO753" s="97"/>
      <c r="AP753" s="97"/>
      <c r="AQ753" s="97"/>
      <c r="AR753" s="97"/>
      <c r="AS753" s="97"/>
      <c r="AT753" s="97"/>
      <c r="AU753" s="97"/>
      <c r="AV753" s="97"/>
      <c r="AW753" s="97"/>
      <c r="AX753" s="97"/>
    </row>
    <row r="754" ht="15.75" customHeight="1">
      <c r="A754" s="167" t="s">
        <v>807</v>
      </c>
      <c r="B754" s="168" t="s">
        <v>5161</v>
      </c>
      <c r="C754" s="168" t="s">
        <v>1568</v>
      </c>
      <c r="D754" s="169" t="s">
        <v>1569</v>
      </c>
      <c r="E754" s="169" t="s">
        <v>1571</v>
      </c>
      <c r="F754" s="205"/>
      <c r="G754" s="205"/>
      <c r="H754" s="205"/>
      <c r="I754" s="205"/>
      <c r="J754" s="205"/>
      <c r="K754" s="205"/>
      <c r="L754" s="205"/>
      <c r="M754" s="207"/>
      <c r="N754" s="207"/>
      <c r="O754" s="207" t="s">
        <v>6043</v>
      </c>
      <c r="P754" s="205"/>
      <c r="Q754" s="205"/>
      <c r="R754" s="205"/>
      <c r="S754" s="205"/>
      <c r="T754" s="205"/>
      <c r="U754" s="207" t="s">
        <v>6044</v>
      </c>
      <c r="V754" s="205"/>
      <c r="W754" s="205"/>
      <c r="X754" s="205"/>
      <c r="Y754" s="205"/>
      <c r="Z754" s="205"/>
      <c r="AA754" s="205"/>
      <c r="AB754" s="205"/>
      <c r="AC754" s="205"/>
      <c r="AD754" s="205"/>
      <c r="AE754" s="205"/>
      <c r="AF754" s="205"/>
      <c r="AG754" s="205"/>
      <c r="AH754" s="205"/>
      <c r="AI754" s="205"/>
      <c r="AJ754" s="205"/>
      <c r="AK754" s="205"/>
      <c r="AL754" s="205"/>
      <c r="AM754" s="205"/>
      <c r="AN754" s="205"/>
      <c r="AO754" s="97"/>
      <c r="AP754" s="97"/>
      <c r="AQ754" s="97"/>
      <c r="AR754" s="97"/>
      <c r="AS754" s="97"/>
      <c r="AT754" s="97"/>
      <c r="AU754" s="97"/>
      <c r="AV754" s="97"/>
      <c r="AW754" s="97"/>
      <c r="AX754" s="97"/>
    </row>
    <row r="755" ht="15.75" customHeight="1">
      <c r="A755" s="131" t="s">
        <v>115</v>
      </c>
      <c r="B755" s="132" t="s">
        <v>5162</v>
      </c>
      <c r="C755" s="133" t="s">
        <v>1579</v>
      </c>
      <c r="D755" s="133" t="s">
        <v>1580</v>
      </c>
      <c r="E755" s="133" t="s">
        <v>1581</v>
      </c>
      <c r="F755" s="134"/>
      <c r="G755" s="134"/>
      <c r="H755" s="134"/>
      <c r="I755" s="134"/>
      <c r="J755" s="134"/>
      <c r="K755" s="134"/>
      <c r="L755" s="134"/>
      <c r="M755" s="134"/>
      <c r="N755" s="134"/>
      <c r="O755" s="134"/>
      <c r="P755" s="134"/>
      <c r="Q755" s="134"/>
      <c r="R755" s="134"/>
      <c r="S755" s="134"/>
      <c r="T755" s="149" t="s">
        <v>6045</v>
      </c>
      <c r="U755" s="134"/>
      <c r="V755" s="134"/>
      <c r="W755" s="134"/>
      <c r="X755" s="134"/>
      <c r="Y755" s="134"/>
      <c r="Z755" s="134"/>
      <c r="AA755" s="134"/>
      <c r="AB755" s="134"/>
      <c r="AC755" s="134"/>
      <c r="AD755" s="134"/>
      <c r="AE755" s="134"/>
      <c r="AF755" s="134"/>
      <c r="AG755" s="134"/>
      <c r="AH755" s="134"/>
      <c r="AI755" s="134"/>
      <c r="AJ755" s="134"/>
      <c r="AK755" s="134"/>
      <c r="AL755" s="134"/>
      <c r="AM755" s="134"/>
      <c r="AN755" s="134"/>
      <c r="AO755" s="97"/>
      <c r="AP755" s="97"/>
      <c r="AQ755" s="97"/>
      <c r="AR755" s="97"/>
      <c r="AS755" s="97"/>
      <c r="AT755" s="97"/>
      <c r="AU755" s="97"/>
      <c r="AV755" s="97"/>
      <c r="AW755" s="97"/>
      <c r="AX755" s="97"/>
    </row>
    <row r="756" ht="15.75" customHeight="1">
      <c r="A756" s="170" t="s">
        <v>238</v>
      </c>
      <c r="B756" s="171" t="s">
        <v>5163</v>
      </c>
      <c r="C756" s="76" t="s">
        <v>6046</v>
      </c>
      <c r="D756" s="76" t="s">
        <v>6047</v>
      </c>
      <c r="E756" s="117" t="s">
        <v>6048</v>
      </c>
      <c r="F756" s="76"/>
      <c r="G756" s="76"/>
      <c r="H756" s="76"/>
      <c r="I756" s="209"/>
      <c r="J756" s="209"/>
      <c r="K756" s="210" t="s">
        <v>2607</v>
      </c>
      <c r="L756" s="210"/>
      <c r="M756" s="209"/>
      <c r="N756" s="209"/>
      <c r="O756" s="209"/>
      <c r="P756" s="209"/>
      <c r="Q756" s="209" t="s">
        <v>184</v>
      </c>
      <c r="R756" s="209"/>
      <c r="S756" s="209"/>
      <c r="T756" s="209"/>
      <c r="U756" s="209"/>
      <c r="V756" s="209"/>
      <c r="W756" s="209"/>
      <c r="X756" s="209"/>
      <c r="Y756" s="209"/>
      <c r="Z756" s="209"/>
      <c r="AA756" s="209"/>
      <c r="AB756" s="209"/>
      <c r="AC756" s="209"/>
      <c r="AD756" s="209"/>
      <c r="AE756" s="209"/>
      <c r="AF756" s="209"/>
      <c r="AG756" s="209"/>
      <c r="AH756" s="209"/>
      <c r="AI756" s="209"/>
      <c r="AJ756" s="209"/>
      <c r="AK756" s="209"/>
      <c r="AL756" s="209"/>
      <c r="AM756" s="209"/>
      <c r="AN756" s="209"/>
      <c r="AO756" s="97"/>
      <c r="AP756" s="97"/>
      <c r="AQ756" s="97"/>
      <c r="AR756" s="97"/>
      <c r="AS756" s="97"/>
      <c r="AT756" s="97"/>
      <c r="AU756" s="97"/>
      <c r="AV756" s="97"/>
      <c r="AW756" s="97"/>
      <c r="AX756" s="97"/>
    </row>
    <row r="757" ht="15.75" customHeight="1">
      <c r="A757" s="167" t="s">
        <v>842</v>
      </c>
      <c r="B757" s="169" t="s">
        <v>5161</v>
      </c>
      <c r="C757" s="169" t="s">
        <v>1568</v>
      </c>
      <c r="D757" s="169" t="s">
        <v>1569</v>
      </c>
      <c r="E757" s="169" t="s">
        <v>1571</v>
      </c>
      <c r="F757" s="205"/>
      <c r="G757" s="205"/>
      <c r="H757" s="205"/>
      <c r="I757" s="205"/>
      <c r="J757" s="205"/>
      <c r="K757" s="205"/>
      <c r="L757" s="205"/>
      <c r="M757" s="205"/>
      <c r="N757" s="205"/>
      <c r="O757" s="205"/>
      <c r="P757" s="205"/>
      <c r="Q757" s="205"/>
      <c r="R757" s="205"/>
      <c r="S757" s="205"/>
      <c r="T757" s="205"/>
      <c r="U757" s="205"/>
      <c r="V757" s="205"/>
      <c r="W757" s="205"/>
      <c r="X757" s="205"/>
      <c r="Y757" s="205"/>
      <c r="Z757" s="205"/>
      <c r="AA757" s="205"/>
      <c r="AB757" s="205"/>
      <c r="AC757" s="205"/>
      <c r="AD757" s="205"/>
      <c r="AE757" s="205"/>
      <c r="AF757" s="205"/>
      <c r="AG757" s="205"/>
      <c r="AH757" s="205"/>
      <c r="AI757" s="205"/>
      <c r="AJ757" s="205"/>
      <c r="AK757" s="205"/>
      <c r="AL757" s="205"/>
      <c r="AM757" s="205"/>
      <c r="AN757" s="205"/>
      <c r="AO757" s="97"/>
      <c r="AP757" s="97"/>
      <c r="AQ757" s="97"/>
      <c r="AR757" s="97"/>
      <c r="AS757" s="97"/>
      <c r="AT757" s="97"/>
      <c r="AU757" s="97"/>
      <c r="AV757" s="97"/>
      <c r="AW757" s="97"/>
      <c r="AX757" s="97"/>
    </row>
    <row r="758" ht="15.75" customHeight="1">
      <c r="A758" s="150" t="s">
        <v>161</v>
      </c>
      <c r="B758" s="81" t="s">
        <v>5164</v>
      </c>
      <c r="C758" s="82"/>
      <c r="D758" s="83"/>
      <c r="E758" s="83"/>
      <c r="F758" s="84"/>
      <c r="G758" s="84"/>
      <c r="H758" s="84"/>
      <c r="I758" s="84"/>
      <c r="J758" s="86" t="s">
        <v>1811</v>
      </c>
      <c r="K758" s="84"/>
      <c r="L758" s="84"/>
      <c r="M758" s="86"/>
      <c r="N758" s="86"/>
      <c r="O758" s="86"/>
      <c r="P758" s="84"/>
      <c r="Q758" s="84"/>
      <c r="R758" s="84"/>
      <c r="S758" s="84"/>
      <c r="T758" s="84"/>
      <c r="U758" s="84"/>
      <c r="V758" s="84"/>
      <c r="W758" s="84"/>
      <c r="X758" s="84"/>
      <c r="Y758" s="84"/>
      <c r="Z758" s="84"/>
      <c r="AA758" s="84"/>
      <c r="AB758" s="84"/>
      <c r="AC758" s="84"/>
      <c r="AD758" s="97"/>
      <c r="AE758" s="97"/>
      <c r="AF758" s="97"/>
      <c r="AG758" s="97"/>
      <c r="AH758" s="97"/>
      <c r="AI758" s="97"/>
      <c r="AJ758" s="97"/>
      <c r="AK758" s="97"/>
      <c r="AL758" s="97"/>
      <c r="AM758" s="97"/>
      <c r="AN758" s="97"/>
      <c r="AO758" s="97"/>
      <c r="AP758" s="97"/>
      <c r="AQ758" s="97"/>
      <c r="AR758" s="97"/>
      <c r="AS758" s="97"/>
      <c r="AT758" s="97"/>
      <c r="AU758" s="97"/>
      <c r="AV758" s="97"/>
      <c r="AW758" s="97"/>
      <c r="AX758" s="97"/>
    </row>
    <row r="759" ht="15.75" customHeight="1">
      <c r="A759" s="114" t="s">
        <v>680</v>
      </c>
      <c r="B759" s="165" t="s">
        <v>5165</v>
      </c>
      <c r="C759" s="76" t="s">
        <v>6049</v>
      </c>
      <c r="D759" s="76" t="s">
        <v>6050</v>
      </c>
      <c r="E759" s="117" t="s">
        <v>6051</v>
      </c>
      <c r="F759" s="76"/>
      <c r="G759" s="76"/>
      <c r="H759" s="76"/>
      <c r="I759" s="118"/>
      <c r="J759" s="120" t="s">
        <v>6</v>
      </c>
      <c r="K759" s="118"/>
      <c r="L759" s="118"/>
      <c r="M759" s="118"/>
      <c r="N759" s="118"/>
      <c r="O759" s="118"/>
      <c r="P759" s="118"/>
      <c r="Q759" s="118"/>
      <c r="R759" s="118"/>
      <c r="S759" s="118"/>
      <c r="T759" s="118"/>
      <c r="U759" s="118"/>
      <c r="V759" s="118"/>
      <c r="W759" s="118"/>
      <c r="X759" s="118"/>
      <c r="Y759" s="118"/>
      <c r="Z759" s="118"/>
      <c r="AA759" s="118"/>
      <c r="AB759" s="118"/>
      <c r="AC759" s="118"/>
      <c r="AD759" s="97"/>
      <c r="AE759" s="97"/>
      <c r="AF759" s="97"/>
      <c r="AG759" s="97"/>
      <c r="AH759" s="97"/>
      <c r="AI759" s="97"/>
      <c r="AJ759" s="97"/>
      <c r="AK759" s="97"/>
      <c r="AL759" s="97"/>
      <c r="AM759" s="97"/>
      <c r="AN759" s="97"/>
      <c r="AO759" s="97"/>
      <c r="AP759" s="97"/>
      <c r="AQ759" s="97"/>
      <c r="AR759" s="97"/>
      <c r="AS759" s="97"/>
      <c r="AT759" s="97"/>
      <c r="AU759" s="97"/>
      <c r="AV759" s="97"/>
      <c r="AW759" s="97"/>
      <c r="AX759" s="97"/>
    </row>
    <row r="760" ht="15.75" customHeight="1">
      <c r="A760" s="114" t="s">
        <v>680</v>
      </c>
      <c r="B760" s="165" t="s">
        <v>5169</v>
      </c>
      <c r="C760" s="76" t="s">
        <v>6052</v>
      </c>
      <c r="D760" s="76" t="s">
        <v>6053</v>
      </c>
      <c r="E760" s="117" t="s">
        <v>6054</v>
      </c>
      <c r="F760" s="76"/>
      <c r="G760" s="76"/>
      <c r="H760" s="76"/>
      <c r="I760" s="118"/>
      <c r="J760" s="120" t="s">
        <v>1837</v>
      </c>
      <c r="K760" s="118"/>
      <c r="L760" s="118"/>
      <c r="M760" s="118"/>
      <c r="N760" s="118"/>
      <c r="O760" s="118"/>
      <c r="P760" s="118"/>
      <c r="Q760" s="118" t="s">
        <v>184</v>
      </c>
      <c r="R760" s="118"/>
      <c r="S760" s="118"/>
      <c r="T760" s="118"/>
      <c r="U760" s="118"/>
      <c r="V760" s="118"/>
      <c r="W760" s="118"/>
      <c r="X760" s="118"/>
      <c r="Y760" s="118"/>
      <c r="Z760" s="118"/>
      <c r="AA760" s="118"/>
      <c r="AB760" s="118"/>
      <c r="AC760" s="118"/>
      <c r="AD760" s="97"/>
      <c r="AE760" s="97"/>
      <c r="AF760" s="97"/>
      <c r="AG760" s="97"/>
      <c r="AH760" s="97"/>
      <c r="AI760" s="97"/>
      <c r="AJ760" s="97"/>
      <c r="AK760" s="97"/>
      <c r="AL760" s="97"/>
      <c r="AM760" s="97"/>
      <c r="AN760" s="97"/>
      <c r="AO760" s="97"/>
      <c r="AP760" s="97"/>
      <c r="AQ760" s="97"/>
      <c r="AR760" s="97"/>
      <c r="AS760" s="97"/>
      <c r="AT760" s="97"/>
      <c r="AU760" s="97"/>
      <c r="AV760" s="97"/>
      <c r="AW760" s="97"/>
      <c r="AX760" s="97"/>
    </row>
    <row r="761" ht="15.75" customHeight="1">
      <c r="A761" s="114" t="s">
        <v>680</v>
      </c>
      <c r="B761" s="165" t="s">
        <v>5174</v>
      </c>
      <c r="C761" s="76" t="s">
        <v>6055</v>
      </c>
      <c r="D761" s="76" t="s">
        <v>6056</v>
      </c>
      <c r="E761" s="117" t="s">
        <v>6057</v>
      </c>
      <c r="F761" s="76"/>
      <c r="G761" s="76"/>
      <c r="H761" s="76"/>
      <c r="I761" s="118"/>
      <c r="J761" s="120" t="s">
        <v>1837</v>
      </c>
      <c r="K761" s="118"/>
      <c r="L761" s="118"/>
      <c r="M761" s="118"/>
      <c r="N761" s="118"/>
      <c r="O761" s="118"/>
      <c r="P761" s="118"/>
      <c r="Q761" s="118" t="s">
        <v>184</v>
      </c>
      <c r="R761" s="118"/>
      <c r="S761" s="118"/>
      <c r="T761" s="118"/>
      <c r="U761" s="118"/>
      <c r="V761" s="118"/>
      <c r="W761" s="118"/>
      <c r="X761" s="118"/>
      <c r="Y761" s="118"/>
      <c r="Z761" s="118"/>
      <c r="AA761" s="118"/>
      <c r="AB761" s="118"/>
      <c r="AC761" s="118"/>
      <c r="AD761" s="97"/>
      <c r="AE761" s="97"/>
      <c r="AF761" s="97"/>
      <c r="AG761" s="97"/>
      <c r="AH761" s="97"/>
      <c r="AI761" s="97"/>
      <c r="AJ761" s="97"/>
      <c r="AK761" s="97"/>
      <c r="AL761" s="97"/>
      <c r="AM761" s="97"/>
      <c r="AN761" s="97"/>
      <c r="AO761" s="97"/>
      <c r="AP761" s="97"/>
      <c r="AQ761" s="97"/>
      <c r="AR761" s="97"/>
      <c r="AS761" s="97"/>
      <c r="AT761" s="97"/>
      <c r="AU761" s="97"/>
      <c r="AV761" s="97"/>
      <c r="AW761" s="97"/>
      <c r="AX761" s="97"/>
    </row>
    <row r="762" ht="15.75" customHeight="1">
      <c r="A762" s="114" t="s">
        <v>680</v>
      </c>
      <c r="B762" s="165" t="s">
        <v>5178</v>
      </c>
      <c r="C762" s="76" t="s">
        <v>6058</v>
      </c>
      <c r="D762" s="76" t="s">
        <v>6059</v>
      </c>
      <c r="E762" s="117" t="s">
        <v>6060</v>
      </c>
      <c r="F762" s="76"/>
      <c r="G762" s="76"/>
      <c r="H762" s="76"/>
      <c r="I762" s="118"/>
      <c r="J762" s="120" t="s">
        <v>1837</v>
      </c>
      <c r="K762" s="118"/>
      <c r="L762" s="118"/>
      <c r="M762" s="118"/>
      <c r="N762" s="118"/>
      <c r="O762" s="118"/>
      <c r="P762" s="118"/>
      <c r="Q762" s="118" t="s">
        <v>184</v>
      </c>
      <c r="R762" s="118"/>
      <c r="S762" s="118"/>
      <c r="T762" s="118"/>
      <c r="U762" s="118"/>
      <c r="V762" s="118"/>
      <c r="W762" s="118"/>
      <c r="X762" s="118"/>
      <c r="Y762" s="118"/>
      <c r="Z762" s="118"/>
      <c r="AA762" s="118"/>
      <c r="AB762" s="118"/>
      <c r="AC762" s="118"/>
      <c r="AD762" s="97"/>
      <c r="AE762" s="97"/>
      <c r="AF762" s="97"/>
      <c r="AG762" s="97"/>
      <c r="AH762" s="97"/>
      <c r="AI762" s="97"/>
      <c r="AJ762" s="97"/>
      <c r="AK762" s="97"/>
      <c r="AL762" s="97"/>
      <c r="AM762" s="97"/>
      <c r="AN762" s="97"/>
      <c r="AO762" s="97"/>
      <c r="AP762" s="97"/>
      <c r="AQ762" s="97"/>
      <c r="AR762" s="97"/>
      <c r="AS762" s="97"/>
      <c r="AT762" s="97"/>
      <c r="AU762" s="97"/>
      <c r="AV762" s="97"/>
      <c r="AW762" s="97"/>
      <c r="AX762" s="97"/>
    </row>
    <row r="763" ht="15.75" customHeight="1">
      <c r="A763" s="114" t="s">
        <v>680</v>
      </c>
      <c r="B763" s="165" t="s">
        <v>5182</v>
      </c>
      <c r="C763" s="76" t="s">
        <v>6061</v>
      </c>
      <c r="D763" s="76" t="s">
        <v>6062</v>
      </c>
      <c r="E763" s="117" t="s">
        <v>6063</v>
      </c>
      <c r="F763" s="76"/>
      <c r="G763" s="76"/>
      <c r="H763" s="76"/>
      <c r="I763" s="118"/>
      <c r="J763" s="120" t="s">
        <v>1837</v>
      </c>
      <c r="K763" s="118"/>
      <c r="L763" s="118"/>
      <c r="M763" s="118"/>
      <c r="N763" s="118"/>
      <c r="O763" s="118"/>
      <c r="P763" s="118"/>
      <c r="Q763" s="118" t="s">
        <v>184</v>
      </c>
      <c r="R763" s="118"/>
      <c r="S763" s="118"/>
      <c r="T763" s="118"/>
      <c r="U763" s="118"/>
      <c r="V763" s="118"/>
      <c r="W763" s="118"/>
      <c r="X763" s="118"/>
      <c r="Y763" s="118"/>
      <c r="Z763" s="118"/>
      <c r="AA763" s="118"/>
      <c r="AB763" s="118"/>
      <c r="AC763" s="118"/>
      <c r="AD763" s="97"/>
      <c r="AE763" s="97"/>
      <c r="AF763" s="97"/>
      <c r="AG763" s="97"/>
      <c r="AH763" s="97"/>
      <c r="AI763" s="97"/>
      <c r="AJ763" s="97"/>
      <c r="AK763" s="97"/>
      <c r="AL763" s="97"/>
      <c r="AM763" s="97"/>
      <c r="AN763" s="97"/>
      <c r="AO763" s="97"/>
      <c r="AP763" s="97"/>
      <c r="AQ763" s="97"/>
      <c r="AR763" s="97"/>
      <c r="AS763" s="97"/>
      <c r="AT763" s="97"/>
      <c r="AU763" s="97"/>
      <c r="AV763" s="97"/>
      <c r="AW763" s="97"/>
      <c r="AX763" s="97"/>
    </row>
    <row r="764" ht="15.75" customHeight="1">
      <c r="A764" s="150" t="s">
        <v>343</v>
      </c>
      <c r="B764" s="81" t="s">
        <v>5164</v>
      </c>
      <c r="C764" s="83"/>
      <c r="D764" s="83"/>
      <c r="E764" s="83"/>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97"/>
      <c r="AE764" s="97"/>
      <c r="AF764" s="97"/>
      <c r="AG764" s="97"/>
      <c r="AH764" s="97"/>
      <c r="AI764" s="97"/>
      <c r="AJ764" s="97"/>
      <c r="AK764" s="97"/>
      <c r="AL764" s="97"/>
      <c r="AM764" s="97"/>
      <c r="AN764" s="97"/>
      <c r="AO764" s="97"/>
      <c r="AP764" s="97"/>
      <c r="AQ764" s="97"/>
      <c r="AR764" s="97"/>
      <c r="AS764" s="97"/>
      <c r="AT764" s="97"/>
      <c r="AU764" s="97"/>
      <c r="AV764" s="97"/>
      <c r="AW764" s="97"/>
      <c r="AX764" s="97"/>
    </row>
    <row r="765" ht="15.75" customHeight="1">
      <c r="A765" s="150" t="s">
        <v>343</v>
      </c>
      <c r="B765" s="83" t="s">
        <v>5139</v>
      </c>
      <c r="C765" s="83"/>
      <c r="D765" s="83"/>
      <c r="E765" s="83"/>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97"/>
      <c r="AE765" s="97"/>
      <c r="AF765" s="97"/>
      <c r="AG765" s="97"/>
      <c r="AH765" s="97"/>
      <c r="AI765" s="97"/>
      <c r="AJ765" s="97"/>
      <c r="AK765" s="97"/>
      <c r="AL765" s="97"/>
      <c r="AM765" s="97"/>
      <c r="AN765" s="97"/>
      <c r="AO765" s="97"/>
      <c r="AP765" s="97"/>
      <c r="AQ765" s="97"/>
      <c r="AR765" s="97"/>
      <c r="AS765" s="97"/>
      <c r="AT765" s="97"/>
      <c r="AU765" s="97"/>
      <c r="AV765" s="97"/>
      <c r="AW765" s="97"/>
      <c r="AX765" s="97"/>
    </row>
    <row r="766" ht="15.75" customHeight="1">
      <c r="A766" s="131" t="s">
        <v>150</v>
      </c>
      <c r="B766" s="164" t="s">
        <v>5183</v>
      </c>
      <c r="C766" s="133"/>
      <c r="D766" s="133"/>
      <c r="E766" s="133"/>
      <c r="F766" s="134"/>
      <c r="G766" s="134"/>
      <c r="H766" s="134"/>
      <c r="I766" s="134"/>
      <c r="J766" s="134"/>
      <c r="K766" s="134"/>
      <c r="L766" s="134"/>
      <c r="M766" s="134"/>
      <c r="N766" s="134"/>
      <c r="O766" s="134"/>
      <c r="P766" s="134"/>
      <c r="Q766" s="134"/>
      <c r="R766" s="134"/>
      <c r="S766" s="134"/>
      <c r="T766" s="291" t="s">
        <v>156</v>
      </c>
      <c r="U766" s="134"/>
      <c r="V766" s="134"/>
      <c r="W766" s="134"/>
      <c r="X766" s="134"/>
      <c r="Y766" s="134"/>
      <c r="Z766" s="134"/>
      <c r="AA766" s="134"/>
      <c r="AB766" s="134"/>
      <c r="AC766" s="134"/>
      <c r="AD766" s="97"/>
      <c r="AE766" s="97"/>
      <c r="AF766" s="97"/>
      <c r="AG766" s="97"/>
      <c r="AH766" s="97"/>
      <c r="AI766" s="97"/>
      <c r="AJ766" s="97"/>
      <c r="AK766" s="97"/>
      <c r="AL766" s="97"/>
      <c r="AM766" s="97"/>
      <c r="AN766" s="97"/>
      <c r="AO766" s="97"/>
      <c r="AP766" s="97"/>
      <c r="AQ766" s="97"/>
      <c r="AR766" s="97"/>
      <c r="AS766" s="97"/>
      <c r="AT766" s="97"/>
      <c r="AU766" s="97"/>
      <c r="AV766" s="97"/>
      <c r="AW766" s="97"/>
      <c r="AX766" s="97"/>
    </row>
    <row r="767" ht="15.75" customHeight="1">
      <c r="A767" s="80" t="s">
        <v>115</v>
      </c>
      <c r="B767" s="81" t="s">
        <v>5184</v>
      </c>
      <c r="C767" s="82"/>
      <c r="D767" s="83"/>
      <c r="E767" s="83"/>
      <c r="F767" s="84"/>
      <c r="G767" s="84"/>
      <c r="H767" s="84"/>
      <c r="I767" s="86"/>
      <c r="J767" s="86"/>
      <c r="K767" s="84"/>
      <c r="L767" s="86"/>
      <c r="M767" s="86"/>
      <c r="N767" s="86"/>
      <c r="O767" s="86"/>
      <c r="P767" s="84"/>
      <c r="Q767" s="84"/>
      <c r="R767" s="84"/>
      <c r="S767" s="84"/>
      <c r="T767" s="80" t="s">
        <v>6064</v>
      </c>
      <c r="U767" s="84"/>
      <c r="V767" s="84"/>
      <c r="W767" s="84"/>
      <c r="X767" s="84"/>
      <c r="Y767" s="84"/>
      <c r="Z767" s="84"/>
      <c r="AA767" s="84"/>
      <c r="AB767" s="84"/>
      <c r="AC767" s="84"/>
      <c r="AD767" s="97"/>
      <c r="AE767" s="97"/>
      <c r="AF767" s="97"/>
      <c r="AG767" s="97"/>
      <c r="AH767" s="97"/>
      <c r="AI767" s="97"/>
      <c r="AJ767" s="97"/>
      <c r="AK767" s="97"/>
      <c r="AL767" s="97"/>
      <c r="AM767" s="97"/>
      <c r="AN767" s="97"/>
      <c r="AO767" s="97"/>
      <c r="AP767" s="97"/>
      <c r="AQ767" s="97"/>
      <c r="AR767" s="97"/>
      <c r="AS767" s="97"/>
      <c r="AT767" s="97"/>
      <c r="AU767" s="97"/>
      <c r="AV767" s="97"/>
      <c r="AW767" s="97"/>
      <c r="AX767" s="97"/>
    </row>
    <row r="768" ht="15.75" customHeight="1">
      <c r="A768" s="150" t="s">
        <v>343</v>
      </c>
      <c r="B768" s="83" t="s">
        <v>4032</v>
      </c>
      <c r="C768" s="83"/>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97"/>
      <c r="AE768" s="97"/>
      <c r="AF768" s="97"/>
      <c r="AG768" s="97"/>
      <c r="AH768" s="97"/>
      <c r="AI768" s="97"/>
      <c r="AJ768" s="97"/>
      <c r="AK768" s="97"/>
      <c r="AL768" s="97"/>
      <c r="AM768" s="97"/>
      <c r="AN768" s="97"/>
      <c r="AO768" s="97"/>
      <c r="AP768" s="97"/>
      <c r="AQ768" s="97"/>
      <c r="AR768" s="97"/>
      <c r="AS768" s="97"/>
      <c r="AT768" s="97"/>
      <c r="AU768" s="97"/>
      <c r="AV768" s="97"/>
      <c r="AW768" s="97"/>
      <c r="AX768" s="97"/>
    </row>
    <row r="769" ht="15.75" customHeight="1">
      <c r="A769" s="150" t="s">
        <v>343</v>
      </c>
      <c r="B769" s="150" t="s">
        <v>2986</v>
      </c>
      <c r="C769" s="83" t="s">
        <v>2990</v>
      </c>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97"/>
      <c r="AE769" s="97"/>
      <c r="AF769" s="97"/>
      <c r="AG769" s="97"/>
      <c r="AH769" s="97"/>
      <c r="AI769" s="97"/>
      <c r="AJ769" s="97"/>
      <c r="AK769" s="97"/>
      <c r="AL769" s="97"/>
      <c r="AM769" s="97"/>
      <c r="AN769" s="97"/>
      <c r="AO769" s="97"/>
      <c r="AP769" s="97"/>
      <c r="AQ769" s="97"/>
      <c r="AR769" s="97"/>
      <c r="AS769" s="97"/>
      <c r="AT769" s="97"/>
      <c r="AU769" s="97"/>
      <c r="AV769" s="97"/>
      <c r="AW769" s="97"/>
      <c r="AX769" s="97"/>
    </row>
    <row r="770" ht="15.75" customHeight="1">
      <c r="A770" s="80" t="s">
        <v>150</v>
      </c>
      <c r="B770" s="81" t="s">
        <v>5185</v>
      </c>
      <c r="C770" s="82"/>
      <c r="D770" s="83"/>
      <c r="E770" s="83"/>
      <c r="F770" s="84"/>
      <c r="G770" s="84"/>
      <c r="H770" s="84"/>
      <c r="I770" s="84"/>
      <c r="J770" s="86"/>
      <c r="K770" s="84"/>
      <c r="L770" s="84"/>
      <c r="M770" s="86"/>
      <c r="N770" s="86"/>
      <c r="O770" s="91"/>
      <c r="P770" s="84"/>
      <c r="Q770" s="84"/>
      <c r="R770" s="84"/>
      <c r="S770" s="84"/>
      <c r="T770" s="94" t="s">
        <v>156</v>
      </c>
      <c r="U770" s="84"/>
      <c r="V770" s="84"/>
      <c r="W770" s="84"/>
      <c r="X770" s="84"/>
      <c r="Y770" s="84"/>
      <c r="Z770" s="84"/>
      <c r="AA770" s="84"/>
      <c r="AB770" s="84"/>
      <c r="AC770" s="84"/>
      <c r="AD770" s="97"/>
      <c r="AE770" s="97"/>
      <c r="AF770" s="97"/>
      <c r="AG770" s="97"/>
      <c r="AH770" s="97"/>
      <c r="AI770" s="97"/>
      <c r="AJ770" s="97"/>
      <c r="AK770" s="97"/>
      <c r="AL770" s="97"/>
      <c r="AM770" s="97"/>
      <c r="AN770" s="97"/>
      <c r="AO770" s="97"/>
      <c r="AP770" s="97"/>
      <c r="AQ770" s="97"/>
      <c r="AR770" s="97"/>
      <c r="AS770" s="97"/>
      <c r="AT770" s="97"/>
      <c r="AU770" s="97"/>
      <c r="AV770" s="97"/>
      <c r="AW770" s="97"/>
      <c r="AX770" s="97"/>
    </row>
    <row r="771" ht="15.75" customHeight="1">
      <c r="A771" s="80" t="s">
        <v>115</v>
      </c>
      <c r="B771" s="81" t="s">
        <v>5188</v>
      </c>
      <c r="C771" s="82"/>
      <c r="D771" s="83"/>
      <c r="E771" s="83"/>
      <c r="F771" s="84"/>
      <c r="G771" s="84"/>
      <c r="H771" s="84"/>
      <c r="I771" s="86"/>
      <c r="J771" s="86"/>
      <c r="K771" s="84"/>
      <c r="L771" s="86"/>
      <c r="M771" s="86"/>
      <c r="N771" s="86"/>
      <c r="O771" s="86"/>
      <c r="P771" s="84"/>
      <c r="Q771" s="84"/>
      <c r="R771" s="84"/>
      <c r="S771" s="84"/>
      <c r="T771" s="80" t="s">
        <v>6065</v>
      </c>
      <c r="U771" s="84"/>
      <c r="V771" s="84"/>
      <c r="W771" s="84"/>
      <c r="X771" s="84"/>
      <c r="Y771" s="84"/>
      <c r="Z771" s="84"/>
      <c r="AA771" s="84"/>
      <c r="AB771" s="84"/>
      <c r="AC771" s="84"/>
      <c r="AD771" s="97"/>
      <c r="AE771" s="97"/>
      <c r="AF771" s="97"/>
      <c r="AG771" s="97"/>
      <c r="AH771" s="97"/>
      <c r="AI771" s="97"/>
      <c r="AJ771" s="97"/>
      <c r="AK771" s="97"/>
      <c r="AL771" s="97"/>
      <c r="AM771" s="97"/>
      <c r="AN771" s="97"/>
      <c r="AO771" s="97"/>
      <c r="AP771" s="97"/>
      <c r="AQ771" s="97"/>
      <c r="AR771" s="97"/>
      <c r="AS771" s="97"/>
      <c r="AT771" s="97"/>
      <c r="AU771" s="97"/>
      <c r="AV771" s="97"/>
      <c r="AW771" s="97"/>
      <c r="AX771" s="97"/>
    </row>
    <row r="772" ht="15.75" customHeight="1">
      <c r="A772" s="75" t="s">
        <v>343</v>
      </c>
      <c r="B772" s="75" t="s">
        <v>643</v>
      </c>
      <c r="C772" s="46"/>
      <c r="D772" s="45"/>
      <c r="E772" s="47"/>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row>
    <row r="773" ht="15.75" customHeight="1">
      <c r="A773" s="45"/>
      <c r="B773" s="45"/>
      <c r="C773" s="46"/>
      <c r="D773" s="45"/>
      <c r="E773" s="47"/>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row>
    <row r="774" ht="15.75" customHeight="1">
      <c r="A774" s="97"/>
      <c r="B774" s="97"/>
      <c r="C774" s="204"/>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c r="AG774" s="97"/>
      <c r="AH774" s="97"/>
      <c r="AI774" s="97"/>
      <c r="AJ774" s="97"/>
      <c r="AK774" s="97"/>
      <c r="AL774" s="97"/>
      <c r="AM774" s="97"/>
      <c r="AN774" s="97"/>
      <c r="AO774" s="97"/>
      <c r="AP774" s="97"/>
      <c r="AQ774" s="97"/>
      <c r="AR774" s="97"/>
      <c r="AS774" s="97"/>
      <c r="AT774" s="97"/>
      <c r="AU774" s="97"/>
      <c r="AV774" s="97"/>
      <c r="AW774" s="97"/>
      <c r="AX774" s="97"/>
    </row>
    <row r="775" ht="15.75" customHeight="1">
      <c r="A775" s="84" t="s">
        <v>161</v>
      </c>
      <c r="B775" s="86" t="s">
        <v>5192</v>
      </c>
      <c r="C775" s="82" t="s">
        <v>5193</v>
      </c>
      <c r="D775" s="84" t="s">
        <v>5194</v>
      </c>
      <c r="E775" s="84" t="s">
        <v>5195</v>
      </c>
      <c r="F775" s="84"/>
      <c r="G775" s="84"/>
      <c r="H775" s="84"/>
      <c r="I775" s="84"/>
      <c r="J775" s="86"/>
      <c r="K775" s="84"/>
      <c r="L775" s="84"/>
      <c r="M775" s="86"/>
      <c r="N775" s="86"/>
      <c r="O775" s="86"/>
      <c r="P775" s="84"/>
      <c r="Q775" s="84"/>
      <c r="R775" s="84"/>
      <c r="S775" s="84"/>
      <c r="T775" s="84"/>
      <c r="U775" s="84"/>
      <c r="V775" s="84"/>
      <c r="W775" s="84"/>
      <c r="X775" s="84"/>
      <c r="Y775" s="84"/>
      <c r="Z775" s="84"/>
      <c r="AA775" s="84"/>
      <c r="AB775" s="84"/>
      <c r="AC775" s="84"/>
      <c r="AD775" s="97"/>
      <c r="AE775" s="97"/>
      <c r="AF775" s="97"/>
      <c r="AG775" s="97"/>
      <c r="AH775" s="97"/>
      <c r="AI775" s="97"/>
      <c r="AJ775" s="97"/>
      <c r="AK775" s="97"/>
      <c r="AL775" s="97"/>
      <c r="AM775" s="97"/>
      <c r="AN775" s="97"/>
      <c r="AO775" s="97"/>
      <c r="AP775" s="97"/>
      <c r="AQ775" s="97"/>
      <c r="AR775" s="97"/>
      <c r="AS775" s="97"/>
      <c r="AT775" s="97"/>
      <c r="AU775" s="97"/>
      <c r="AV775" s="97"/>
      <c r="AW775" s="97"/>
      <c r="AX775" s="97"/>
    </row>
    <row r="776" ht="15.75" customHeight="1">
      <c r="A776" s="80" t="s">
        <v>150</v>
      </c>
      <c r="B776" s="81" t="s">
        <v>5196</v>
      </c>
      <c r="C776" s="82"/>
      <c r="D776" s="83"/>
      <c r="E776" s="83"/>
      <c r="F776" s="84"/>
      <c r="G776" s="84"/>
      <c r="H776" s="84"/>
      <c r="I776" s="84"/>
      <c r="J776" s="86"/>
      <c r="K776" s="84"/>
      <c r="L776" s="84"/>
      <c r="M776" s="86"/>
      <c r="N776" s="86"/>
      <c r="O776" s="91"/>
      <c r="P776" s="84"/>
      <c r="Q776" s="84"/>
      <c r="R776" s="84"/>
      <c r="S776" s="84"/>
      <c r="T776" s="94" t="s">
        <v>156</v>
      </c>
      <c r="U776" s="84"/>
      <c r="V776" s="84"/>
      <c r="W776" s="84"/>
      <c r="X776" s="84"/>
      <c r="Y776" s="84"/>
      <c r="Z776" s="84"/>
      <c r="AA776" s="84"/>
      <c r="AB776" s="84"/>
      <c r="AC776" s="84"/>
      <c r="AD776" s="97"/>
      <c r="AE776" s="97"/>
      <c r="AF776" s="97"/>
      <c r="AG776" s="97"/>
      <c r="AH776" s="97"/>
      <c r="AI776" s="97"/>
      <c r="AJ776" s="97"/>
      <c r="AK776" s="97"/>
      <c r="AL776" s="97"/>
      <c r="AM776" s="97"/>
      <c r="AN776" s="97"/>
      <c r="AO776" s="97"/>
      <c r="AP776" s="97"/>
      <c r="AQ776" s="97"/>
      <c r="AR776" s="97"/>
      <c r="AS776" s="97"/>
      <c r="AT776" s="97"/>
      <c r="AU776" s="97"/>
      <c r="AV776" s="97"/>
      <c r="AW776" s="97"/>
      <c r="AX776" s="97"/>
    </row>
    <row r="777" ht="15.75" customHeight="1">
      <c r="A777" s="176" t="s">
        <v>44</v>
      </c>
      <c r="B777" s="290" t="s">
        <v>5197</v>
      </c>
      <c r="C777" s="76" t="s">
        <v>6066</v>
      </c>
      <c r="D777" s="76" t="s">
        <v>6067</v>
      </c>
      <c r="E777" s="117" t="s">
        <v>6068</v>
      </c>
      <c r="F777" s="76"/>
      <c r="G777" s="76"/>
      <c r="H777" s="76"/>
      <c r="I777" s="176"/>
      <c r="J777" s="176"/>
      <c r="K777" s="176"/>
      <c r="L777" s="176"/>
      <c r="M777" s="176"/>
      <c r="N777" s="176"/>
      <c r="O777" s="176"/>
      <c r="P777" s="176"/>
      <c r="Q777" s="176"/>
      <c r="R777" s="176"/>
      <c r="S777" s="176"/>
      <c r="T777" s="176"/>
      <c r="U777" s="176"/>
      <c r="V777" s="176"/>
      <c r="W777" s="176"/>
      <c r="X777" s="176"/>
      <c r="Y777" s="176"/>
      <c r="Z777" s="176"/>
      <c r="AA777" s="176"/>
      <c r="AB777" s="176"/>
      <c r="AC777" s="176"/>
      <c r="AD777" s="97"/>
      <c r="AE777" s="97"/>
      <c r="AF777" s="97"/>
      <c r="AG777" s="97"/>
      <c r="AH777" s="97"/>
      <c r="AI777" s="97"/>
      <c r="AJ777" s="97"/>
      <c r="AK777" s="97"/>
      <c r="AL777" s="97"/>
      <c r="AM777" s="97"/>
      <c r="AN777" s="97"/>
      <c r="AO777" s="97"/>
      <c r="AP777" s="97"/>
      <c r="AQ777" s="97"/>
      <c r="AR777" s="97"/>
      <c r="AS777" s="97"/>
      <c r="AT777" s="97"/>
      <c r="AU777" s="97"/>
      <c r="AV777" s="97"/>
      <c r="AW777" s="97"/>
      <c r="AX777" s="97"/>
    </row>
    <row r="778" ht="15.75" customHeight="1">
      <c r="A778" s="182" t="s">
        <v>217</v>
      </c>
      <c r="B778" s="183" t="s">
        <v>5202</v>
      </c>
      <c r="C778" s="76" t="s">
        <v>6069</v>
      </c>
      <c r="D778" s="76" t="s">
        <v>6070</v>
      </c>
      <c r="E778" s="117" t="s">
        <v>6071</v>
      </c>
      <c r="F778" s="76" t="s">
        <v>6072</v>
      </c>
      <c r="G778" s="76" t="s">
        <v>6073</v>
      </c>
      <c r="H778" s="76" t="s">
        <v>6074</v>
      </c>
      <c r="I778" s="182"/>
      <c r="J778" s="183" t="s">
        <v>6075</v>
      </c>
      <c r="K778" s="182" t="s">
        <v>6076</v>
      </c>
      <c r="L778" s="182"/>
      <c r="M778" s="182"/>
      <c r="N778" s="182"/>
      <c r="O778" s="182"/>
      <c r="P778" s="182"/>
      <c r="Q778" s="182" t="s">
        <v>184</v>
      </c>
      <c r="R778" s="182"/>
      <c r="S778" s="182"/>
      <c r="T778" s="182"/>
      <c r="U778" s="182"/>
      <c r="V778" s="182"/>
      <c r="W778" s="182"/>
      <c r="X778" s="182"/>
      <c r="Y778" s="182"/>
      <c r="Z778" s="182"/>
      <c r="AA778" s="182"/>
      <c r="AB778" s="182"/>
      <c r="AC778" s="182"/>
      <c r="AD778" s="97"/>
      <c r="AE778" s="97"/>
      <c r="AF778" s="97"/>
      <c r="AG778" s="97"/>
      <c r="AH778" s="97"/>
      <c r="AI778" s="97"/>
      <c r="AJ778" s="97"/>
      <c r="AK778" s="97"/>
      <c r="AL778" s="97"/>
      <c r="AM778" s="97"/>
      <c r="AN778" s="97"/>
      <c r="AO778" s="97"/>
      <c r="AP778" s="97"/>
      <c r="AQ778" s="97"/>
      <c r="AR778" s="97"/>
      <c r="AS778" s="97"/>
      <c r="AT778" s="97"/>
      <c r="AU778" s="97"/>
      <c r="AV778" s="97"/>
      <c r="AW778" s="97"/>
      <c r="AX778" s="97"/>
    </row>
    <row r="779" ht="15.75" customHeight="1">
      <c r="A779" s="118" t="s">
        <v>541</v>
      </c>
      <c r="B779" s="120" t="s">
        <v>5205</v>
      </c>
      <c r="C779" s="76" t="s">
        <v>6077</v>
      </c>
      <c r="D779" s="76" t="s">
        <v>6078</v>
      </c>
      <c r="E779" s="117" t="s">
        <v>6079</v>
      </c>
      <c r="F779" s="76"/>
      <c r="G779" s="76"/>
      <c r="H779" s="76"/>
      <c r="I779" s="118"/>
      <c r="J779" s="120"/>
      <c r="K779" s="118"/>
      <c r="L779" s="118"/>
      <c r="M779" s="118"/>
      <c r="N779" s="118"/>
      <c r="O779" s="118"/>
      <c r="P779" s="118"/>
      <c r="Q779" s="118" t="s">
        <v>184</v>
      </c>
      <c r="R779" s="118"/>
      <c r="S779" s="118"/>
      <c r="T779" s="118"/>
      <c r="U779" s="118"/>
      <c r="V779" s="118"/>
      <c r="W779" s="118"/>
      <c r="X779" s="118"/>
      <c r="Y779" s="118"/>
      <c r="Z779" s="118"/>
      <c r="AA779" s="118"/>
      <c r="AB779" s="118"/>
      <c r="AC779" s="118"/>
      <c r="AD779" s="97"/>
      <c r="AE779" s="97"/>
      <c r="AF779" s="97"/>
      <c r="AG779" s="97"/>
      <c r="AH779" s="97"/>
      <c r="AI779" s="97"/>
      <c r="AJ779" s="97"/>
      <c r="AK779" s="97"/>
      <c r="AL779" s="97"/>
      <c r="AM779" s="97"/>
      <c r="AN779" s="97"/>
      <c r="AO779" s="97"/>
      <c r="AP779" s="97"/>
      <c r="AQ779" s="97"/>
      <c r="AR779" s="97"/>
      <c r="AS779" s="97"/>
      <c r="AT779" s="97"/>
      <c r="AU779" s="97"/>
      <c r="AV779" s="97"/>
      <c r="AW779" s="97"/>
      <c r="AX779" s="97"/>
    </row>
    <row r="780" ht="15.75" customHeight="1">
      <c r="A780" s="176" t="s">
        <v>44</v>
      </c>
      <c r="B780" s="290" t="s">
        <v>5209</v>
      </c>
      <c r="C780" s="76" t="s">
        <v>6080</v>
      </c>
      <c r="D780" s="76" t="s">
        <v>6081</v>
      </c>
      <c r="E780" s="117" t="s">
        <v>6082</v>
      </c>
      <c r="F780" s="76"/>
      <c r="G780" s="76"/>
      <c r="H780" s="76"/>
      <c r="I780" s="176"/>
      <c r="J780" s="176"/>
      <c r="K780" s="176"/>
      <c r="L780" s="176"/>
      <c r="M780" s="176"/>
      <c r="N780" s="176"/>
      <c r="O780" s="176" t="s">
        <v>6083</v>
      </c>
      <c r="P780" s="176"/>
      <c r="Q780" s="176" t="s">
        <v>184</v>
      </c>
      <c r="R780" s="176"/>
      <c r="S780" s="176"/>
      <c r="T780" s="176"/>
      <c r="U780" s="176"/>
      <c r="V780" s="176"/>
      <c r="W780" s="176"/>
      <c r="X780" s="176"/>
      <c r="Y780" s="176"/>
      <c r="Z780" s="176"/>
      <c r="AA780" s="176"/>
      <c r="AB780" s="176"/>
      <c r="AC780" s="176"/>
      <c r="AD780" s="97"/>
      <c r="AE780" s="97"/>
      <c r="AF780" s="97"/>
      <c r="AG780" s="97"/>
      <c r="AH780" s="97"/>
      <c r="AI780" s="97"/>
      <c r="AJ780" s="97"/>
      <c r="AK780" s="97"/>
      <c r="AL780" s="97"/>
      <c r="AM780" s="97"/>
      <c r="AN780" s="97"/>
      <c r="AO780" s="97"/>
      <c r="AP780" s="97"/>
      <c r="AQ780" s="97"/>
      <c r="AR780" s="97"/>
      <c r="AS780" s="97"/>
      <c r="AT780" s="97"/>
      <c r="AU780" s="97"/>
      <c r="AV780" s="97"/>
      <c r="AW780" s="97"/>
      <c r="AX780" s="97"/>
    </row>
    <row r="781" ht="15.75" customHeight="1">
      <c r="A781" s="118" t="s">
        <v>5213</v>
      </c>
      <c r="B781" s="120" t="s">
        <v>5214</v>
      </c>
      <c r="C781" s="76" t="s">
        <v>6084</v>
      </c>
      <c r="D781" s="76" t="s">
        <v>6085</v>
      </c>
      <c r="E781" s="117" t="s">
        <v>6086</v>
      </c>
      <c r="F781" s="76" t="s">
        <v>6087</v>
      </c>
      <c r="G781" s="76" t="s">
        <v>6088</v>
      </c>
      <c r="H781" s="76" t="s">
        <v>6089</v>
      </c>
      <c r="I781" s="118"/>
      <c r="J781" s="120"/>
      <c r="K781" s="118"/>
      <c r="L781" s="118"/>
      <c r="M781" s="118"/>
      <c r="N781" s="118"/>
      <c r="O781" s="118"/>
      <c r="P781" s="118"/>
      <c r="Q781" s="118" t="s">
        <v>184</v>
      </c>
      <c r="R781" s="118"/>
      <c r="S781" s="118"/>
      <c r="T781" s="118"/>
      <c r="U781" s="118"/>
      <c r="V781" s="118"/>
      <c r="W781" s="118"/>
      <c r="X781" s="118"/>
      <c r="Y781" s="118"/>
      <c r="Z781" s="118"/>
      <c r="AA781" s="118"/>
      <c r="AB781" s="118"/>
      <c r="AC781" s="118"/>
      <c r="AD781" s="97"/>
      <c r="AE781" s="97"/>
      <c r="AF781" s="97"/>
      <c r="AG781" s="97"/>
      <c r="AH781" s="97"/>
      <c r="AI781" s="97"/>
      <c r="AJ781" s="97"/>
      <c r="AK781" s="97"/>
      <c r="AL781" s="97"/>
      <c r="AM781" s="97"/>
      <c r="AN781" s="97"/>
      <c r="AO781" s="97"/>
      <c r="AP781" s="97"/>
      <c r="AQ781" s="97"/>
      <c r="AR781" s="97"/>
      <c r="AS781" s="97"/>
      <c r="AT781" s="97"/>
      <c r="AU781" s="97"/>
      <c r="AV781" s="97"/>
      <c r="AW781" s="97"/>
      <c r="AX781" s="97"/>
    </row>
    <row r="782" ht="15.75" customHeight="1">
      <c r="A782" s="176" t="s">
        <v>44</v>
      </c>
      <c r="B782" s="290" t="s">
        <v>5219</v>
      </c>
      <c r="C782" s="76" t="s">
        <v>6090</v>
      </c>
      <c r="D782" s="76" t="s">
        <v>6091</v>
      </c>
      <c r="E782" s="117" t="s">
        <v>6092</v>
      </c>
      <c r="F782" s="76"/>
      <c r="G782" s="76"/>
      <c r="H782" s="76"/>
      <c r="I782" s="176"/>
      <c r="J782" s="176"/>
      <c r="K782" s="176"/>
      <c r="L782" s="176"/>
      <c r="M782" s="176"/>
      <c r="N782" s="176"/>
      <c r="O782" s="176" t="s">
        <v>6093</v>
      </c>
      <c r="P782" s="176"/>
      <c r="Q782" s="176" t="s">
        <v>184</v>
      </c>
      <c r="R782" s="176"/>
      <c r="S782" s="176"/>
      <c r="T782" s="176"/>
      <c r="U782" s="176"/>
      <c r="V782" s="176"/>
      <c r="W782" s="176"/>
      <c r="X782" s="176"/>
      <c r="Y782" s="176"/>
      <c r="Z782" s="176"/>
      <c r="AA782" s="176"/>
      <c r="AB782" s="176"/>
      <c r="AC782" s="176"/>
      <c r="AD782" s="97"/>
      <c r="AE782" s="97"/>
      <c r="AF782" s="97"/>
      <c r="AG782" s="97"/>
      <c r="AH782" s="97"/>
      <c r="AI782" s="97"/>
      <c r="AJ782" s="97"/>
      <c r="AK782" s="97"/>
      <c r="AL782" s="97"/>
      <c r="AM782" s="97"/>
      <c r="AN782" s="97"/>
      <c r="AO782" s="97"/>
      <c r="AP782" s="97"/>
      <c r="AQ782" s="97"/>
      <c r="AR782" s="97"/>
      <c r="AS782" s="97"/>
      <c r="AT782" s="97"/>
      <c r="AU782" s="97"/>
      <c r="AV782" s="97"/>
      <c r="AW782" s="97"/>
      <c r="AX782" s="97"/>
    </row>
    <row r="783" ht="15.75" customHeight="1">
      <c r="A783" s="118" t="s">
        <v>541</v>
      </c>
      <c r="B783" s="120" t="s">
        <v>5223</v>
      </c>
      <c r="C783" s="76" t="s">
        <v>6094</v>
      </c>
      <c r="D783" s="76" t="s">
        <v>6095</v>
      </c>
      <c r="E783" s="117" t="s">
        <v>6096</v>
      </c>
      <c r="F783" s="76"/>
      <c r="G783" s="76"/>
      <c r="H783" s="76"/>
      <c r="I783" s="118"/>
      <c r="J783" s="120"/>
      <c r="K783" s="118"/>
      <c r="L783" s="118"/>
      <c r="M783" s="118"/>
      <c r="N783" s="118"/>
      <c r="O783" s="118"/>
      <c r="P783" s="118"/>
      <c r="Q783" s="118" t="s">
        <v>184</v>
      </c>
      <c r="R783" s="118"/>
      <c r="S783" s="118"/>
      <c r="T783" s="118"/>
      <c r="U783" s="118"/>
      <c r="V783" s="118"/>
      <c r="W783" s="118"/>
      <c r="X783" s="118"/>
      <c r="Y783" s="118"/>
      <c r="Z783" s="118"/>
      <c r="AA783" s="118"/>
      <c r="AB783" s="118"/>
      <c r="AC783" s="118"/>
      <c r="AD783" s="97"/>
      <c r="AE783" s="97"/>
      <c r="AF783" s="97"/>
      <c r="AG783" s="97"/>
      <c r="AH783" s="97"/>
      <c r="AI783" s="97"/>
      <c r="AJ783" s="97"/>
      <c r="AK783" s="97"/>
      <c r="AL783" s="97"/>
      <c r="AM783" s="97"/>
      <c r="AN783" s="97"/>
      <c r="AO783" s="97"/>
      <c r="AP783" s="97"/>
      <c r="AQ783" s="97"/>
      <c r="AR783" s="97"/>
      <c r="AS783" s="97"/>
      <c r="AT783" s="97"/>
      <c r="AU783" s="97"/>
      <c r="AV783" s="97"/>
      <c r="AW783" s="97"/>
      <c r="AX783" s="97"/>
    </row>
    <row r="784" ht="15.75" customHeight="1">
      <c r="A784" s="118" t="s">
        <v>541</v>
      </c>
      <c r="B784" s="120" t="s">
        <v>5227</v>
      </c>
      <c r="C784" s="76" t="s">
        <v>6097</v>
      </c>
      <c r="D784" s="76" t="s">
        <v>6098</v>
      </c>
      <c r="E784" s="117" t="s">
        <v>6099</v>
      </c>
      <c r="F784" s="76"/>
      <c r="G784" s="76"/>
      <c r="H784" s="76"/>
      <c r="I784" s="118"/>
      <c r="J784" s="120"/>
      <c r="K784" s="118"/>
      <c r="L784" s="118"/>
      <c r="M784" s="118"/>
      <c r="N784" s="118"/>
      <c r="O784" s="118" t="s">
        <v>6100</v>
      </c>
      <c r="P784" s="118"/>
      <c r="Q784" s="118" t="s">
        <v>184</v>
      </c>
      <c r="R784" s="118"/>
      <c r="S784" s="118"/>
      <c r="T784" s="118"/>
      <c r="U784" s="118"/>
      <c r="V784" s="118"/>
      <c r="W784" s="118"/>
      <c r="X784" s="118"/>
      <c r="Y784" s="118"/>
      <c r="Z784" s="118"/>
      <c r="AA784" s="118"/>
      <c r="AB784" s="118"/>
      <c r="AC784" s="118"/>
      <c r="AD784" s="97"/>
      <c r="AE784" s="97"/>
      <c r="AF784" s="97"/>
      <c r="AG784" s="97"/>
      <c r="AH784" s="97"/>
      <c r="AI784" s="97"/>
      <c r="AJ784" s="97"/>
      <c r="AK784" s="97"/>
      <c r="AL784" s="97"/>
      <c r="AM784" s="97"/>
      <c r="AN784" s="97"/>
      <c r="AO784" s="97"/>
      <c r="AP784" s="97"/>
      <c r="AQ784" s="97"/>
      <c r="AR784" s="97"/>
      <c r="AS784" s="97"/>
      <c r="AT784" s="97"/>
      <c r="AU784" s="97"/>
      <c r="AV784" s="97"/>
      <c r="AW784" s="97"/>
      <c r="AX784" s="97"/>
    </row>
    <row r="785" ht="15.75" customHeight="1">
      <c r="A785" s="182" t="s">
        <v>217</v>
      </c>
      <c r="B785" s="183" t="s">
        <v>5232</v>
      </c>
      <c r="C785" s="76" t="s">
        <v>6101</v>
      </c>
      <c r="D785" s="76" t="s">
        <v>6102</v>
      </c>
      <c r="E785" s="117" t="s">
        <v>6103</v>
      </c>
      <c r="F785" s="76" t="s">
        <v>6072</v>
      </c>
      <c r="G785" s="76" t="s">
        <v>6073</v>
      </c>
      <c r="H785" s="76" t="s">
        <v>6074</v>
      </c>
      <c r="I785" s="182"/>
      <c r="J785" s="183" t="s">
        <v>6075</v>
      </c>
      <c r="K785" s="182" t="s">
        <v>6076</v>
      </c>
      <c r="L785" s="182"/>
      <c r="M785" s="182"/>
      <c r="N785" s="182"/>
      <c r="O785" s="182" t="s">
        <v>6104</v>
      </c>
      <c r="P785" s="182"/>
      <c r="Q785" s="182" t="s">
        <v>184</v>
      </c>
      <c r="R785" s="182"/>
      <c r="S785" s="182"/>
      <c r="T785" s="182"/>
      <c r="U785" s="182"/>
      <c r="V785" s="182"/>
      <c r="W785" s="182"/>
      <c r="X785" s="182"/>
      <c r="Y785" s="182"/>
      <c r="Z785" s="182"/>
      <c r="AA785" s="182"/>
      <c r="AB785" s="182"/>
      <c r="AC785" s="182"/>
      <c r="AD785" s="97"/>
      <c r="AE785" s="97"/>
      <c r="AF785" s="97"/>
      <c r="AG785" s="97"/>
      <c r="AH785" s="97"/>
      <c r="AI785" s="97"/>
      <c r="AJ785" s="97"/>
      <c r="AK785" s="97"/>
      <c r="AL785" s="97"/>
      <c r="AM785" s="97"/>
      <c r="AN785" s="97"/>
      <c r="AO785" s="97"/>
      <c r="AP785" s="97"/>
      <c r="AQ785" s="97"/>
      <c r="AR785" s="97"/>
      <c r="AS785" s="97"/>
      <c r="AT785" s="97"/>
      <c r="AU785" s="97"/>
      <c r="AV785" s="97"/>
      <c r="AW785" s="97"/>
      <c r="AX785" s="97"/>
    </row>
    <row r="786" ht="15.75" customHeight="1">
      <c r="A786" s="118" t="s">
        <v>541</v>
      </c>
      <c r="B786" s="120" t="s">
        <v>5236</v>
      </c>
      <c r="C786" s="76" t="s">
        <v>6105</v>
      </c>
      <c r="D786" s="76" t="s">
        <v>6106</v>
      </c>
      <c r="E786" s="117" t="s">
        <v>6107</v>
      </c>
      <c r="F786" s="76"/>
      <c r="G786" s="76"/>
      <c r="H786" s="76"/>
      <c r="I786" s="118"/>
      <c r="J786" s="120"/>
      <c r="K786" s="118"/>
      <c r="L786" s="118"/>
      <c r="M786" s="118"/>
      <c r="N786" s="118"/>
      <c r="O786" s="118" t="s">
        <v>6104</v>
      </c>
      <c r="P786" s="118"/>
      <c r="Q786" s="118" t="s">
        <v>184</v>
      </c>
      <c r="R786" s="118"/>
      <c r="S786" s="118"/>
      <c r="T786" s="118"/>
      <c r="U786" s="118"/>
      <c r="V786" s="118"/>
      <c r="W786" s="118"/>
      <c r="X786" s="118"/>
      <c r="Y786" s="118"/>
      <c r="Z786" s="118"/>
      <c r="AA786" s="118"/>
      <c r="AB786" s="118"/>
      <c r="AC786" s="118"/>
      <c r="AD786" s="97"/>
      <c r="AE786" s="97"/>
      <c r="AF786" s="97"/>
      <c r="AG786" s="97"/>
      <c r="AH786" s="97"/>
      <c r="AI786" s="97"/>
      <c r="AJ786" s="97"/>
      <c r="AK786" s="97"/>
      <c r="AL786" s="97"/>
      <c r="AM786" s="97"/>
      <c r="AN786" s="97"/>
      <c r="AO786" s="97"/>
      <c r="AP786" s="97"/>
      <c r="AQ786" s="97"/>
      <c r="AR786" s="97"/>
      <c r="AS786" s="97"/>
      <c r="AT786" s="97"/>
      <c r="AU786" s="97"/>
      <c r="AV786" s="97"/>
      <c r="AW786" s="97"/>
      <c r="AX786" s="97"/>
    </row>
    <row r="787" ht="15.75" customHeight="1">
      <c r="A787" s="176" t="s">
        <v>44</v>
      </c>
      <c r="B787" s="290" t="s">
        <v>5237</v>
      </c>
      <c r="C787" s="76" t="s">
        <v>6108</v>
      </c>
      <c r="D787" s="76" t="s">
        <v>6109</v>
      </c>
      <c r="E787" s="117" t="s">
        <v>6110</v>
      </c>
      <c r="F787" s="76"/>
      <c r="G787" s="76"/>
      <c r="H787" s="76"/>
      <c r="I787" s="176"/>
      <c r="J787" s="176"/>
      <c r="K787" s="176"/>
      <c r="L787" s="176"/>
      <c r="M787" s="176"/>
      <c r="N787" s="176"/>
      <c r="O787" s="176" t="s">
        <v>6111</v>
      </c>
      <c r="P787" s="176"/>
      <c r="Q787" s="176" t="s">
        <v>184</v>
      </c>
      <c r="R787" s="176"/>
      <c r="S787" s="176"/>
      <c r="T787" s="176"/>
      <c r="U787" s="176"/>
      <c r="V787" s="176"/>
      <c r="W787" s="176"/>
      <c r="X787" s="176"/>
      <c r="Y787" s="176"/>
      <c r="Z787" s="176"/>
      <c r="AA787" s="176"/>
      <c r="AB787" s="176"/>
      <c r="AC787" s="176"/>
      <c r="AD787" s="97"/>
      <c r="AE787" s="97"/>
      <c r="AF787" s="97"/>
      <c r="AG787" s="97"/>
      <c r="AH787" s="97"/>
      <c r="AI787" s="97"/>
      <c r="AJ787" s="97"/>
      <c r="AK787" s="97"/>
      <c r="AL787" s="97"/>
      <c r="AM787" s="97"/>
      <c r="AN787" s="97"/>
      <c r="AO787" s="97"/>
      <c r="AP787" s="97"/>
      <c r="AQ787" s="97"/>
      <c r="AR787" s="97"/>
      <c r="AS787" s="97"/>
      <c r="AT787" s="97"/>
      <c r="AU787" s="97"/>
      <c r="AV787" s="97"/>
      <c r="AW787" s="97"/>
      <c r="AX787" s="97"/>
    </row>
    <row r="788" ht="15.75" customHeight="1">
      <c r="A788" s="118" t="s">
        <v>541</v>
      </c>
      <c r="B788" s="120" t="s">
        <v>5239</v>
      </c>
      <c r="C788" s="76" t="s">
        <v>6112</v>
      </c>
      <c r="D788" s="76" t="s">
        <v>6113</v>
      </c>
      <c r="E788" s="117" t="s">
        <v>6114</v>
      </c>
      <c r="F788" s="76"/>
      <c r="G788" s="76"/>
      <c r="H788" s="76"/>
      <c r="I788" s="118"/>
      <c r="J788" s="120"/>
      <c r="K788" s="118"/>
      <c r="L788" s="118"/>
      <c r="M788" s="118"/>
      <c r="N788" s="118"/>
      <c r="O788" s="118"/>
      <c r="P788" s="118"/>
      <c r="Q788" s="118" t="s">
        <v>184</v>
      </c>
      <c r="R788" s="118"/>
      <c r="S788" s="118"/>
      <c r="T788" s="118"/>
      <c r="U788" s="118"/>
      <c r="V788" s="118"/>
      <c r="W788" s="118"/>
      <c r="X788" s="118"/>
      <c r="Y788" s="118"/>
      <c r="Z788" s="118"/>
      <c r="AA788" s="118"/>
      <c r="AB788" s="118"/>
      <c r="AC788" s="118"/>
      <c r="AD788" s="97"/>
      <c r="AE788" s="97"/>
      <c r="AF788" s="97"/>
      <c r="AG788" s="97"/>
      <c r="AH788" s="97"/>
      <c r="AI788" s="97"/>
      <c r="AJ788" s="97"/>
      <c r="AK788" s="97"/>
      <c r="AL788" s="97"/>
      <c r="AM788" s="97"/>
      <c r="AN788" s="97"/>
      <c r="AO788" s="97"/>
      <c r="AP788" s="97"/>
      <c r="AQ788" s="97"/>
      <c r="AR788" s="97"/>
      <c r="AS788" s="97"/>
      <c r="AT788" s="97"/>
      <c r="AU788" s="97"/>
      <c r="AV788" s="97"/>
      <c r="AW788" s="97"/>
      <c r="AX788" s="97"/>
    </row>
    <row r="789" ht="15.75" customHeight="1">
      <c r="A789" s="209" t="s">
        <v>238</v>
      </c>
      <c r="B789" s="210" t="s">
        <v>5240</v>
      </c>
      <c r="C789" s="76" t="s">
        <v>6115</v>
      </c>
      <c r="D789" s="76" t="s">
        <v>6116</v>
      </c>
      <c r="E789" s="117" t="s">
        <v>6117</v>
      </c>
      <c r="F789" s="76"/>
      <c r="G789" s="76"/>
      <c r="H789" s="76"/>
      <c r="I789" s="209"/>
      <c r="J789" s="209"/>
      <c r="K789" s="210"/>
      <c r="L789" s="210"/>
      <c r="M789" s="209"/>
      <c r="N789" s="209"/>
      <c r="O789" s="209" t="s">
        <v>6118</v>
      </c>
      <c r="P789" s="209"/>
      <c r="Q789" s="209" t="s">
        <v>184</v>
      </c>
      <c r="R789" s="209"/>
      <c r="S789" s="209"/>
      <c r="T789" s="209"/>
      <c r="U789" s="209"/>
      <c r="V789" s="209"/>
      <c r="W789" s="209"/>
      <c r="X789" s="209"/>
      <c r="Y789" s="209"/>
      <c r="Z789" s="209"/>
      <c r="AA789" s="209"/>
      <c r="AB789" s="209"/>
      <c r="AC789" s="209"/>
      <c r="AD789" s="97"/>
      <c r="AE789" s="97"/>
      <c r="AF789" s="97"/>
      <c r="AG789" s="97"/>
      <c r="AH789" s="97"/>
      <c r="AI789" s="97"/>
      <c r="AJ789" s="97"/>
      <c r="AK789" s="97"/>
      <c r="AL789" s="97"/>
      <c r="AM789" s="97"/>
      <c r="AN789" s="97"/>
      <c r="AO789" s="97"/>
      <c r="AP789" s="97"/>
      <c r="AQ789" s="97"/>
      <c r="AR789" s="97"/>
      <c r="AS789" s="97"/>
      <c r="AT789" s="97"/>
      <c r="AU789" s="97"/>
      <c r="AV789" s="97"/>
      <c r="AW789" s="97"/>
      <c r="AX789" s="97"/>
    </row>
    <row r="790" ht="15.75" customHeight="1">
      <c r="A790" s="205" t="s">
        <v>807</v>
      </c>
      <c r="B790" s="207" t="s">
        <v>5241</v>
      </c>
      <c r="C790" s="168" t="s">
        <v>5242</v>
      </c>
      <c r="D790" s="205"/>
      <c r="E790" s="205"/>
      <c r="F790" s="205"/>
      <c r="G790" s="205"/>
      <c r="H790" s="205"/>
      <c r="I790" s="205"/>
      <c r="J790" s="205"/>
      <c r="K790" s="205"/>
      <c r="L790" s="205"/>
      <c r="M790" s="207"/>
      <c r="N790" s="207"/>
      <c r="O790" s="207" t="s">
        <v>6118</v>
      </c>
      <c r="P790" s="205"/>
      <c r="Q790" s="205"/>
      <c r="R790" s="205"/>
      <c r="S790" s="205"/>
      <c r="T790" s="205"/>
      <c r="U790" s="207" t="s">
        <v>6119</v>
      </c>
      <c r="V790" s="205"/>
      <c r="W790" s="205"/>
      <c r="X790" s="205"/>
      <c r="Y790" s="205"/>
      <c r="Z790" s="205"/>
      <c r="AA790" s="205"/>
      <c r="AB790" s="205"/>
      <c r="AC790" s="205"/>
      <c r="AD790" s="97"/>
      <c r="AE790" s="97"/>
      <c r="AF790" s="97"/>
      <c r="AG790" s="97"/>
      <c r="AH790" s="97"/>
      <c r="AI790" s="97"/>
      <c r="AJ790" s="97"/>
      <c r="AK790" s="97"/>
      <c r="AL790" s="97"/>
      <c r="AM790" s="97"/>
      <c r="AN790" s="97"/>
      <c r="AO790" s="97"/>
      <c r="AP790" s="97"/>
      <c r="AQ790" s="97"/>
      <c r="AR790" s="97"/>
      <c r="AS790" s="97"/>
      <c r="AT790" s="97"/>
      <c r="AU790" s="97"/>
      <c r="AV790" s="97"/>
      <c r="AW790" s="97"/>
      <c r="AX790" s="97"/>
    </row>
    <row r="791" ht="15.75" customHeight="1">
      <c r="A791" s="182" t="s">
        <v>217</v>
      </c>
      <c r="B791" s="183" t="s">
        <v>5243</v>
      </c>
      <c r="C791" s="76" t="s">
        <v>6120</v>
      </c>
      <c r="D791" s="76" t="s">
        <v>6121</v>
      </c>
      <c r="E791" s="117" t="s">
        <v>6122</v>
      </c>
      <c r="F791" s="76" t="s">
        <v>6072</v>
      </c>
      <c r="G791" s="76" t="s">
        <v>6073</v>
      </c>
      <c r="H791" s="76" t="s">
        <v>6074</v>
      </c>
      <c r="I791" s="182"/>
      <c r="J791" s="183" t="s">
        <v>6075</v>
      </c>
      <c r="K791" s="182" t="s">
        <v>6076</v>
      </c>
      <c r="L791" s="182"/>
      <c r="M791" s="182"/>
      <c r="N791" s="182"/>
      <c r="O791" s="182"/>
      <c r="P791" s="182"/>
      <c r="Q791" s="182" t="s">
        <v>184</v>
      </c>
      <c r="R791" s="182"/>
      <c r="S791" s="182"/>
      <c r="T791" s="182"/>
      <c r="U791" s="182"/>
      <c r="V791" s="182"/>
      <c r="W791" s="182"/>
      <c r="X791" s="182"/>
      <c r="Y791" s="182"/>
      <c r="Z791" s="182"/>
      <c r="AA791" s="182"/>
      <c r="AB791" s="182"/>
      <c r="AC791" s="182"/>
      <c r="AD791" s="97"/>
      <c r="AE791" s="97"/>
      <c r="AF791" s="97"/>
      <c r="AG791" s="97"/>
      <c r="AH791" s="97"/>
      <c r="AI791" s="97"/>
      <c r="AJ791" s="97"/>
      <c r="AK791" s="97"/>
      <c r="AL791" s="97"/>
      <c r="AM791" s="97"/>
      <c r="AN791" s="97"/>
      <c r="AO791" s="97"/>
      <c r="AP791" s="97"/>
      <c r="AQ791" s="97"/>
      <c r="AR791" s="97"/>
      <c r="AS791" s="97"/>
      <c r="AT791" s="97"/>
      <c r="AU791" s="97"/>
      <c r="AV791" s="97"/>
      <c r="AW791" s="97"/>
      <c r="AX791" s="97"/>
    </row>
    <row r="792" ht="15.75" customHeight="1">
      <c r="A792" s="205" t="s">
        <v>842</v>
      </c>
      <c r="B792" s="205" t="s">
        <v>5241</v>
      </c>
      <c r="C792" s="169" t="s">
        <v>5242</v>
      </c>
      <c r="D792" s="205"/>
      <c r="E792" s="205"/>
      <c r="F792" s="205"/>
      <c r="G792" s="205"/>
      <c r="H792" s="205"/>
      <c r="I792" s="205"/>
      <c r="J792" s="205"/>
      <c r="K792" s="205"/>
      <c r="L792" s="205"/>
      <c r="M792" s="205"/>
      <c r="N792" s="205"/>
      <c r="O792" s="205"/>
      <c r="P792" s="205"/>
      <c r="Q792" s="205"/>
      <c r="R792" s="205"/>
      <c r="S792" s="205"/>
      <c r="T792" s="205"/>
      <c r="U792" s="205"/>
      <c r="V792" s="205"/>
      <c r="W792" s="205"/>
      <c r="X792" s="205"/>
      <c r="Y792" s="205"/>
      <c r="Z792" s="205"/>
      <c r="AA792" s="205"/>
      <c r="AB792" s="205"/>
      <c r="AC792" s="205"/>
      <c r="AD792" s="97"/>
      <c r="AE792" s="97"/>
      <c r="AF792" s="97"/>
      <c r="AG792" s="97"/>
      <c r="AH792" s="97"/>
      <c r="AI792" s="97"/>
      <c r="AJ792" s="97"/>
      <c r="AK792" s="97"/>
      <c r="AL792" s="97"/>
      <c r="AM792" s="97"/>
      <c r="AN792" s="97"/>
      <c r="AO792" s="97"/>
      <c r="AP792" s="97"/>
      <c r="AQ792" s="97"/>
      <c r="AR792" s="97"/>
      <c r="AS792" s="97"/>
      <c r="AT792" s="97"/>
      <c r="AU792" s="97"/>
      <c r="AV792" s="97"/>
      <c r="AW792" s="97"/>
      <c r="AX792" s="97"/>
    </row>
    <row r="793" ht="15.75" customHeight="1">
      <c r="A793" s="118" t="s">
        <v>541</v>
      </c>
      <c r="B793" s="120" t="s">
        <v>5245</v>
      </c>
      <c r="C793" s="76" t="s">
        <v>6123</v>
      </c>
      <c r="D793" s="76" t="s">
        <v>6124</v>
      </c>
      <c r="E793" s="117" t="s">
        <v>6125</v>
      </c>
      <c r="F793" s="76"/>
      <c r="G793" s="76"/>
      <c r="H793" s="76"/>
      <c r="I793" s="118"/>
      <c r="J793" s="120"/>
      <c r="K793" s="118"/>
      <c r="L793" s="118"/>
      <c r="M793" s="118"/>
      <c r="N793" s="118"/>
      <c r="O793" s="118"/>
      <c r="P793" s="118"/>
      <c r="Q793" s="118" t="s">
        <v>184</v>
      </c>
      <c r="R793" s="118"/>
      <c r="S793" s="118"/>
      <c r="T793" s="118"/>
      <c r="U793" s="118"/>
      <c r="V793" s="118"/>
      <c r="W793" s="118"/>
      <c r="X793" s="118"/>
      <c r="Y793" s="118"/>
      <c r="Z793" s="118"/>
      <c r="AA793" s="118"/>
      <c r="AB793" s="118"/>
      <c r="AC793" s="118"/>
      <c r="AD793" s="97"/>
      <c r="AE793" s="97"/>
      <c r="AF793" s="97"/>
      <c r="AG793" s="97"/>
      <c r="AH793" s="97"/>
      <c r="AI793" s="97"/>
      <c r="AJ793" s="97"/>
      <c r="AK793" s="97"/>
      <c r="AL793" s="97"/>
      <c r="AM793" s="97"/>
      <c r="AN793" s="97"/>
      <c r="AO793" s="97"/>
      <c r="AP793" s="97"/>
      <c r="AQ793" s="97"/>
      <c r="AR793" s="97"/>
      <c r="AS793" s="97"/>
      <c r="AT793" s="97"/>
      <c r="AU793" s="97"/>
      <c r="AV793" s="97"/>
      <c r="AW793" s="97"/>
      <c r="AX793" s="97"/>
    </row>
    <row r="794" ht="15.75" customHeight="1">
      <c r="A794" s="84" t="s">
        <v>161</v>
      </c>
      <c r="B794" s="86" t="s">
        <v>5250</v>
      </c>
      <c r="C794" s="82" t="s">
        <v>5251</v>
      </c>
      <c r="D794" s="84"/>
      <c r="E794" s="84"/>
      <c r="F794" s="84"/>
      <c r="G794" s="84"/>
      <c r="H794" s="84"/>
      <c r="I794" s="84"/>
      <c r="J794" s="86" t="s">
        <v>1811</v>
      </c>
      <c r="K794" s="84"/>
      <c r="L794" s="84"/>
      <c r="M794" s="86"/>
      <c r="N794" s="86"/>
      <c r="O794" s="86"/>
      <c r="P794" s="84"/>
      <c r="Q794" s="84"/>
      <c r="R794" s="84"/>
      <c r="S794" s="84"/>
      <c r="T794" s="84"/>
      <c r="U794" s="84"/>
      <c r="V794" s="84"/>
      <c r="W794" s="84"/>
      <c r="X794" s="84"/>
      <c r="Y794" s="84"/>
      <c r="Z794" s="84"/>
      <c r="AA794" s="84"/>
      <c r="AB794" s="84"/>
      <c r="AC794" s="84"/>
      <c r="AD794" s="97"/>
      <c r="AE794" s="97"/>
      <c r="AF794" s="97"/>
      <c r="AG794" s="97"/>
      <c r="AH794" s="97"/>
      <c r="AI794" s="97"/>
      <c r="AJ794" s="97"/>
      <c r="AK794" s="97"/>
      <c r="AL794" s="97"/>
      <c r="AM794" s="97"/>
      <c r="AN794" s="97"/>
      <c r="AO794" s="97"/>
      <c r="AP794" s="97"/>
      <c r="AQ794" s="97"/>
      <c r="AR794" s="97"/>
      <c r="AS794" s="97"/>
      <c r="AT794" s="97"/>
      <c r="AU794" s="97"/>
      <c r="AV794" s="97"/>
      <c r="AW794" s="97"/>
      <c r="AX794" s="97"/>
    </row>
    <row r="795" ht="15.75" customHeight="1">
      <c r="A795" s="182" t="s">
        <v>217</v>
      </c>
      <c r="B795" s="183" t="s">
        <v>5252</v>
      </c>
      <c r="C795" s="76" t="s">
        <v>6126</v>
      </c>
      <c r="D795" s="76" t="s">
        <v>6127</v>
      </c>
      <c r="E795" s="117" t="s">
        <v>6128</v>
      </c>
      <c r="F795" s="76"/>
      <c r="G795" s="76"/>
      <c r="H795" s="76"/>
      <c r="I795" s="182"/>
      <c r="J795" s="183"/>
      <c r="K795" s="182"/>
      <c r="L795" s="182"/>
      <c r="M795" s="182"/>
      <c r="N795" s="182"/>
      <c r="O795" s="182" t="s">
        <v>6129</v>
      </c>
      <c r="P795" s="182"/>
      <c r="Q795" s="182" t="s">
        <v>184</v>
      </c>
      <c r="R795" s="182"/>
      <c r="S795" s="182"/>
      <c r="T795" s="182"/>
      <c r="U795" s="182"/>
      <c r="V795" s="182"/>
      <c r="W795" s="182"/>
      <c r="X795" s="182"/>
      <c r="Y795" s="182"/>
      <c r="Z795" s="182"/>
      <c r="AA795" s="182"/>
      <c r="AB795" s="182"/>
      <c r="AC795" s="182"/>
      <c r="AD795" s="97"/>
      <c r="AE795" s="97"/>
      <c r="AF795" s="97"/>
      <c r="AG795" s="97"/>
      <c r="AH795" s="97"/>
      <c r="AI795" s="97"/>
      <c r="AJ795" s="97"/>
      <c r="AK795" s="97"/>
      <c r="AL795" s="97"/>
      <c r="AM795" s="97"/>
      <c r="AN795" s="97"/>
      <c r="AO795" s="97"/>
      <c r="AP795" s="97"/>
      <c r="AQ795" s="97"/>
      <c r="AR795" s="97"/>
      <c r="AS795" s="97"/>
      <c r="AT795" s="97"/>
      <c r="AU795" s="97"/>
      <c r="AV795" s="97"/>
      <c r="AW795" s="97"/>
      <c r="AX795" s="97"/>
    </row>
    <row r="796" ht="15.75" customHeight="1">
      <c r="A796" s="182" t="s">
        <v>217</v>
      </c>
      <c r="B796" s="183" t="s">
        <v>5253</v>
      </c>
      <c r="C796" s="76" t="s">
        <v>6130</v>
      </c>
      <c r="D796" s="76" t="s">
        <v>6131</v>
      </c>
      <c r="E796" s="117" t="s">
        <v>6132</v>
      </c>
      <c r="F796" s="76"/>
      <c r="G796" s="76"/>
      <c r="H796" s="76"/>
      <c r="I796" s="182"/>
      <c r="J796" s="183"/>
      <c r="K796" s="182"/>
      <c r="L796" s="182"/>
      <c r="M796" s="182"/>
      <c r="N796" s="182"/>
      <c r="O796" s="182" t="s">
        <v>6129</v>
      </c>
      <c r="P796" s="182"/>
      <c r="Q796" s="182" t="s">
        <v>184</v>
      </c>
      <c r="R796" s="182"/>
      <c r="S796" s="182"/>
      <c r="T796" s="182"/>
      <c r="U796" s="182"/>
      <c r="V796" s="182"/>
      <c r="W796" s="182"/>
      <c r="X796" s="182"/>
      <c r="Y796" s="182"/>
      <c r="Z796" s="182"/>
      <c r="AA796" s="182"/>
      <c r="AB796" s="182"/>
      <c r="AC796" s="182"/>
      <c r="AD796" s="97"/>
      <c r="AE796" s="97"/>
      <c r="AF796" s="97"/>
      <c r="AG796" s="97"/>
      <c r="AH796" s="97"/>
      <c r="AI796" s="97"/>
      <c r="AJ796" s="97"/>
      <c r="AK796" s="97"/>
      <c r="AL796" s="97"/>
      <c r="AM796" s="97"/>
      <c r="AN796" s="97"/>
      <c r="AO796" s="97"/>
      <c r="AP796" s="97"/>
      <c r="AQ796" s="97"/>
      <c r="AR796" s="97"/>
      <c r="AS796" s="97"/>
      <c r="AT796" s="97"/>
      <c r="AU796" s="97"/>
      <c r="AV796" s="97"/>
      <c r="AW796" s="97"/>
      <c r="AX796" s="97"/>
    </row>
    <row r="797" ht="15.75" customHeight="1">
      <c r="A797" s="84" t="s">
        <v>343</v>
      </c>
      <c r="B797" s="84" t="s">
        <v>5250</v>
      </c>
      <c r="C797" s="83" t="s">
        <v>5251</v>
      </c>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97"/>
      <c r="AE797" s="97"/>
      <c r="AF797" s="97"/>
      <c r="AG797" s="97"/>
      <c r="AH797" s="97"/>
      <c r="AI797" s="97"/>
      <c r="AJ797" s="97"/>
      <c r="AK797" s="97"/>
      <c r="AL797" s="97"/>
      <c r="AM797" s="97"/>
      <c r="AN797" s="97"/>
      <c r="AO797" s="97"/>
      <c r="AP797" s="97"/>
      <c r="AQ797" s="97"/>
      <c r="AR797" s="97"/>
      <c r="AS797" s="97"/>
      <c r="AT797" s="97"/>
      <c r="AU797" s="97"/>
      <c r="AV797" s="97"/>
      <c r="AW797" s="97"/>
      <c r="AX797" s="97"/>
    </row>
    <row r="798" ht="15.75" customHeight="1">
      <c r="A798" s="134" t="s">
        <v>115</v>
      </c>
      <c r="B798" s="149" t="s">
        <v>5254</v>
      </c>
      <c r="C798" s="133"/>
      <c r="D798" s="134"/>
      <c r="E798" s="134"/>
      <c r="F798" s="134"/>
      <c r="G798" s="134"/>
      <c r="H798" s="134"/>
      <c r="I798" s="134"/>
      <c r="J798" s="134"/>
      <c r="K798" s="134"/>
      <c r="L798" s="134"/>
      <c r="M798" s="134"/>
      <c r="N798" s="134"/>
      <c r="O798" s="134"/>
      <c r="P798" s="134"/>
      <c r="Q798" s="134"/>
      <c r="R798" s="134"/>
      <c r="S798" s="134"/>
      <c r="T798" s="149" t="s">
        <v>6133</v>
      </c>
      <c r="U798" s="134"/>
      <c r="V798" s="134"/>
      <c r="W798" s="134"/>
      <c r="X798" s="134"/>
      <c r="Y798" s="134"/>
      <c r="Z798" s="134"/>
      <c r="AA798" s="134"/>
      <c r="AB798" s="134"/>
      <c r="AC798" s="134"/>
      <c r="AD798" s="97"/>
      <c r="AE798" s="97"/>
      <c r="AF798" s="97"/>
      <c r="AG798" s="97"/>
      <c r="AH798" s="97"/>
      <c r="AI798" s="97"/>
      <c r="AJ798" s="97"/>
      <c r="AK798" s="97"/>
      <c r="AL798" s="97"/>
      <c r="AM798" s="97"/>
      <c r="AN798" s="97"/>
      <c r="AO798" s="97"/>
      <c r="AP798" s="97"/>
      <c r="AQ798" s="97"/>
      <c r="AR798" s="97"/>
      <c r="AS798" s="97"/>
      <c r="AT798" s="97"/>
      <c r="AU798" s="97"/>
      <c r="AV798" s="97"/>
      <c r="AW798" s="97"/>
      <c r="AX798" s="97"/>
    </row>
    <row r="799" ht="15.75" customHeight="1">
      <c r="A799" s="182" t="s">
        <v>217</v>
      </c>
      <c r="B799" s="183" t="s">
        <v>5255</v>
      </c>
      <c r="C799" s="76" t="s">
        <v>6134</v>
      </c>
      <c r="D799" s="76" t="s">
        <v>6135</v>
      </c>
      <c r="E799" s="117" t="s">
        <v>6136</v>
      </c>
      <c r="F799" s="76" t="s">
        <v>6072</v>
      </c>
      <c r="G799" s="76" t="s">
        <v>6073</v>
      </c>
      <c r="H799" s="76" t="s">
        <v>6074</v>
      </c>
      <c r="I799" s="182"/>
      <c r="J799" s="183" t="s">
        <v>6075</v>
      </c>
      <c r="K799" s="182" t="s">
        <v>6076</v>
      </c>
      <c r="L799" s="182"/>
      <c r="M799" s="182"/>
      <c r="N799" s="182"/>
      <c r="O799" s="182" t="s">
        <v>6129</v>
      </c>
      <c r="P799" s="182"/>
      <c r="Q799" s="182" t="s">
        <v>184</v>
      </c>
      <c r="R799" s="182"/>
      <c r="S799" s="182"/>
      <c r="T799" s="182"/>
      <c r="U799" s="182"/>
      <c r="V799" s="182"/>
      <c r="W799" s="182"/>
      <c r="X799" s="182"/>
      <c r="Y799" s="182"/>
      <c r="Z799" s="182"/>
      <c r="AA799" s="182"/>
      <c r="AB799" s="182"/>
      <c r="AC799" s="182"/>
      <c r="AD799" s="97"/>
      <c r="AE799" s="97"/>
      <c r="AF799" s="97"/>
      <c r="AG799" s="97"/>
      <c r="AH799" s="97"/>
      <c r="AI799" s="97"/>
      <c r="AJ799" s="97"/>
      <c r="AK799" s="97"/>
      <c r="AL799" s="97"/>
      <c r="AM799" s="97"/>
      <c r="AN799" s="97"/>
      <c r="AO799" s="97"/>
      <c r="AP799" s="97"/>
      <c r="AQ799" s="97"/>
      <c r="AR799" s="97"/>
      <c r="AS799" s="97"/>
      <c r="AT799" s="97"/>
      <c r="AU799" s="97"/>
      <c r="AV799" s="97"/>
      <c r="AW799" s="97"/>
      <c r="AX799" s="97"/>
    </row>
    <row r="800" ht="15.75" customHeight="1">
      <c r="A800" s="118" t="s">
        <v>2338</v>
      </c>
      <c r="B800" s="120" t="s">
        <v>5256</v>
      </c>
      <c r="C800" s="76" t="s">
        <v>6137</v>
      </c>
      <c r="D800" s="76" t="s">
        <v>6138</v>
      </c>
      <c r="E800" s="117" t="s">
        <v>6139</v>
      </c>
      <c r="F800" s="76"/>
      <c r="G800" s="76"/>
      <c r="H800" s="76"/>
      <c r="I800" s="118"/>
      <c r="J800" s="120"/>
      <c r="K800" s="118"/>
      <c r="L800" s="118"/>
      <c r="M800" s="118"/>
      <c r="N800" s="118"/>
      <c r="O800" s="118" t="s">
        <v>6129</v>
      </c>
      <c r="P800" s="118"/>
      <c r="Q800" s="118" t="s">
        <v>184</v>
      </c>
      <c r="R800" s="118"/>
      <c r="S800" s="118"/>
      <c r="T800" s="118"/>
      <c r="U800" s="118"/>
      <c r="V800" s="118"/>
      <c r="W800" s="118"/>
      <c r="X800" s="118"/>
      <c r="Y800" s="118"/>
      <c r="Z800" s="118"/>
      <c r="AA800" s="118"/>
      <c r="AB800" s="118"/>
      <c r="AC800" s="118"/>
      <c r="AD800" s="97"/>
      <c r="AE800" s="97"/>
      <c r="AF800" s="97"/>
      <c r="AG800" s="97"/>
      <c r="AH800" s="97"/>
      <c r="AI800" s="97"/>
      <c r="AJ800" s="97"/>
      <c r="AK800" s="97"/>
      <c r="AL800" s="97"/>
      <c r="AM800" s="97"/>
      <c r="AN800" s="97"/>
      <c r="AO800" s="97"/>
      <c r="AP800" s="97"/>
      <c r="AQ800" s="97"/>
      <c r="AR800" s="97"/>
      <c r="AS800" s="97"/>
      <c r="AT800" s="97"/>
      <c r="AU800" s="97"/>
      <c r="AV800" s="97"/>
      <c r="AW800" s="97"/>
      <c r="AX800" s="97"/>
    </row>
    <row r="801" ht="15.75" customHeight="1">
      <c r="A801" s="118" t="s">
        <v>541</v>
      </c>
      <c r="B801" s="120" t="s">
        <v>5259</v>
      </c>
      <c r="C801" s="76" t="s">
        <v>6140</v>
      </c>
      <c r="D801" s="76" t="s">
        <v>6141</v>
      </c>
      <c r="E801" s="117" t="s">
        <v>6142</v>
      </c>
      <c r="F801" s="76"/>
      <c r="G801" s="76"/>
      <c r="H801" s="76"/>
      <c r="I801" s="118"/>
      <c r="J801" s="120"/>
      <c r="K801" s="118"/>
      <c r="L801" s="118"/>
      <c r="M801" s="118"/>
      <c r="N801" s="118"/>
      <c r="O801" s="118" t="s">
        <v>6129</v>
      </c>
      <c r="P801" s="118"/>
      <c r="Q801" s="118" t="s">
        <v>184</v>
      </c>
      <c r="R801" s="118"/>
      <c r="S801" s="118"/>
      <c r="T801" s="118"/>
      <c r="U801" s="118"/>
      <c r="V801" s="118"/>
      <c r="W801" s="118"/>
      <c r="X801" s="118"/>
      <c r="Y801" s="118"/>
      <c r="Z801" s="118"/>
      <c r="AA801" s="118"/>
      <c r="AB801" s="118"/>
      <c r="AC801" s="118"/>
      <c r="AD801" s="97"/>
      <c r="AE801" s="97"/>
      <c r="AF801" s="97"/>
      <c r="AG801" s="97"/>
      <c r="AH801" s="97"/>
      <c r="AI801" s="97"/>
      <c r="AJ801" s="97"/>
      <c r="AK801" s="97"/>
      <c r="AL801" s="97"/>
      <c r="AM801" s="97"/>
      <c r="AN801" s="97"/>
      <c r="AO801" s="97"/>
      <c r="AP801" s="97"/>
      <c r="AQ801" s="97"/>
      <c r="AR801" s="97"/>
      <c r="AS801" s="97"/>
      <c r="AT801" s="97"/>
      <c r="AU801" s="97"/>
      <c r="AV801" s="97"/>
      <c r="AW801" s="97"/>
      <c r="AX801" s="97"/>
    </row>
    <row r="802" ht="15.75" customHeight="1">
      <c r="A802" s="176" t="s">
        <v>44</v>
      </c>
      <c r="B802" s="290" t="s">
        <v>5263</v>
      </c>
      <c r="C802" s="76" t="s">
        <v>6143</v>
      </c>
      <c r="D802" s="76" t="s">
        <v>6144</v>
      </c>
      <c r="E802" s="117" t="s">
        <v>6145</v>
      </c>
      <c r="F802" s="76"/>
      <c r="G802" s="76"/>
      <c r="H802" s="76"/>
      <c r="I802" s="176"/>
      <c r="J802" s="176"/>
      <c r="K802" s="176"/>
      <c r="L802" s="176"/>
      <c r="M802" s="176"/>
      <c r="N802" s="176"/>
      <c r="O802" s="176" t="s">
        <v>6146</v>
      </c>
      <c r="P802" s="176"/>
      <c r="Q802" s="176" t="s">
        <v>184</v>
      </c>
      <c r="R802" s="176"/>
      <c r="S802" s="176"/>
      <c r="T802" s="176"/>
      <c r="U802" s="176"/>
      <c r="V802" s="176"/>
      <c r="W802" s="176"/>
      <c r="X802" s="176"/>
      <c r="Y802" s="176"/>
      <c r="Z802" s="176"/>
      <c r="AA802" s="176"/>
      <c r="AB802" s="176"/>
      <c r="AC802" s="176"/>
      <c r="AD802" s="97"/>
      <c r="AE802" s="97"/>
      <c r="AF802" s="97"/>
      <c r="AG802" s="97"/>
      <c r="AH802" s="97"/>
      <c r="AI802" s="97"/>
      <c r="AJ802" s="97"/>
      <c r="AK802" s="97"/>
      <c r="AL802" s="97"/>
      <c r="AM802" s="97"/>
      <c r="AN802" s="97"/>
      <c r="AO802" s="97"/>
      <c r="AP802" s="97"/>
      <c r="AQ802" s="97"/>
      <c r="AR802" s="97"/>
      <c r="AS802" s="97"/>
      <c r="AT802" s="97"/>
      <c r="AU802" s="97"/>
      <c r="AV802" s="97"/>
      <c r="AW802" s="97"/>
      <c r="AX802" s="97"/>
    </row>
    <row r="803" ht="15.75" customHeight="1">
      <c r="A803" s="118" t="s">
        <v>5213</v>
      </c>
      <c r="B803" s="120" t="s">
        <v>5264</v>
      </c>
      <c r="C803" s="76" t="s">
        <v>6147</v>
      </c>
      <c r="D803" s="76" t="s">
        <v>6148</v>
      </c>
      <c r="E803" s="117" t="s">
        <v>6149</v>
      </c>
      <c r="F803" s="76"/>
      <c r="G803" s="76"/>
      <c r="H803" s="76"/>
      <c r="I803" s="118"/>
      <c r="J803" s="120"/>
      <c r="K803" s="118"/>
      <c r="L803" s="118"/>
      <c r="M803" s="118"/>
      <c r="N803" s="118"/>
      <c r="O803" s="118" t="s">
        <v>6129</v>
      </c>
      <c r="P803" s="118"/>
      <c r="Q803" s="118" t="s">
        <v>184</v>
      </c>
      <c r="R803" s="118"/>
      <c r="S803" s="118"/>
      <c r="T803" s="118"/>
      <c r="U803" s="118"/>
      <c r="V803" s="118"/>
      <c r="W803" s="118"/>
      <c r="X803" s="118"/>
      <c r="Y803" s="118"/>
      <c r="Z803" s="118"/>
      <c r="AA803" s="118"/>
      <c r="AB803" s="118"/>
      <c r="AC803" s="118"/>
      <c r="AD803" s="97"/>
      <c r="AE803" s="97"/>
      <c r="AF803" s="97"/>
      <c r="AG803" s="97"/>
      <c r="AH803" s="97"/>
      <c r="AI803" s="97"/>
      <c r="AJ803" s="97"/>
      <c r="AK803" s="97"/>
      <c r="AL803" s="97"/>
      <c r="AM803" s="97"/>
      <c r="AN803" s="97"/>
      <c r="AO803" s="97"/>
      <c r="AP803" s="97"/>
      <c r="AQ803" s="97"/>
      <c r="AR803" s="97"/>
      <c r="AS803" s="97"/>
      <c r="AT803" s="97"/>
      <c r="AU803" s="97"/>
      <c r="AV803" s="97"/>
      <c r="AW803" s="97"/>
      <c r="AX803" s="97"/>
    </row>
    <row r="804" ht="15.75" customHeight="1">
      <c r="A804" s="176" t="s">
        <v>44</v>
      </c>
      <c r="B804" s="290" t="s">
        <v>5265</v>
      </c>
      <c r="C804" s="76" t="s">
        <v>6150</v>
      </c>
      <c r="D804" s="76" t="s">
        <v>6151</v>
      </c>
      <c r="E804" s="117" t="s">
        <v>6152</v>
      </c>
      <c r="F804" s="76"/>
      <c r="G804" s="76"/>
      <c r="H804" s="76"/>
      <c r="I804" s="176"/>
      <c r="J804" s="176"/>
      <c r="K804" s="176"/>
      <c r="L804" s="176"/>
      <c r="M804" s="176"/>
      <c r="N804" s="176"/>
      <c r="O804" s="176" t="s">
        <v>6153</v>
      </c>
      <c r="P804" s="176"/>
      <c r="Q804" s="176" t="s">
        <v>184</v>
      </c>
      <c r="R804" s="176"/>
      <c r="S804" s="176"/>
      <c r="T804" s="176"/>
      <c r="U804" s="176"/>
      <c r="V804" s="176"/>
      <c r="W804" s="176"/>
      <c r="X804" s="176"/>
      <c r="Y804" s="176"/>
      <c r="Z804" s="176"/>
      <c r="AA804" s="176"/>
      <c r="AB804" s="176"/>
      <c r="AC804" s="176"/>
      <c r="AD804" s="97"/>
      <c r="AE804" s="97"/>
      <c r="AF804" s="97"/>
      <c r="AG804" s="97"/>
      <c r="AH804" s="97"/>
      <c r="AI804" s="97"/>
      <c r="AJ804" s="97"/>
      <c r="AK804" s="97"/>
      <c r="AL804" s="97"/>
      <c r="AM804" s="97"/>
      <c r="AN804" s="97"/>
      <c r="AO804" s="97"/>
      <c r="AP804" s="97"/>
      <c r="AQ804" s="97"/>
      <c r="AR804" s="97"/>
      <c r="AS804" s="97"/>
      <c r="AT804" s="97"/>
      <c r="AU804" s="97"/>
      <c r="AV804" s="97"/>
      <c r="AW804" s="97"/>
      <c r="AX804" s="97"/>
    </row>
    <row r="805" ht="15.75" customHeight="1">
      <c r="A805" s="118" t="s">
        <v>541</v>
      </c>
      <c r="B805" s="120" t="s">
        <v>5266</v>
      </c>
      <c r="C805" s="76" t="s">
        <v>6154</v>
      </c>
      <c r="D805" s="76" t="s">
        <v>6155</v>
      </c>
      <c r="E805" s="117" t="s">
        <v>6156</v>
      </c>
      <c r="F805" s="76"/>
      <c r="G805" s="76"/>
      <c r="H805" s="76"/>
      <c r="I805" s="118"/>
      <c r="J805" s="120"/>
      <c r="K805" s="118"/>
      <c r="L805" s="118"/>
      <c r="M805" s="118"/>
      <c r="N805" s="118"/>
      <c r="O805" s="118" t="s">
        <v>6129</v>
      </c>
      <c r="P805" s="118"/>
      <c r="Q805" s="118" t="s">
        <v>184</v>
      </c>
      <c r="R805" s="118"/>
      <c r="S805" s="118"/>
      <c r="T805" s="118"/>
      <c r="U805" s="118"/>
      <c r="V805" s="118"/>
      <c r="W805" s="118"/>
      <c r="X805" s="118"/>
      <c r="Y805" s="118"/>
      <c r="Z805" s="118"/>
      <c r="AA805" s="118"/>
      <c r="AB805" s="118"/>
      <c r="AC805" s="118"/>
      <c r="AD805" s="97"/>
      <c r="AE805" s="97"/>
      <c r="AF805" s="97"/>
      <c r="AG805" s="97"/>
      <c r="AH805" s="97"/>
      <c r="AI805" s="97"/>
      <c r="AJ805" s="97"/>
      <c r="AK805" s="97"/>
      <c r="AL805" s="97"/>
      <c r="AM805" s="97"/>
      <c r="AN805" s="97"/>
      <c r="AO805" s="97"/>
      <c r="AP805" s="97"/>
      <c r="AQ805" s="97"/>
      <c r="AR805" s="97"/>
      <c r="AS805" s="97"/>
      <c r="AT805" s="97"/>
      <c r="AU805" s="97"/>
      <c r="AV805" s="97"/>
      <c r="AW805" s="97"/>
      <c r="AX805" s="97"/>
    </row>
    <row r="806" ht="15.75" customHeight="1">
      <c r="A806" s="84" t="s">
        <v>161</v>
      </c>
      <c r="B806" s="86" t="s">
        <v>5267</v>
      </c>
      <c r="C806" s="82" t="s">
        <v>5268</v>
      </c>
      <c r="D806" s="84"/>
      <c r="E806" s="84"/>
      <c r="F806" s="84"/>
      <c r="G806" s="84"/>
      <c r="H806" s="86"/>
      <c r="I806" s="84"/>
      <c r="J806" s="86" t="s">
        <v>1811</v>
      </c>
      <c r="K806" s="84"/>
      <c r="L806" s="84"/>
      <c r="M806" s="86"/>
      <c r="N806" s="86"/>
      <c r="O806" s="86"/>
      <c r="P806" s="84"/>
      <c r="Q806" s="84"/>
      <c r="R806" s="84"/>
      <c r="S806" s="84"/>
      <c r="T806" s="84"/>
      <c r="U806" s="84"/>
      <c r="V806" s="84"/>
      <c r="W806" s="84"/>
      <c r="X806" s="84"/>
      <c r="Y806" s="84"/>
      <c r="Z806" s="84"/>
      <c r="AA806" s="84"/>
      <c r="AB806" s="84"/>
      <c r="AC806" s="84"/>
      <c r="AD806" s="97"/>
      <c r="AE806" s="97"/>
      <c r="AF806" s="97"/>
      <c r="AG806" s="97"/>
      <c r="AH806" s="97"/>
      <c r="AI806" s="97"/>
      <c r="AJ806" s="97"/>
      <c r="AK806" s="97"/>
      <c r="AL806" s="97"/>
      <c r="AM806" s="97"/>
      <c r="AN806" s="97"/>
      <c r="AO806" s="97"/>
      <c r="AP806" s="97"/>
      <c r="AQ806" s="97"/>
      <c r="AR806" s="97"/>
      <c r="AS806" s="97"/>
      <c r="AT806" s="97"/>
      <c r="AU806" s="97"/>
      <c r="AV806" s="97"/>
      <c r="AW806" s="97"/>
      <c r="AX806" s="97"/>
    </row>
    <row r="807" ht="15.75" customHeight="1">
      <c r="A807" s="182" t="s">
        <v>217</v>
      </c>
      <c r="B807" s="183" t="s">
        <v>5270</v>
      </c>
      <c r="C807" s="76" t="s">
        <v>6157</v>
      </c>
      <c r="D807" s="76" t="s">
        <v>6158</v>
      </c>
      <c r="E807" s="117" t="s">
        <v>6159</v>
      </c>
      <c r="F807" s="76"/>
      <c r="G807" s="76"/>
      <c r="H807" s="76"/>
      <c r="I807" s="182"/>
      <c r="J807" s="183"/>
      <c r="K807" s="182"/>
      <c r="L807" s="182"/>
      <c r="M807" s="182"/>
      <c r="N807" s="182"/>
      <c r="O807" s="182" t="s">
        <v>6160</v>
      </c>
      <c r="P807" s="182"/>
      <c r="Q807" s="182" t="s">
        <v>184</v>
      </c>
      <c r="R807" s="182"/>
      <c r="S807" s="182"/>
      <c r="T807" s="182"/>
      <c r="U807" s="182"/>
      <c r="V807" s="182"/>
      <c r="W807" s="182"/>
      <c r="X807" s="182"/>
      <c r="Y807" s="182"/>
      <c r="Z807" s="182"/>
      <c r="AA807" s="182"/>
      <c r="AB807" s="182"/>
      <c r="AC807" s="182"/>
      <c r="AD807" s="97"/>
      <c r="AE807" s="97"/>
      <c r="AF807" s="97"/>
      <c r="AG807" s="97"/>
      <c r="AH807" s="97"/>
      <c r="AI807" s="97"/>
      <c r="AJ807" s="97"/>
      <c r="AK807" s="97"/>
      <c r="AL807" s="97"/>
      <c r="AM807" s="97"/>
      <c r="AN807" s="97"/>
      <c r="AO807" s="97"/>
      <c r="AP807" s="97"/>
      <c r="AQ807" s="97"/>
      <c r="AR807" s="97"/>
      <c r="AS807" s="97"/>
      <c r="AT807" s="97"/>
      <c r="AU807" s="97"/>
      <c r="AV807" s="97"/>
      <c r="AW807" s="97"/>
      <c r="AX807" s="97"/>
    </row>
    <row r="808" ht="15.75" customHeight="1">
      <c r="A808" s="182" t="s">
        <v>217</v>
      </c>
      <c r="B808" s="183" t="s">
        <v>5274</v>
      </c>
      <c r="C808" s="76" t="s">
        <v>6161</v>
      </c>
      <c r="D808" s="76" t="s">
        <v>6162</v>
      </c>
      <c r="E808" s="117" t="s">
        <v>6163</v>
      </c>
      <c r="F808" s="76"/>
      <c r="G808" s="76"/>
      <c r="H808" s="76"/>
      <c r="I808" s="182"/>
      <c r="J808" s="183"/>
      <c r="K808" s="182"/>
      <c r="L808" s="182"/>
      <c r="M808" s="182"/>
      <c r="N808" s="182"/>
      <c r="O808" s="182" t="s">
        <v>6160</v>
      </c>
      <c r="P808" s="182"/>
      <c r="Q808" s="182" t="s">
        <v>184</v>
      </c>
      <c r="R808" s="182"/>
      <c r="S808" s="182"/>
      <c r="T808" s="182"/>
      <c r="U808" s="182"/>
      <c r="V808" s="182"/>
      <c r="W808" s="182"/>
      <c r="X808" s="182"/>
      <c r="Y808" s="182"/>
      <c r="Z808" s="182"/>
      <c r="AA808" s="182"/>
      <c r="AB808" s="182"/>
      <c r="AC808" s="182"/>
      <c r="AD808" s="97"/>
      <c r="AE808" s="97"/>
      <c r="AF808" s="97"/>
      <c r="AG808" s="97"/>
      <c r="AH808" s="97"/>
      <c r="AI808" s="97"/>
      <c r="AJ808" s="97"/>
      <c r="AK808" s="97"/>
      <c r="AL808" s="97"/>
      <c r="AM808" s="97"/>
      <c r="AN808" s="97"/>
      <c r="AO808" s="97"/>
      <c r="AP808" s="97"/>
      <c r="AQ808" s="97"/>
      <c r="AR808" s="97"/>
      <c r="AS808" s="97"/>
      <c r="AT808" s="97"/>
      <c r="AU808" s="97"/>
      <c r="AV808" s="97"/>
      <c r="AW808" s="97"/>
      <c r="AX808" s="97"/>
    </row>
    <row r="809" ht="15.75" customHeight="1">
      <c r="A809" s="84" t="s">
        <v>343</v>
      </c>
      <c r="B809" s="84" t="s">
        <v>5267</v>
      </c>
      <c r="C809" s="83" t="s">
        <v>5268</v>
      </c>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97"/>
      <c r="AE809" s="97"/>
      <c r="AF809" s="97"/>
      <c r="AG809" s="97"/>
      <c r="AH809" s="97"/>
      <c r="AI809" s="97"/>
      <c r="AJ809" s="97"/>
      <c r="AK809" s="97"/>
      <c r="AL809" s="97"/>
      <c r="AM809" s="97"/>
      <c r="AN809" s="97"/>
      <c r="AO809" s="97"/>
      <c r="AP809" s="97"/>
      <c r="AQ809" s="97"/>
      <c r="AR809" s="97"/>
      <c r="AS809" s="97"/>
      <c r="AT809" s="97"/>
      <c r="AU809" s="97"/>
      <c r="AV809" s="97"/>
      <c r="AW809" s="97"/>
      <c r="AX809" s="97"/>
    </row>
    <row r="810" ht="15.75" customHeight="1">
      <c r="A810" s="134" t="s">
        <v>115</v>
      </c>
      <c r="B810" s="149" t="s">
        <v>5279</v>
      </c>
      <c r="C810" s="133"/>
      <c r="D810" s="134"/>
      <c r="E810" s="134"/>
      <c r="F810" s="134"/>
      <c r="G810" s="134"/>
      <c r="H810" s="134"/>
      <c r="I810" s="134"/>
      <c r="J810" s="134"/>
      <c r="K810" s="134"/>
      <c r="L810" s="134"/>
      <c r="M810" s="134"/>
      <c r="N810" s="134"/>
      <c r="O810" s="134"/>
      <c r="P810" s="134"/>
      <c r="Q810" s="134"/>
      <c r="R810" s="134"/>
      <c r="S810" s="134"/>
      <c r="T810" s="149" t="s">
        <v>6164</v>
      </c>
      <c r="U810" s="134"/>
      <c r="V810" s="134"/>
      <c r="W810" s="134"/>
      <c r="X810" s="134"/>
      <c r="Y810" s="134"/>
      <c r="Z810" s="134"/>
      <c r="AA810" s="134"/>
      <c r="AB810" s="134"/>
      <c r="AC810" s="134"/>
      <c r="AD810" s="97"/>
      <c r="AE810" s="97"/>
      <c r="AF810" s="97"/>
      <c r="AG810" s="97"/>
      <c r="AH810" s="97"/>
      <c r="AI810" s="97"/>
      <c r="AJ810" s="97"/>
      <c r="AK810" s="97"/>
      <c r="AL810" s="97"/>
      <c r="AM810" s="97"/>
      <c r="AN810" s="97"/>
      <c r="AO810" s="97"/>
      <c r="AP810" s="97"/>
      <c r="AQ810" s="97"/>
      <c r="AR810" s="97"/>
      <c r="AS810" s="97"/>
      <c r="AT810" s="97"/>
      <c r="AU810" s="97"/>
      <c r="AV810" s="97"/>
      <c r="AW810" s="97"/>
      <c r="AX810" s="97"/>
    </row>
    <row r="811" ht="15.75" customHeight="1">
      <c r="A811" s="182" t="s">
        <v>217</v>
      </c>
      <c r="B811" s="183" t="s">
        <v>5280</v>
      </c>
      <c r="C811" s="76" t="s">
        <v>6165</v>
      </c>
      <c r="D811" s="76" t="s">
        <v>6166</v>
      </c>
      <c r="E811" s="117" t="s">
        <v>6167</v>
      </c>
      <c r="F811" s="76" t="s">
        <v>6072</v>
      </c>
      <c r="G811" s="76" t="s">
        <v>6168</v>
      </c>
      <c r="H811" s="76" t="s">
        <v>6074</v>
      </c>
      <c r="I811" s="182"/>
      <c r="J811" s="183" t="s">
        <v>6075</v>
      </c>
      <c r="K811" s="182" t="s">
        <v>6076</v>
      </c>
      <c r="L811" s="182"/>
      <c r="M811" s="182"/>
      <c r="N811" s="182"/>
      <c r="O811" s="182" t="s">
        <v>6160</v>
      </c>
      <c r="P811" s="182"/>
      <c r="Q811" s="182" t="s">
        <v>184</v>
      </c>
      <c r="R811" s="182"/>
      <c r="S811" s="182"/>
      <c r="T811" s="182"/>
      <c r="U811" s="182"/>
      <c r="V811" s="182"/>
      <c r="W811" s="182"/>
      <c r="X811" s="182"/>
      <c r="Y811" s="182"/>
      <c r="Z811" s="182"/>
      <c r="AA811" s="182"/>
      <c r="AB811" s="182"/>
      <c r="AC811" s="182"/>
      <c r="AD811" s="97"/>
      <c r="AE811" s="97"/>
      <c r="AF811" s="97"/>
      <c r="AG811" s="97"/>
      <c r="AH811" s="97"/>
      <c r="AI811" s="97"/>
      <c r="AJ811" s="97"/>
      <c r="AK811" s="97"/>
      <c r="AL811" s="97"/>
      <c r="AM811" s="97"/>
      <c r="AN811" s="97"/>
      <c r="AO811" s="97"/>
      <c r="AP811" s="97"/>
      <c r="AQ811" s="97"/>
      <c r="AR811" s="97"/>
      <c r="AS811" s="97"/>
      <c r="AT811" s="97"/>
      <c r="AU811" s="97"/>
      <c r="AV811" s="97"/>
      <c r="AW811" s="97"/>
      <c r="AX811" s="97"/>
    </row>
    <row r="812" ht="15.75" customHeight="1">
      <c r="A812" s="118" t="s">
        <v>2338</v>
      </c>
      <c r="B812" s="120" t="s">
        <v>5289</v>
      </c>
      <c r="C812" s="76" t="s">
        <v>6169</v>
      </c>
      <c r="D812" s="76" t="s">
        <v>6170</v>
      </c>
      <c r="E812" s="117" t="s">
        <v>6171</v>
      </c>
      <c r="F812" s="76"/>
      <c r="G812" s="76"/>
      <c r="H812" s="76"/>
      <c r="I812" s="118"/>
      <c r="J812" s="120"/>
      <c r="K812" s="118"/>
      <c r="L812" s="118"/>
      <c r="M812" s="118"/>
      <c r="N812" s="118"/>
      <c r="O812" s="118" t="s">
        <v>6160</v>
      </c>
      <c r="P812" s="118"/>
      <c r="Q812" s="118" t="s">
        <v>184</v>
      </c>
      <c r="R812" s="118"/>
      <c r="S812" s="118"/>
      <c r="T812" s="118"/>
      <c r="U812" s="118"/>
      <c r="V812" s="118"/>
      <c r="W812" s="118"/>
      <c r="X812" s="118"/>
      <c r="Y812" s="118"/>
      <c r="Z812" s="118"/>
      <c r="AA812" s="118"/>
      <c r="AB812" s="118"/>
      <c r="AC812" s="118"/>
      <c r="AD812" s="97"/>
      <c r="AE812" s="97"/>
      <c r="AF812" s="97"/>
      <c r="AG812" s="97"/>
      <c r="AH812" s="97"/>
      <c r="AI812" s="97"/>
      <c r="AJ812" s="97"/>
      <c r="AK812" s="97"/>
      <c r="AL812" s="97"/>
      <c r="AM812" s="97"/>
      <c r="AN812" s="97"/>
      <c r="AO812" s="97"/>
      <c r="AP812" s="97"/>
      <c r="AQ812" s="97"/>
      <c r="AR812" s="97"/>
      <c r="AS812" s="97"/>
      <c r="AT812" s="97"/>
      <c r="AU812" s="97"/>
      <c r="AV812" s="97"/>
      <c r="AW812" s="97"/>
      <c r="AX812" s="97"/>
    </row>
    <row r="813" ht="15.75" customHeight="1">
      <c r="A813" s="118" t="s">
        <v>541</v>
      </c>
      <c r="B813" s="120" t="s">
        <v>5293</v>
      </c>
      <c r="C813" s="76" t="s">
        <v>6172</v>
      </c>
      <c r="D813" s="76" t="s">
        <v>6173</v>
      </c>
      <c r="E813" s="117" t="s">
        <v>6174</v>
      </c>
      <c r="F813" s="76"/>
      <c r="G813" s="76"/>
      <c r="H813" s="76"/>
      <c r="I813" s="118"/>
      <c r="J813" s="120"/>
      <c r="K813" s="118"/>
      <c r="L813" s="118"/>
      <c r="M813" s="118"/>
      <c r="N813" s="118"/>
      <c r="O813" s="118" t="s">
        <v>6160</v>
      </c>
      <c r="P813" s="118"/>
      <c r="Q813" s="118" t="s">
        <v>184</v>
      </c>
      <c r="R813" s="118"/>
      <c r="S813" s="118"/>
      <c r="T813" s="118"/>
      <c r="U813" s="118"/>
      <c r="V813" s="118"/>
      <c r="W813" s="118"/>
      <c r="X813" s="118"/>
      <c r="Y813" s="118"/>
      <c r="Z813" s="118"/>
      <c r="AA813" s="118"/>
      <c r="AB813" s="118"/>
      <c r="AC813" s="118"/>
      <c r="AD813" s="97"/>
      <c r="AE813" s="97"/>
      <c r="AF813" s="97"/>
      <c r="AG813" s="97"/>
      <c r="AH813" s="97"/>
      <c r="AI813" s="97"/>
      <c r="AJ813" s="97"/>
      <c r="AK813" s="97"/>
      <c r="AL813" s="97"/>
      <c r="AM813" s="97"/>
      <c r="AN813" s="97"/>
      <c r="AO813" s="97"/>
      <c r="AP813" s="97"/>
      <c r="AQ813" s="97"/>
      <c r="AR813" s="97"/>
      <c r="AS813" s="97"/>
      <c r="AT813" s="97"/>
      <c r="AU813" s="97"/>
      <c r="AV813" s="97"/>
      <c r="AW813" s="97"/>
      <c r="AX813" s="97"/>
    </row>
    <row r="814" ht="15.75" customHeight="1">
      <c r="A814" s="176" t="s">
        <v>44</v>
      </c>
      <c r="B814" s="290" t="s">
        <v>5297</v>
      </c>
      <c r="C814" s="76" t="s">
        <v>6175</v>
      </c>
      <c r="D814" s="76" t="s">
        <v>6176</v>
      </c>
      <c r="E814" s="117" t="s">
        <v>6177</v>
      </c>
      <c r="F814" s="76"/>
      <c r="G814" s="76"/>
      <c r="H814" s="76"/>
      <c r="I814" s="176"/>
      <c r="J814" s="176"/>
      <c r="K814" s="176"/>
      <c r="L814" s="176"/>
      <c r="M814" s="176"/>
      <c r="N814" s="176"/>
      <c r="O814" s="176" t="s">
        <v>6178</v>
      </c>
      <c r="P814" s="176"/>
      <c r="Q814" s="176" t="s">
        <v>184</v>
      </c>
      <c r="R814" s="176"/>
      <c r="S814" s="176"/>
      <c r="T814" s="176"/>
      <c r="U814" s="176"/>
      <c r="V814" s="176"/>
      <c r="W814" s="176"/>
      <c r="X814" s="176"/>
      <c r="Y814" s="176"/>
      <c r="Z814" s="176"/>
      <c r="AA814" s="176"/>
      <c r="AB814" s="176"/>
      <c r="AC814" s="176"/>
      <c r="AD814" s="97"/>
      <c r="AE814" s="97"/>
      <c r="AF814" s="97"/>
      <c r="AG814" s="97"/>
      <c r="AH814" s="97"/>
      <c r="AI814" s="97"/>
      <c r="AJ814" s="97"/>
      <c r="AK814" s="97"/>
      <c r="AL814" s="97"/>
      <c r="AM814" s="97"/>
      <c r="AN814" s="97"/>
      <c r="AO814" s="97"/>
      <c r="AP814" s="97"/>
      <c r="AQ814" s="97"/>
      <c r="AR814" s="97"/>
      <c r="AS814" s="97"/>
      <c r="AT814" s="97"/>
      <c r="AU814" s="97"/>
      <c r="AV814" s="97"/>
      <c r="AW814" s="97"/>
      <c r="AX814" s="97"/>
    </row>
    <row r="815" ht="15.75" customHeight="1">
      <c r="A815" s="118" t="s">
        <v>5213</v>
      </c>
      <c r="B815" s="120" t="s">
        <v>5299</v>
      </c>
      <c r="C815" s="76" t="s">
        <v>6179</v>
      </c>
      <c r="D815" s="76" t="s">
        <v>6180</v>
      </c>
      <c r="E815" s="117" t="s">
        <v>6181</v>
      </c>
      <c r="F815" s="76"/>
      <c r="G815" s="76"/>
      <c r="H815" s="76"/>
      <c r="I815" s="118"/>
      <c r="J815" s="120"/>
      <c r="K815" s="118"/>
      <c r="L815" s="118"/>
      <c r="M815" s="118"/>
      <c r="N815" s="118"/>
      <c r="O815" s="118" t="s">
        <v>6160</v>
      </c>
      <c r="P815" s="118"/>
      <c r="Q815" s="118" t="s">
        <v>184</v>
      </c>
      <c r="R815" s="118"/>
      <c r="S815" s="118"/>
      <c r="T815" s="118"/>
      <c r="U815" s="118"/>
      <c r="V815" s="118"/>
      <c r="W815" s="118"/>
      <c r="X815" s="118"/>
      <c r="Y815" s="118"/>
      <c r="Z815" s="118"/>
      <c r="AA815" s="118"/>
      <c r="AB815" s="118"/>
      <c r="AC815" s="118"/>
      <c r="AD815" s="97"/>
      <c r="AE815" s="97"/>
      <c r="AF815" s="97"/>
      <c r="AG815" s="97"/>
      <c r="AH815" s="97"/>
      <c r="AI815" s="97"/>
      <c r="AJ815" s="97"/>
      <c r="AK815" s="97"/>
      <c r="AL815" s="97"/>
      <c r="AM815" s="97"/>
      <c r="AN815" s="97"/>
      <c r="AO815" s="97"/>
      <c r="AP815" s="97"/>
      <c r="AQ815" s="97"/>
      <c r="AR815" s="97"/>
      <c r="AS815" s="97"/>
      <c r="AT815" s="97"/>
      <c r="AU815" s="97"/>
      <c r="AV815" s="97"/>
      <c r="AW815" s="97"/>
      <c r="AX815" s="97"/>
    </row>
    <row r="816" ht="15.75" customHeight="1">
      <c r="A816" s="176" t="s">
        <v>44</v>
      </c>
      <c r="B816" s="290" t="s">
        <v>5300</v>
      </c>
      <c r="C816" s="76" t="s">
        <v>6182</v>
      </c>
      <c r="D816" s="76" t="s">
        <v>6183</v>
      </c>
      <c r="E816" s="117" t="s">
        <v>6184</v>
      </c>
      <c r="F816" s="76"/>
      <c r="G816" s="76"/>
      <c r="H816" s="76"/>
      <c r="I816" s="176"/>
      <c r="J816" s="176"/>
      <c r="K816" s="176"/>
      <c r="L816" s="176"/>
      <c r="M816" s="176"/>
      <c r="N816" s="176"/>
      <c r="O816" s="176" t="s">
        <v>6185</v>
      </c>
      <c r="P816" s="176"/>
      <c r="Q816" s="176" t="s">
        <v>184</v>
      </c>
      <c r="R816" s="176"/>
      <c r="S816" s="176"/>
      <c r="T816" s="176"/>
      <c r="U816" s="176"/>
      <c r="V816" s="176"/>
      <c r="W816" s="176"/>
      <c r="X816" s="176"/>
      <c r="Y816" s="176"/>
      <c r="Z816" s="176"/>
      <c r="AA816" s="176"/>
      <c r="AB816" s="176"/>
      <c r="AC816" s="176"/>
      <c r="AD816" s="97"/>
      <c r="AE816" s="97"/>
      <c r="AF816" s="97"/>
      <c r="AG816" s="97"/>
      <c r="AH816" s="97"/>
      <c r="AI816" s="97"/>
      <c r="AJ816" s="97"/>
      <c r="AK816" s="97"/>
      <c r="AL816" s="97"/>
      <c r="AM816" s="97"/>
      <c r="AN816" s="97"/>
      <c r="AO816" s="97"/>
      <c r="AP816" s="97"/>
      <c r="AQ816" s="97"/>
      <c r="AR816" s="97"/>
      <c r="AS816" s="97"/>
      <c r="AT816" s="97"/>
      <c r="AU816" s="97"/>
      <c r="AV816" s="97"/>
      <c r="AW816" s="97"/>
      <c r="AX816" s="97"/>
    </row>
    <row r="817" ht="15.75" customHeight="1">
      <c r="A817" s="84" t="s">
        <v>343</v>
      </c>
      <c r="B817" s="84" t="s">
        <v>5192</v>
      </c>
      <c r="C817" s="83" t="s">
        <v>5193</v>
      </c>
      <c r="D817" s="84" t="s">
        <v>5194</v>
      </c>
      <c r="E817" s="84" t="s">
        <v>5195</v>
      </c>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97"/>
      <c r="AE817" s="97"/>
      <c r="AF817" s="97"/>
      <c r="AG817" s="97"/>
      <c r="AH817" s="97"/>
      <c r="AI817" s="97"/>
      <c r="AJ817" s="97"/>
      <c r="AK817" s="97"/>
      <c r="AL817" s="97"/>
      <c r="AM817" s="97"/>
      <c r="AN817" s="97"/>
      <c r="AO817" s="97"/>
      <c r="AP817" s="97"/>
      <c r="AQ817" s="97"/>
      <c r="AR817" s="97"/>
      <c r="AS817" s="97"/>
      <c r="AT817" s="97"/>
      <c r="AU817" s="97"/>
      <c r="AV817" s="97"/>
      <c r="AW817" s="97"/>
      <c r="AX817" s="97"/>
    </row>
    <row r="818" ht="15.75" customHeight="1">
      <c r="A818" s="97"/>
      <c r="B818" s="97"/>
      <c r="C818" s="204"/>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c r="AG818" s="97"/>
      <c r="AH818" s="97"/>
      <c r="AI818" s="97"/>
      <c r="AJ818" s="97"/>
      <c r="AK818" s="97"/>
      <c r="AL818" s="97"/>
      <c r="AM818" s="97"/>
      <c r="AN818" s="97"/>
      <c r="AO818" s="97"/>
      <c r="AP818" s="97"/>
      <c r="AQ818" s="97"/>
      <c r="AR818" s="97"/>
      <c r="AS818" s="97"/>
      <c r="AT818" s="97"/>
      <c r="AU818" s="97"/>
      <c r="AV818" s="97"/>
      <c r="AW818" s="97"/>
      <c r="AX818" s="97"/>
    </row>
    <row r="819" ht="15.75" customHeight="1">
      <c r="A819" s="84" t="s">
        <v>161</v>
      </c>
      <c r="B819" s="86" t="s">
        <v>5305</v>
      </c>
      <c r="C819" s="82" t="s">
        <v>5307</v>
      </c>
      <c r="D819" s="84" t="s">
        <v>5308</v>
      </c>
      <c r="E819" s="84" t="s">
        <v>5309</v>
      </c>
      <c r="F819" s="84"/>
      <c r="G819" s="84"/>
      <c r="H819" s="84"/>
      <c r="I819" s="84"/>
      <c r="J819" s="86"/>
      <c r="K819" s="84"/>
      <c r="L819" s="84"/>
      <c r="M819" s="86"/>
      <c r="N819" s="86"/>
      <c r="O819" s="86"/>
      <c r="P819" s="84"/>
      <c r="Q819" s="84"/>
      <c r="R819" s="84"/>
      <c r="S819" s="84"/>
      <c r="T819" s="84"/>
      <c r="U819" s="84"/>
      <c r="V819" s="84"/>
      <c r="W819" s="84"/>
      <c r="X819" s="84"/>
      <c r="Y819" s="84"/>
      <c r="Z819" s="84"/>
      <c r="AA819" s="84"/>
      <c r="AB819" s="84"/>
      <c r="AC819" s="84"/>
      <c r="AD819" s="97"/>
      <c r="AE819" s="97"/>
      <c r="AF819" s="97"/>
      <c r="AG819" s="97"/>
      <c r="AH819" s="97"/>
      <c r="AI819" s="97"/>
      <c r="AJ819" s="97"/>
      <c r="AK819" s="97"/>
      <c r="AL819" s="97"/>
      <c r="AM819" s="97"/>
      <c r="AN819" s="97"/>
      <c r="AO819" s="97"/>
      <c r="AP819" s="97"/>
      <c r="AQ819" s="97"/>
      <c r="AR819" s="97"/>
      <c r="AS819" s="97"/>
      <c r="AT819" s="97"/>
      <c r="AU819" s="97"/>
      <c r="AV819" s="97"/>
      <c r="AW819" s="97"/>
      <c r="AX819" s="97"/>
    </row>
    <row r="820" ht="15.75" customHeight="1">
      <c r="A820" s="118" t="s">
        <v>5310</v>
      </c>
      <c r="B820" s="120" t="s">
        <v>5311</v>
      </c>
      <c r="C820" s="76" t="s">
        <v>6186</v>
      </c>
      <c r="D820" s="76" t="s">
        <v>6187</v>
      </c>
      <c r="E820" s="117" t="s">
        <v>6188</v>
      </c>
      <c r="F820" s="76"/>
      <c r="G820" s="76"/>
      <c r="H820" s="76"/>
      <c r="I820" s="118"/>
      <c r="J820" s="120"/>
      <c r="K820" s="118"/>
      <c r="L820" s="118"/>
      <c r="M820" s="118"/>
      <c r="N820" s="118"/>
      <c r="O820" s="118"/>
      <c r="P820" s="118"/>
      <c r="Q820" s="118" t="s">
        <v>184</v>
      </c>
      <c r="R820" s="118"/>
      <c r="S820" s="118"/>
      <c r="T820" s="118"/>
      <c r="U820" s="118"/>
      <c r="V820" s="118"/>
      <c r="W820" s="118"/>
      <c r="X820" s="118"/>
      <c r="Y820" s="118"/>
      <c r="Z820" s="118"/>
      <c r="AA820" s="118"/>
      <c r="AB820" s="118"/>
      <c r="AC820" s="118"/>
      <c r="AD820" s="97"/>
      <c r="AE820" s="97"/>
      <c r="AF820" s="97"/>
      <c r="AG820" s="97"/>
      <c r="AH820" s="97"/>
      <c r="AI820" s="97"/>
      <c r="AJ820" s="97"/>
      <c r="AK820" s="97"/>
      <c r="AL820" s="97"/>
      <c r="AM820" s="97"/>
      <c r="AN820" s="97"/>
      <c r="AO820" s="97"/>
      <c r="AP820" s="97"/>
      <c r="AQ820" s="97"/>
      <c r="AR820" s="97"/>
      <c r="AS820" s="97"/>
      <c r="AT820" s="97"/>
      <c r="AU820" s="97"/>
      <c r="AV820" s="97"/>
      <c r="AW820" s="97"/>
      <c r="AX820" s="97"/>
    </row>
    <row r="821" ht="15.75" customHeight="1">
      <c r="A821" s="118" t="s">
        <v>5319</v>
      </c>
      <c r="B821" s="120" t="s">
        <v>5320</v>
      </c>
      <c r="C821" s="76" t="s">
        <v>6189</v>
      </c>
      <c r="D821" s="76" t="s">
        <v>6190</v>
      </c>
      <c r="E821" s="117" t="s">
        <v>6191</v>
      </c>
      <c r="F821" s="76"/>
      <c r="G821" s="76"/>
      <c r="H821" s="76"/>
      <c r="I821" s="118"/>
      <c r="J821" s="120"/>
      <c r="K821" s="118"/>
      <c r="L821" s="118"/>
      <c r="M821" s="118"/>
      <c r="N821" s="118"/>
      <c r="O821" s="118"/>
      <c r="P821" s="118"/>
      <c r="Q821" s="118" t="s">
        <v>184</v>
      </c>
      <c r="R821" s="118"/>
      <c r="S821" s="118"/>
      <c r="T821" s="118"/>
      <c r="U821" s="118"/>
      <c r="V821" s="118"/>
      <c r="W821" s="118"/>
      <c r="X821" s="118"/>
      <c r="Y821" s="118"/>
      <c r="Z821" s="118"/>
      <c r="AA821" s="118"/>
      <c r="AB821" s="118"/>
      <c r="AC821" s="118"/>
      <c r="AD821" s="97"/>
      <c r="AE821" s="97"/>
      <c r="AF821" s="97"/>
      <c r="AG821" s="97"/>
      <c r="AH821" s="97"/>
      <c r="AI821" s="97"/>
      <c r="AJ821" s="97"/>
      <c r="AK821" s="97"/>
      <c r="AL821" s="97"/>
      <c r="AM821" s="97"/>
      <c r="AN821" s="97"/>
      <c r="AO821" s="97"/>
      <c r="AP821" s="97"/>
      <c r="AQ821" s="97"/>
      <c r="AR821" s="97"/>
      <c r="AS821" s="97"/>
      <c r="AT821" s="97"/>
      <c r="AU821" s="97"/>
      <c r="AV821" s="97"/>
      <c r="AW821" s="97"/>
      <c r="AX821" s="97"/>
    </row>
    <row r="822" ht="15.75" customHeight="1">
      <c r="A822" s="118" t="s">
        <v>5324</v>
      </c>
      <c r="B822" s="120" t="s">
        <v>5325</v>
      </c>
      <c r="C822" s="76" t="s">
        <v>6192</v>
      </c>
      <c r="D822" s="76" t="s">
        <v>6193</v>
      </c>
      <c r="E822" s="117" t="s">
        <v>6194</v>
      </c>
      <c r="F822" s="76"/>
      <c r="G822" s="76"/>
      <c r="H822" s="76"/>
      <c r="I822" s="118"/>
      <c r="J822" s="120"/>
      <c r="K822" s="118"/>
      <c r="L822" s="118"/>
      <c r="M822" s="118"/>
      <c r="N822" s="118"/>
      <c r="O822" s="118"/>
      <c r="P822" s="118"/>
      <c r="Q822" s="118" t="s">
        <v>184</v>
      </c>
      <c r="R822" s="118"/>
      <c r="S822" s="118"/>
      <c r="T822" s="118"/>
      <c r="U822" s="118"/>
      <c r="V822" s="118"/>
      <c r="W822" s="118"/>
      <c r="X822" s="118"/>
      <c r="Y822" s="118"/>
      <c r="Z822" s="118"/>
      <c r="AA822" s="118"/>
      <c r="AB822" s="118"/>
      <c r="AC822" s="118"/>
      <c r="AD822" s="97"/>
      <c r="AE822" s="97"/>
      <c r="AF822" s="97"/>
      <c r="AG822" s="97"/>
      <c r="AH822" s="97"/>
      <c r="AI822" s="97"/>
      <c r="AJ822" s="97"/>
      <c r="AK822" s="97"/>
      <c r="AL822" s="97"/>
      <c r="AM822" s="97"/>
      <c r="AN822" s="97"/>
      <c r="AO822" s="97"/>
      <c r="AP822" s="97"/>
      <c r="AQ822" s="97"/>
      <c r="AR822" s="97"/>
      <c r="AS822" s="97"/>
      <c r="AT822" s="97"/>
      <c r="AU822" s="97"/>
      <c r="AV822" s="97"/>
      <c r="AW822" s="97"/>
      <c r="AX822" s="97"/>
    </row>
    <row r="823" ht="15.75" customHeight="1">
      <c r="A823" s="118" t="s">
        <v>5330</v>
      </c>
      <c r="B823" s="120" t="s">
        <v>5331</v>
      </c>
      <c r="C823" s="76" t="s">
        <v>6195</v>
      </c>
      <c r="D823" s="76" t="s">
        <v>6196</v>
      </c>
      <c r="E823" s="117" t="s">
        <v>6197</v>
      </c>
      <c r="F823" s="76"/>
      <c r="G823" s="76"/>
      <c r="H823" s="76"/>
      <c r="I823" s="118"/>
      <c r="J823" s="120"/>
      <c r="K823" s="118"/>
      <c r="L823" s="118"/>
      <c r="M823" s="118"/>
      <c r="N823" s="118"/>
      <c r="O823" s="118"/>
      <c r="P823" s="118"/>
      <c r="Q823" s="118" t="s">
        <v>184</v>
      </c>
      <c r="R823" s="118"/>
      <c r="S823" s="118"/>
      <c r="T823" s="118"/>
      <c r="U823" s="118"/>
      <c r="V823" s="118"/>
      <c r="W823" s="118"/>
      <c r="X823" s="118"/>
      <c r="Y823" s="118"/>
      <c r="Z823" s="118"/>
      <c r="AA823" s="118"/>
      <c r="AB823" s="118"/>
      <c r="AC823" s="118"/>
      <c r="AD823" s="97"/>
      <c r="AE823" s="97"/>
      <c r="AF823" s="97"/>
      <c r="AG823" s="97"/>
      <c r="AH823" s="97"/>
      <c r="AI823" s="97"/>
      <c r="AJ823" s="97"/>
      <c r="AK823" s="97"/>
      <c r="AL823" s="97"/>
      <c r="AM823" s="97"/>
      <c r="AN823" s="97"/>
      <c r="AO823" s="97"/>
      <c r="AP823" s="97"/>
      <c r="AQ823" s="97"/>
      <c r="AR823" s="97"/>
      <c r="AS823" s="97"/>
      <c r="AT823" s="97"/>
      <c r="AU823" s="97"/>
      <c r="AV823" s="97"/>
      <c r="AW823" s="97"/>
      <c r="AX823" s="97"/>
    </row>
    <row r="824" ht="15.75" customHeight="1">
      <c r="A824" s="182" t="s">
        <v>217</v>
      </c>
      <c r="B824" s="183" t="s">
        <v>5332</v>
      </c>
      <c r="C824" s="76" t="s">
        <v>6198</v>
      </c>
      <c r="D824" s="76" t="s">
        <v>6199</v>
      </c>
      <c r="E824" s="117" t="s">
        <v>6200</v>
      </c>
      <c r="F824" s="76"/>
      <c r="G824" s="76" t="s">
        <v>6201</v>
      </c>
      <c r="H824" s="76"/>
      <c r="I824" s="182"/>
      <c r="J824" s="183"/>
      <c r="K824" s="182"/>
      <c r="L824" s="182"/>
      <c r="M824" s="182"/>
      <c r="N824" s="182"/>
      <c r="O824" s="182"/>
      <c r="P824" s="182"/>
      <c r="Q824" s="182"/>
      <c r="R824" s="182"/>
      <c r="S824" s="182"/>
      <c r="T824" s="182"/>
      <c r="U824" s="182"/>
      <c r="V824" s="182"/>
      <c r="W824" s="182"/>
      <c r="X824" s="182"/>
      <c r="Y824" s="182"/>
      <c r="Z824" s="182"/>
      <c r="AA824" s="182"/>
      <c r="AB824" s="182"/>
      <c r="AC824" s="182"/>
      <c r="AD824" s="97"/>
      <c r="AE824" s="97"/>
      <c r="AF824" s="97"/>
      <c r="AG824" s="97"/>
      <c r="AH824" s="97"/>
      <c r="AI824" s="97"/>
      <c r="AJ824" s="97"/>
      <c r="AK824" s="97"/>
      <c r="AL824" s="97"/>
      <c r="AM824" s="97"/>
      <c r="AN824" s="97"/>
      <c r="AO824" s="97"/>
      <c r="AP824" s="97"/>
      <c r="AQ824" s="97"/>
      <c r="AR824" s="97"/>
      <c r="AS824" s="97"/>
      <c r="AT824" s="97"/>
      <c r="AU824" s="97"/>
      <c r="AV824" s="97"/>
      <c r="AW824" s="97"/>
      <c r="AX824" s="97"/>
    </row>
    <row r="825" ht="15.75" customHeight="1">
      <c r="A825" s="292" t="s">
        <v>647</v>
      </c>
      <c r="B825" s="293" t="s">
        <v>5334</v>
      </c>
      <c r="C825" s="294" t="s">
        <v>5335</v>
      </c>
      <c r="D825" s="292" t="s">
        <v>5336</v>
      </c>
      <c r="E825" s="292" t="s">
        <v>5337</v>
      </c>
      <c r="F825" s="303" t="s">
        <v>6202</v>
      </c>
      <c r="G825" s="292" t="s">
        <v>6203</v>
      </c>
      <c r="H825" s="292"/>
      <c r="I825" s="292"/>
      <c r="J825" s="292"/>
      <c r="K825" s="292"/>
      <c r="L825" s="292"/>
      <c r="M825" s="292"/>
      <c r="N825" s="292"/>
      <c r="O825" s="292"/>
      <c r="P825" s="292"/>
      <c r="Q825" s="292"/>
      <c r="R825" s="292"/>
      <c r="S825" s="292"/>
      <c r="T825" s="292"/>
      <c r="U825" s="292"/>
      <c r="V825" s="292"/>
      <c r="W825" s="292"/>
      <c r="X825" s="292"/>
      <c r="Y825" s="292"/>
      <c r="Z825" s="292"/>
      <c r="AA825" s="292"/>
      <c r="AB825" s="292"/>
      <c r="AC825" s="292"/>
      <c r="AD825" s="97"/>
      <c r="AE825" s="97"/>
      <c r="AF825" s="97"/>
      <c r="AG825" s="97"/>
      <c r="AH825" s="97"/>
      <c r="AI825" s="97"/>
      <c r="AJ825" s="97"/>
      <c r="AK825" s="97"/>
      <c r="AL825" s="97"/>
      <c r="AM825" s="97"/>
      <c r="AN825" s="97"/>
      <c r="AO825" s="97"/>
      <c r="AP825" s="97"/>
      <c r="AQ825" s="97"/>
      <c r="AR825" s="97"/>
      <c r="AS825" s="97"/>
      <c r="AT825" s="97"/>
      <c r="AU825" s="97"/>
      <c r="AV825" s="97"/>
      <c r="AW825" s="97"/>
      <c r="AX825" s="97"/>
    </row>
    <row r="826" ht="15.75" customHeight="1">
      <c r="A826" s="80" t="s">
        <v>150</v>
      </c>
      <c r="B826" s="81" t="s">
        <v>5338</v>
      </c>
      <c r="C826" s="82"/>
      <c r="D826" s="83"/>
      <c r="E826" s="83"/>
      <c r="F826" s="84"/>
      <c r="G826" s="84"/>
      <c r="H826" s="84"/>
      <c r="I826" s="84"/>
      <c r="J826" s="86"/>
      <c r="K826" s="84"/>
      <c r="L826" s="84"/>
      <c r="M826" s="86"/>
      <c r="N826" s="86"/>
      <c r="O826" s="91"/>
      <c r="P826" s="84"/>
      <c r="Q826" s="84"/>
      <c r="R826" s="84"/>
      <c r="S826" s="84"/>
      <c r="T826" s="94" t="s">
        <v>156</v>
      </c>
      <c r="U826" s="84"/>
      <c r="V826" s="84"/>
      <c r="W826" s="84"/>
      <c r="X826" s="84"/>
      <c r="Y826" s="84"/>
      <c r="Z826" s="84"/>
      <c r="AA826" s="84"/>
      <c r="AB826" s="84"/>
      <c r="AC826" s="84"/>
      <c r="AD826" s="97"/>
      <c r="AE826" s="97"/>
      <c r="AF826" s="97"/>
      <c r="AG826" s="97"/>
      <c r="AH826" s="97"/>
      <c r="AI826" s="97"/>
      <c r="AJ826" s="97"/>
      <c r="AK826" s="97"/>
      <c r="AL826" s="97"/>
      <c r="AM826" s="97"/>
      <c r="AN826" s="97"/>
      <c r="AO826" s="97"/>
      <c r="AP826" s="97"/>
      <c r="AQ826" s="97"/>
      <c r="AR826" s="97"/>
      <c r="AS826" s="97"/>
      <c r="AT826" s="97"/>
      <c r="AU826" s="97"/>
      <c r="AV826" s="97"/>
      <c r="AW826" s="97"/>
      <c r="AX826" s="97"/>
    </row>
    <row r="827" ht="15.75" customHeight="1">
      <c r="A827" s="75" t="s">
        <v>115</v>
      </c>
      <c r="B827" s="75" t="s">
        <v>5339</v>
      </c>
      <c r="C827" s="76"/>
      <c r="D827" s="45"/>
      <c r="E827" s="47"/>
      <c r="F827" s="45"/>
      <c r="G827" s="45"/>
      <c r="H827" s="45"/>
      <c r="I827" s="45"/>
      <c r="J827" s="45"/>
      <c r="K827" s="45"/>
      <c r="L827" s="45"/>
      <c r="M827" s="45"/>
      <c r="N827" s="45"/>
      <c r="O827" s="75"/>
      <c r="P827" s="45"/>
      <c r="Q827" s="45"/>
      <c r="R827" s="45"/>
      <c r="S827" s="45"/>
      <c r="T827" s="75" t="s">
        <v>6204</v>
      </c>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row>
    <row r="828" ht="15.75" customHeight="1">
      <c r="A828" s="84" t="s">
        <v>343</v>
      </c>
      <c r="B828" s="84" t="s">
        <v>5305</v>
      </c>
      <c r="C828" s="83" t="s">
        <v>5307</v>
      </c>
      <c r="D828" s="84" t="s">
        <v>5308</v>
      </c>
      <c r="E828" s="84" t="s">
        <v>5340</v>
      </c>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97"/>
      <c r="AE828" s="97"/>
      <c r="AF828" s="97"/>
      <c r="AG828" s="97"/>
      <c r="AH828" s="97"/>
      <c r="AI828" s="97"/>
      <c r="AJ828" s="97"/>
      <c r="AK828" s="97"/>
      <c r="AL828" s="97"/>
      <c r="AM828" s="97"/>
      <c r="AN828" s="97"/>
      <c r="AO828" s="97"/>
      <c r="AP828" s="97"/>
      <c r="AQ828" s="97"/>
      <c r="AR828" s="97"/>
      <c r="AS828" s="97"/>
      <c r="AT828" s="97"/>
      <c r="AU828" s="97"/>
      <c r="AV828" s="97"/>
      <c r="AW828" s="97"/>
      <c r="AX828" s="97"/>
    </row>
    <row r="829" ht="15.75" customHeight="1">
      <c r="A829" s="97"/>
      <c r="B829" s="97"/>
      <c r="C829" s="204"/>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7"/>
      <c r="AR829" s="97"/>
      <c r="AS829" s="97"/>
      <c r="AT829" s="97"/>
      <c r="AU829" s="97"/>
      <c r="AV829" s="97"/>
      <c r="AW829" s="97"/>
      <c r="AX829" s="97"/>
    </row>
    <row r="830" ht="15.75" customHeight="1">
      <c r="A830" s="84" t="s">
        <v>343</v>
      </c>
      <c r="B830" s="84" t="s">
        <v>636</v>
      </c>
      <c r="C830" s="83"/>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97"/>
      <c r="AE830" s="97"/>
      <c r="AF830" s="97"/>
      <c r="AG830" s="97"/>
      <c r="AH830" s="97"/>
      <c r="AI830" s="97"/>
      <c r="AJ830" s="97"/>
      <c r="AK830" s="97"/>
      <c r="AL830" s="97"/>
      <c r="AM830" s="97"/>
      <c r="AN830" s="97"/>
      <c r="AO830" s="97"/>
      <c r="AP830" s="97"/>
      <c r="AQ830" s="97"/>
      <c r="AR830" s="97"/>
      <c r="AS830" s="97"/>
      <c r="AT830" s="97"/>
      <c r="AU830" s="97"/>
      <c r="AV830" s="97"/>
      <c r="AW830" s="97"/>
      <c r="AX830" s="97"/>
    </row>
    <row r="831" ht="15.75" customHeight="1">
      <c r="A831" s="176" t="s">
        <v>44</v>
      </c>
      <c r="B831" s="290" t="s">
        <v>5341</v>
      </c>
      <c r="C831" s="76" t="s">
        <v>6205</v>
      </c>
      <c r="D831" s="76" t="s">
        <v>6206</v>
      </c>
      <c r="E831" s="117" t="s">
        <v>6207</v>
      </c>
      <c r="F831" s="76"/>
      <c r="G831" s="76"/>
      <c r="H831" s="76"/>
      <c r="I831" s="176"/>
      <c r="J831" s="176"/>
      <c r="K831" s="176"/>
      <c r="L831" s="176"/>
      <c r="M831" s="176"/>
      <c r="N831" s="176"/>
      <c r="O831" s="176"/>
      <c r="P831" s="176"/>
      <c r="Q831" s="176"/>
      <c r="R831" s="176"/>
      <c r="S831" s="176"/>
      <c r="T831" s="176"/>
      <c r="U831" s="176"/>
      <c r="V831" s="176"/>
      <c r="W831" s="176"/>
      <c r="X831" s="176"/>
      <c r="Y831" s="176"/>
      <c r="Z831" s="176"/>
      <c r="AA831" s="176"/>
      <c r="AB831" s="176"/>
      <c r="AC831" s="176"/>
      <c r="AD831" s="97"/>
      <c r="AE831" s="97"/>
      <c r="AF831" s="97"/>
      <c r="AG831" s="97"/>
      <c r="AH831" s="97"/>
      <c r="AI831" s="97"/>
      <c r="AJ831" s="97"/>
      <c r="AK831" s="97"/>
      <c r="AL831" s="97"/>
      <c r="AM831" s="97"/>
      <c r="AN831" s="97"/>
      <c r="AO831" s="97"/>
      <c r="AP831" s="97"/>
      <c r="AQ831" s="97"/>
      <c r="AR831" s="97"/>
      <c r="AS831" s="97"/>
      <c r="AT831" s="97"/>
      <c r="AU831" s="97"/>
      <c r="AV831" s="97"/>
      <c r="AW831" s="97"/>
      <c r="AX831" s="97"/>
    </row>
    <row r="832" ht="15.75" customHeight="1">
      <c r="A832" s="75" t="s">
        <v>343</v>
      </c>
      <c r="B832" s="75" t="s">
        <v>533</v>
      </c>
      <c r="C832" s="204"/>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7"/>
      <c r="AR832" s="97"/>
      <c r="AS832" s="97"/>
      <c r="AT832" s="97"/>
      <c r="AU832" s="97"/>
      <c r="AV832" s="97"/>
      <c r="AW832" s="97"/>
      <c r="AX832" s="97"/>
    </row>
    <row r="833">
      <c r="A833" s="141"/>
      <c r="B833" s="141"/>
      <c r="C833" s="141"/>
      <c r="D833" s="141"/>
      <c r="E833" s="26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c r="AH833" s="141"/>
      <c r="AI833" s="141"/>
      <c r="AJ833" s="141"/>
      <c r="AK833" s="141"/>
      <c r="AL833" s="141"/>
      <c r="AM833" s="141"/>
      <c r="AN833" s="141"/>
      <c r="AO833" s="141"/>
      <c r="AP833" s="141"/>
      <c r="AQ833" s="141"/>
      <c r="AR833" s="141"/>
      <c r="AS833" s="141"/>
      <c r="AT833" s="141"/>
      <c r="AU833" s="141"/>
      <c r="AV833" s="141"/>
      <c r="AW833" s="141"/>
      <c r="AX833" s="141"/>
    </row>
    <row r="834">
      <c r="A834" s="141"/>
      <c r="B834" s="141"/>
      <c r="C834" s="141"/>
      <c r="D834" s="141"/>
      <c r="E834" s="26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c r="AH834" s="141"/>
      <c r="AI834" s="141"/>
      <c r="AJ834" s="141"/>
      <c r="AK834" s="141"/>
      <c r="AL834" s="141"/>
      <c r="AM834" s="141"/>
      <c r="AN834" s="141"/>
      <c r="AO834" s="141"/>
      <c r="AP834" s="141"/>
      <c r="AQ834" s="141"/>
      <c r="AR834" s="141"/>
      <c r="AS834" s="141"/>
      <c r="AT834" s="141"/>
      <c r="AU834" s="141"/>
      <c r="AV834" s="141"/>
      <c r="AW834" s="141"/>
      <c r="AX834" s="141"/>
    </row>
    <row r="835">
      <c r="A835" s="141"/>
      <c r="B835" s="141"/>
      <c r="C835" s="141"/>
      <c r="D835" s="141"/>
      <c r="E835" s="26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c r="AH835" s="141"/>
      <c r="AI835" s="141"/>
      <c r="AJ835" s="141"/>
      <c r="AK835" s="141"/>
      <c r="AL835" s="141"/>
      <c r="AM835" s="141"/>
      <c r="AN835" s="141"/>
      <c r="AO835" s="141"/>
      <c r="AP835" s="141"/>
      <c r="AQ835" s="141"/>
      <c r="AR835" s="141"/>
      <c r="AS835" s="141"/>
      <c r="AT835" s="141"/>
      <c r="AU835" s="141"/>
      <c r="AV835" s="141"/>
      <c r="AW835" s="141"/>
      <c r="AX835" s="141"/>
    </row>
    <row r="836">
      <c r="A836" s="141"/>
      <c r="B836" s="141"/>
      <c r="C836" s="141"/>
      <c r="D836" s="141"/>
      <c r="E836" s="26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c r="AH836" s="141"/>
      <c r="AI836" s="141"/>
      <c r="AJ836" s="141"/>
      <c r="AK836" s="141"/>
      <c r="AL836" s="141"/>
      <c r="AM836" s="141"/>
      <c r="AN836" s="141"/>
      <c r="AO836" s="141"/>
      <c r="AP836" s="141"/>
      <c r="AQ836" s="141"/>
      <c r="AR836" s="141"/>
      <c r="AS836" s="141"/>
      <c r="AT836" s="141"/>
      <c r="AU836" s="141"/>
      <c r="AV836" s="141"/>
      <c r="AW836" s="141"/>
      <c r="AX836" s="141"/>
    </row>
    <row r="837">
      <c r="A837" s="141"/>
      <c r="B837" s="141"/>
      <c r="C837" s="141"/>
      <c r="D837" s="141"/>
      <c r="E837" s="26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41"/>
      <c r="AL837" s="141"/>
      <c r="AM837" s="141"/>
      <c r="AN837" s="141"/>
      <c r="AO837" s="141"/>
      <c r="AP837" s="141"/>
      <c r="AQ837" s="141"/>
      <c r="AR837" s="141"/>
      <c r="AS837" s="141"/>
      <c r="AT837" s="141"/>
      <c r="AU837" s="141"/>
      <c r="AV837" s="141"/>
      <c r="AW837" s="141"/>
      <c r="AX837" s="141"/>
    </row>
    <row r="838">
      <c r="A838" s="141"/>
      <c r="B838" s="141"/>
      <c r="C838" s="141"/>
      <c r="D838" s="141"/>
      <c r="E838" s="26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c r="AH838" s="141"/>
      <c r="AI838" s="141"/>
      <c r="AJ838" s="141"/>
      <c r="AK838" s="141"/>
      <c r="AL838" s="141"/>
      <c r="AM838" s="141"/>
      <c r="AN838" s="141"/>
      <c r="AO838" s="141"/>
      <c r="AP838" s="141"/>
      <c r="AQ838" s="141"/>
      <c r="AR838" s="141"/>
      <c r="AS838" s="141"/>
      <c r="AT838" s="141"/>
      <c r="AU838" s="141"/>
      <c r="AV838" s="141"/>
      <c r="AW838" s="141"/>
      <c r="AX838" s="141"/>
    </row>
    <row r="839">
      <c r="A839" s="141"/>
      <c r="B839" s="141"/>
      <c r="C839" s="141"/>
      <c r="D839" s="141"/>
      <c r="E839" s="26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c r="AH839" s="141"/>
      <c r="AI839" s="141"/>
      <c r="AJ839" s="141"/>
      <c r="AK839" s="141"/>
      <c r="AL839" s="141"/>
      <c r="AM839" s="141"/>
      <c r="AN839" s="141"/>
      <c r="AO839" s="141"/>
      <c r="AP839" s="141"/>
      <c r="AQ839" s="141"/>
      <c r="AR839" s="141"/>
      <c r="AS839" s="141"/>
      <c r="AT839" s="141"/>
      <c r="AU839" s="141"/>
      <c r="AV839" s="141"/>
      <c r="AW839" s="141"/>
      <c r="AX839" s="141"/>
    </row>
    <row r="840">
      <c r="A840" s="141"/>
      <c r="B840" s="141"/>
      <c r="C840" s="141"/>
      <c r="D840" s="141"/>
      <c r="E840" s="26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c r="AH840" s="141"/>
      <c r="AI840" s="141"/>
      <c r="AJ840" s="141"/>
      <c r="AK840" s="141"/>
      <c r="AL840" s="141"/>
      <c r="AM840" s="141"/>
      <c r="AN840" s="141"/>
      <c r="AO840" s="141"/>
      <c r="AP840" s="141"/>
      <c r="AQ840" s="141"/>
      <c r="AR840" s="141"/>
      <c r="AS840" s="141"/>
      <c r="AT840" s="141"/>
      <c r="AU840" s="141"/>
      <c r="AV840" s="141"/>
      <c r="AW840" s="141"/>
      <c r="AX840" s="141"/>
    </row>
    <row r="841" ht="15.75" customHeight="1">
      <c r="A841" s="45"/>
      <c r="B841" s="45"/>
      <c r="C841" s="46"/>
      <c r="D841" s="45"/>
      <c r="E841" s="47"/>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row>
    <row r="842" ht="15.75" customHeight="1">
      <c r="A842" s="45"/>
      <c r="B842" s="45"/>
      <c r="C842" s="46"/>
      <c r="D842" s="45"/>
      <c r="E842" s="47"/>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row>
    <row r="843" ht="15.75" customHeight="1">
      <c r="A843" s="45"/>
      <c r="B843" s="45"/>
      <c r="C843" s="46"/>
      <c r="D843" s="45"/>
      <c r="E843" s="47"/>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row>
    <row r="844" ht="15.75" customHeight="1">
      <c r="A844" s="45"/>
      <c r="B844" s="45"/>
      <c r="C844" s="46"/>
      <c r="D844" s="45"/>
      <c r="E844" s="47"/>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row>
    <row r="845" ht="15.75" customHeight="1">
      <c r="A845" s="45"/>
      <c r="B845" s="45"/>
      <c r="C845" s="46"/>
      <c r="D845" s="45"/>
      <c r="E845" s="47"/>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row>
    <row r="846" ht="15.75" customHeight="1">
      <c r="A846" s="45"/>
      <c r="B846" s="45"/>
      <c r="C846" s="46"/>
      <c r="D846" s="45"/>
      <c r="E846" s="47"/>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row>
    <row r="847" ht="15.75" customHeight="1">
      <c r="A847" s="45"/>
      <c r="B847" s="45"/>
      <c r="C847" s="46"/>
      <c r="D847" s="45"/>
      <c r="E847" s="47"/>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row>
    <row r="848" ht="15.75" customHeight="1">
      <c r="A848" s="45"/>
      <c r="B848" s="45"/>
      <c r="C848" s="46"/>
      <c r="D848" s="45"/>
      <c r="E848" s="47"/>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row>
    <row r="849" ht="15.75" customHeight="1">
      <c r="A849" s="45"/>
      <c r="B849" s="45"/>
      <c r="C849" s="46"/>
      <c r="D849" s="45"/>
      <c r="E849" s="47"/>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row>
    <row r="850" ht="15.75" customHeight="1">
      <c r="A850" s="45"/>
      <c r="B850" s="45"/>
      <c r="C850" s="46"/>
      <c r="D850" s="45"/>
      <c r="E850" s="47"/>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row>
    <row r="851" ht="15.75" customHeight="1">
      <c r="A851" s="45"/>
      <c r="B851" s="45"/>
      <c r="C851" s="46"/>
      <c r="D851" s="45"/>
      <c r="E851" s="47"/>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row>
    <row r="852" ht="15.75" customHeight="1">
      <c r="A852" s="45"/>
      <c r="B852" s="45"/>
      <c r="C852" s="46"/>
      <c r="D852" s="45"/>
      <c r="E852" s="47"/>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row>
    <row r="853" ht="15.75" customHeight="1">
      <c r="A853" s="45"/>
      <c r="B853" s="45"/>
      <c r="C853" s="46"/>
      <c r="D853" s="45"/>
      <c r="E853" s="47"/>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row>
    <row r="854" ht="15.75" customHeight="1">
      <c r="A854" s="45"/>
      <c r="B854" s="45"/>
      <c r="C854" s="46"/>
      <c r="D854" s="45"/>
      <c r="E854" s="47"/>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row>
    <row r="855" ht="15.75" customHeight="1">
      <c r="A855" s="45"/>
      <c r="B855" s="45"/>
      <c r="C855" s="46"/>
      <c r="D855" s="45"/>
      <c r="E855" s="47"/>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row>
    <row r="856" ht="15.75" customHeight="1">
      <c r="A856" s="45"/>
      <c r="B856" s="45"/>
      <c r="C856" s="46"/>
      <c r="D856" s="45"/>
      <c r="E856" s="47"/>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row>
    <row r="857" ht="15.75" customHeight="1">
      <c r="A857" s="45"/>
      <c r="B857" s="45"/>
      <c r="C857" s="46"/>
      <c r="D857" s="45"/>
      <c r="E857" s="47"/>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row>
    <row r="858" ht="15.75" customHeight="1">
      <c r="A858" s="45"/>
      <c r="B858" s="45"/>
      <c r="C858" s="46"/>
      <c r="D858" s="45"/>
      <c r="E858" s="47"/>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row>
    <row r="859" ht="15.75" customHeight="1">
      <c r="A859" s="45"/>
      <c r="B859" s="45"/>
      <c r="C859" s="46"/>
      <c r="D859" s="45"/>
      <c r="E859" s="47"/>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row>
    <row r="860" ht="15.75" customHeight="1">
      <c r="A860" s="45"/>
      <c r="B860" s="45"/>
      <c r="C860" s="46"/>
      <c r="D860" s="45"/>
      <c r="E860" s="47"/>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row>
    <row r="861" ht="15.75" customHeight="1">
      <c r="A861" s="45"/>
      <c r="B861" s="45"/>
      <c r="C861" s="46"/>
      <c r="D861" s="45"/>
      <c r="E861" s="47"/>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row>
    <row r="862" ht="15.75" customHeight="1">
      <c r="A862" s="45"/>
      <c r="B862" s="45"/>
      <c r="C862" s="46"/>
      <c r="D862" s="45"/>
      <c r="E862" s="47"/>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row>
    <row r="863" ht="15.75" customHeight="1">
      <c r="A863" s="45"/>
      <c r="B863" s="45"/>
      <c r="C863" s="46"/>
      <c r="D863" s="45"/>
      <c r="E863" s="47"/>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row>
    <row r="864" ht="15.75" customHeight="1">
      <c r="A864" s="45"/>
      <c r="B864" s="45"/>
      <c r="C864" s="46"/>
      <c r="D864" s="45"/>
      <c r="E864" s="47"/>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row>
    <row r="865" ht="15.75" customHeight="1">
      <c r="A865" s="45"/>
      <c r="B865" s="45"/>
      <c r="C865" s="46"/>
      <c r="D865" s="45"/>
      <c r="E865" s="47"/>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row>
    <row r="866" ht="15.75" customHeight="1">
      <c r="A866" s="45"/>
      <c r="B866" s="45"/>
      <c r="C866" s="46"/>
      <c r="D866" s="45"/>
      <c r="E866" s="47"/>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row>
    <row r="867" ht="15.75" customHeight="1">
      <c r="A867" s="45"/>
      <c r="B867" s="45"/>
      <c r="C867" s="46"/>
      <c r="D867" s="45"/>
      <c r="E867" s="47"/>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row>
    <row r="868" ht="15.75" customHeight="1">
      <c r="A868" s="45"/>
      <c r="B868" s="45"/>
      <c r="C868" s="46"/>
      <c r="D868" s="45"/>
      <c r="E868" s="47"/>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row>
    <row r="869" ht="15.75" customHeight="1">
      <c r="A869" s="45"/>
      <c r="B869" s="45"/>
      <c r="C869" s="46"/>
      <c r="D869" s="45"/>
      <c r="E869" s="47"/>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row>
    <row r="870" ht="15.75" customHeight="1">
      <c r="A870" s="45"/>
      <c r="B870" s="45"/>
      <c r="C870" s="46"/>
      <c r="D870" s="45"/>
      <c r="E870" s="47"/>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row>
    <row r="871" ht="15.75" customHeight="1">
      <c r="A871" s="45"/>
      <c r="B871" s="45"/>
      <c r="C871" s="46"/>
      <c r="D871" s="45"/>
      <c r="E871" s="47"/>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row>
    <row r="872" ht="15.75" customHeight="1">
      <c r="A872" s="45"/>
      <c r="B872" s="45"/>
      <c r="C872" s="46"/>
      <c r="D872" s="45"/>
      <c r="E872" s="47"/>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row>
    <row r="873" ht="15.75" customHeight="1">
      <c r="A873" s="45"/>
      <c r="B873" s="45"/>
      <c r="C873" s="46"/>
      <c r="D873" s="45"/>
      <c r="E873" s="47"/>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row>
    <row r="874" ht="15.75" customHeight="1">
      <c r="A874" s="45"/>
      <c r="B874" s="45"/>
      <c r="C874" s="46"/>
      <c r="D874" s="45"/>
      <c r="E874" s="47"/>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row>
    <row r="875" ht="15.75" customHeight="1">
      <c r="A875" s="45"/>
      <c r="B875" s="45"/>
      <c r="C875" s="46"/>
      <c r="D875" s="45"/>
      <c r="E875" s="47"/>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row>
    <row r="876" ht="15.75" customHeight="1">
      <c r="A876" s="45"/>
      <c r="B876" s="45"/>
      <c r="C876" s="46"/>
      <c r="D876" s="45"/>
      <c r="E876" s="47"/>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row>
    <row r="877" ht="15.75" customHeight="1">
      <c r="A877" s="45"/>
      <c r="B877" s="45"/>
      <c r="C877" s="46"/>
      <c r="D877" s="45"/>
      <c r="E877" s="47"/>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row>
    <row r="878" ht="15.75" customHeight="1">
      <c r="A878" s="45"/>
      <c r="B878" s="45"/>
      <c r="C878" s="46"/>
      <c r="D878" s="45"/>
      <c r="E878" s="47"/>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row>
    <row r="879" ht="15.75" customHeight="1">
      <c r="A879" s="45"/>
      <c r="B879" s="45"/>
      <c r="C879" s="46"/>
      <c r="D879" s="45"/>
      <c r="E879" s="47"/>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row>
    <row r="880" ht="15.75" customHeight="1">
      <c r="A880" s="45"/>
      <c r="B880" s="45"/>
      <c r="C880" s="46"/>
      <c r="D880" s="45"/>
      <c r="E880" s="47"/>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row>
    <row r="881" ht="15.75" customHeight="1">
      <c r="A881" s="45"/>
      <c r="B881" s="45"/>
      <c r="C881" s="46"/>
      <c r="D881" s="45"/>
      <c r="E881" s="47"/>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row>
    <row r="882" ht="15.75" customHeight="1">
      <c r="A882" s="45"/>
      <c r="B882" s="45"/>
      <c r="C882" s="46"/>
      <c r="D882" s="45"/>
      <c r="E882" s="47"/>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row>
    <row r="883" ht="15.75" customHeight="1">
      <c r="A883" s="45"/>
      <c r="B883" s="45"/>
      <c r="C883" s="46"/>
      <c r="D883" s="45"/>
      <c r="E883" s="47"/>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row>
    <row r="884" ht="15.75" customHeight="1">
      <c r="A884" s="45"/>
      <c r="B884" s="45"/>
      <c r="C884" s="46"/>
      <c r="D884" s="45"/>
      <c r="E884" s="47"/>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row>
    <row r="885" ht="15.75" customHeight="1">
      <c r="A885" s="45"/>
      <c r="B885" s="45"/>
      <c r="C885" s="46"/>
      <c r="D885" s="45"/>
      <c r="E885" s="47"/>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row>
    <row r="886" ht="15.75" customHeight="1">
      <c r="A886" s="45"/>
      <c r="B886" s="45"/>
      <c r="C886" s="46"/>
      <c r="D886" s="45"/>
      <c r="E886" s="47"/>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row>
    <row r="887" ht="15.75" customHeight="1">
      <c r="A887" s="45"/>
      <c r="B887" s="45"/>
      <c r="C887" s="46"/>
      <c r="D887" s="45"/>
      <c r="E887" s="47"/>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row>
    <row r="888" ht="15.75" customHeight="1">
      <c r="A888" s="45"/>
      <c r="B888" s="45"/>
      <c r="C888" s="46"/>
      <c r="D888" s="45"/>
      <c r="E888" s="47"/>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row>
    <row r="889" ht="15.75" customHeight="1">
      <c r="A889" s="45"/>
      <c r="B889" s="45"/>
      <c r="C889" s="46"/>
      <c r="D889" s="45"/>
      <c r="E889" s="47"/>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row>
    <row r="890" ht="15.75" customHeight="1">
      <c r="A890" s="45"/>
      <c r="B890" s="45"/>
      <c r="C890" s="46"/>
      <c r="D890" s="45"/>
      <c r="E890" s="47"/>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row>
    <row r="891" ht="15.75" customHeight="1">
      <c r="A891" s="45"/>
      <c r="B891" s="45"/>
      <c r="C891" s="46"/>
      <c r="D891" s="45"/>
      <c r="E891" s="47"/>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row>
    <row r="892" ht="15.75" customHeight="1">
      <c r="A892" s="45"/>
      <c r="B892" s="45"/>
      <c r="C892" s="46"/>
      <c r="D892" s="45"/>
      <c r="E892" s="47"/>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row>
    <row r="893" ht="15.75" customHeight="1">
      <c r="A893" s="45"/>
      <c r="B893" s="45"/>
      <c r="C893" s="46"/>
      <c r="D893" s="45"/>
      <c r="E893" s="47"/>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row>
    <row r="894" ht="15.75" customHeight="1">
      <c r="A894" s="45"/>
      <c r="B894" s="45"/>
      <c r="C894" s="46"/>
      <c r="D894" s="45"/>
      <c r="E894" s="47"/>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row>
    <row r="895" ht="15.75" customHeight="1">
      <c r="A895" s="45"/>
      <c r="B895" s="45"/>
      <c r="C895" s="46"/>
      <c r="D895" s="45"/>
      <c r="E895" s="47"/>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row>
    <row r="896" ht="15.75" customHeight="1">
      <c r="A896" s="45"/>
      <c r="B896" s="45"/>
      <c r="C896" s="46"/>
      <c r="D896" s="45"/>
      <c r="E896" s="47"/>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row>
    <row r="897" ht="15.75" customHeight="1">
      <c r="A897" s="45"/>
      <c r="B897" s="45"/>
      <c r="C897" s="46"/>
      <c r="D897" s="45"/>
      <c r="E897" s="47"/>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row>
    <row r="898" ht="15.75" customHeight="1">
      <c r="A898" s="45"/>
      <c r="B898" s="45"/>
      <c r="C898" s="46"/>
      <c r="D898" s="45"/>
      <c r="E898" s="47"/>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row>
    <row r="899" ht="15.75" customHeight="1">
      <c r="A899" s="45"/>
      <c r="B899" s="45"/>
      <c r="C899" s="46"/>
      <c r="D899" s="45"/>
      <c r="E899" s="47"/>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row>
    <row r="900" ht="15.75" customHeight="1">
      <c r="A900" s="45"/>
      <c r="B900" s="45"/>
      <c r="C900" s="46"/>
      <c r="D900" s="45"/>
      <c r="E900" s="47"/>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row>
    <row r="901" ht="15.75" customHeight="1">
      <c r="A901" s="45"/>
      <c r="B901" s="45"/>
      <c r="C901" s="46"/>
      <c r="D901" s="45"/>
      <c r="E901" s="47"/>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row>
    <row r="902" ht="15.75" customHeight="1">
      <c r="A902" s="45"/>
      <c r="B902" s="45"/>
      <c r="C902" s="46"/>
      <c r="D902" s="45"/>
      <c r="E902" s="47"/>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row>
    <row r="903" ht="15.75" customHeight="1">
      <c r="A903" s="45"/>
      <c r="B903" s="45"/>
      <c r="C903" s="46"/>
      <c r="D903" s="45"/>
      <c r="E903" s="47"/>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row>
    <row r="904" ht="15.75" customHeight="1">
      <c r="A904" s="45"/>
      <c r="B904" s="45"/>
      <c r="C904" s="46"/>
      <c r="D904" s="45"/>
      <c r="E904" s="47"/>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row>
    <row r="905" ht="15.75" customHeight="1">
      <c r="A905" s="45"/>
      <c r="B905" s="45"/>
      <c r="C905" s="46"/>
      <c r="D905" s="45"/>
      <c r="E905" s="47"/>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row>
    <row r="906" ht="15.75" customHeight="1">
      <c r="A906" s="45"/>
      <c r="B906" s="45"/>
      <c r="C906" s="46"/>
      <c r="D906" s="45"/>
      <c r="E906" s="47"/>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row>
    <row r="907" ht="15.75" customHeight="1">
      <c r="A907" s="45"/>
      <c r="B907" s="45"/>
      <c r="C907" s="46"/>
      <c r="D907" s="45"/>
      <c r="E907" s="47"/>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row>
    <row r="908" ht="15.75" customHeight="1">
      <c r="A908" s="45"/>
      <c r="B908" s="45"/>
      <c r="C908" s="46"/>
      <c r="D908" s="45"/>
      <c r="E908" s="47"/>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row>
    <row r="909" ht="15.75" customHeight="1">
      <c r="A909" s="45"/>
      <c r="B909" s="45"/>
      <c r="C909" s="46"/>
      <c r="D909" s="45"/>
      <c r="E909" s="47"/>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row>
    <row r="910" ht="15.75" customHeight="1">
      <c r="A910" s="45"/>
      <c r="B910" s="45"/>
      <c r="C910" s="46"/>
      <c r="D910" s="45"/>
      <c r="E910" s="47"/>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row>
    <row r="911" ht="15.75" customHeight="1">
      <c r="A911" s="45"/>
      <c r="B911" s="45"/>
      <c r="C911" s="46"/>
      <c r="D911" s="45"/>
      <c r="E911" s="47"/>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row>
    <row r="912" ht="15.75" customHeight="1">
      <c r="A912" s="45"/>
      <c r="B912" s="45"/>
      <c r="C912" s="46"/>
      <c r="D912" s="45"/>
      <c r="E912" s="47"/>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row>
    <row r="913" ht="15.75" customHeight="1">
      <c r="A913" s="45"/>
      <c r="B913" s="45"/>
      <c r="C913" s="46"/>
      <c r="D913" s="45"/>
      <c r="E913" s="47"/>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row>
    <row r="914" ht="15.75" customHeight="1">
      <c r="A914" s="45"/>
      <c r="B914" s="45"/>
      <c r="C914" s="46"/>
      <c r="D914" s="45"/>
      <c r="E914" s="47"/>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row>
    <row r="915" ht="15.75" customHeight="1">
      <c r="A915" s="45"/>
      <c r="B915" s="45"/>
      <c r="C915" s="46"/>
      <c r="D915" s="45"/>
      <c r="E915" s="47"/>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row>
    <row r="916" ht="15.75" customHeight="1">
      <c r="A916" s="45"/>
      <c r="B916" s="45"/>
      <c r="C916" s="46"/>
      <c r="D916" s="45"/>
      <c r="E916" s="47"/>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row>
    <row r="917" ht="15.75" customHeight="1">
      <c r="A917" s="45"/>
      <c r="B917" s="45"/>
      <c r="C917" s="46"/>
      <c r="D917" s="45"/>
      <c r="E917" s="47"/>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row>
    <row r="918" ht="15.75" customHeight="1">
      <c r="A918" s="45"/>
      <c r="B918" s="45"/>
      <c r="C918" s="46"/>
      <c r="D918" s="45"/>
      <c r="E918" s="47"/>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row>
    <row r="919" ht="15.75" customHeight="1">
      <c r="A919" s="45"/>
      <c r="B919" s="45"/>
      <c r="C919" s="46"/>
      <c r="D919" s="45"/>
      <c r="E919" s="47"/>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row>
    <row r="920" ht="15.75" customHeight="1">
      <c r="A920" s="45"/>
      <c r="B920" s="45"/>
      <c r="C920" s="46"/>
      <c r="D920" s="45"/>
      <c r="E920" s="47"/>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row>
    <row r="921" ht="15.75" customHeight="1">
      <c r="A921" s="45"/>
      <c r="B921" s="45"/>
      <c r="C921" s="46"/>
      <c r="D921" s="45"/>
      <c r="E921" s="47"/>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row>
    <row r="922" ht="15.75" customHeight="1">
      <c r="A922" s="45"/>
      <c r="B922" s="45"/>
      <c r="C922" s="46"/>
      <c r="D922" s="45"/>
      <c r="E922" s="47"/>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row>
    <row r="923" ht="15.75" customHeight="1">
      <c r="A923" s="45"/>
      <c r="B923" s="45"/>
      <c r="C923" s="46"/>
      <c r="D923" s="45"/>
      <c r="E923" s="47"/>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row>
    <row r="924" ht="15.75" customHeight="1">
      <c r="A924" s="45"/>
      <c r="B924" s="45"/>
      <c r="C924" s="46"/>
      <c r="D924" s="45"/>
      <c r="E924" s="47"/>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row>
    <row r="925" ht="15.75" customHeight="1">
      <c r="A925" s="45"/>
      <c r="B925" s="45"/>
      <c r="C925" s="46"/>
      <c r="D925" s="45"/>
      <c r="E925" s="47"/>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row>
    <row r="926" ht="15.75" customHeight="1">
      <c r="A926" s="45"/>
      <c r="B926" s="45"/>
      <c r="C926" s="46"/>
      <c r="D926" s="45"/>
      <c r="E926" s="47"/>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row>
    <row r="927" ht="15.75" customHeight="1">
      <c r="A927" s="45"/>
      <c r="B927" s="45"/>
      <c r="C927" s="46"/>
      <c r="D927" s="45"/>
      <c r="E927" s="47"/>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row>
    <row r="928" ht="15.75" customHeight="1">
      <c r="A928" s="45"/>
      <c r="B928" s="45"/>
      <c r="C928" s="46"/>
      <c r="D928" s="45"/>
      <c r="E928" s="47"/>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row>
    <row r="929" ht="15.75" customHeight="1">
      <c r="A929" s="45"/>
      <c r="B929" s="45"/>
      <c r="C929" s="46"/>
      <c r="D929" s="45"/>
      <c r="E929" s="47"/>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row>
    <row r="930" ht="15.75" customHeight="1">
      <c r="A930" s="45"/>
      <c r="B930" s="45"/>
      <c r="C930" s="46"/>
      <c r="D930" s="45"/>
      <c r="E930" s="47"/>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row>
    <row r="931" ht="15.75" customHeight="1">
      <c r="A931" s="45"/>
      <c r="B931" s="45"/>
      <c r="C931" s="46"/>
      <c r="D931" s="45"/>
      <c r="E931" s="47"/>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row>
    <row r="932" ht="15.75" customHeight="1">
      <c r="A932" s="45"/>
      <c r="B932" s="45"/>
      <c r="C932" s="46"/>
      <c r="D932" s="45"/>
      <c r="E932" s="47"/>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row>
    <row r="933" ht="15.75" customHeight="1">
      <c r="A933" s="45"/>
      <c r="B933" s="45"/>
      <c r="C933" s="46"/>
      <c r="D933" s="45"/>
      <c r="E933" s="47"/>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row>
    <row r="934" ht="15.75" customHeight="1">
      <c r="A934" s="45"/>
      <c r="B934" s="45"/>
      <c r="C934" s="46"/>
      <c r="D934" s="45"/>
      <c r="E934" s="47"/>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row>
    <row r="935" ht="15.75" customHeight="1">
      <c r="A935" s="45"/>
      <c r="B935" s="45"/>
      <c r="C935" s="46"/>
      <c r="D935" s="45"/>
      <c r="E935" s="47"/>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row>
    <row r="936" ht="15.75" customHeight="1">
      <c r="A936" s="45"/>
      <c r="B936" s="45"/>
      <c r="C936" s="46"/>
      <c r="D936" s="45"/>
      <c r="E936" s="47"/>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row>
    <row r="937" ht="15.75" customHeight="1">
      <c r="A937" s="45"/>
      <c r="B937" s="45"/>
      <c r="C937" s="46"/>
      <c r="D937" s="45"/>
      <c r="E937" s="47"/>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row>
    <row r="938" ht="15.75" customHeight="1">
      <c r="A938" s="45"/>
      <c r="B938" s="45"/>
      <c r="C938" s="46"/>
      <c r="D938" s="45"/>
      <c r="E938" s="47"/>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row>
    <row r="939" ht="15.75" customHeight="1">
      <c r="A939" s="45"/>
      <c r="B939" s="45"/>
      <c r="C939" s="46"/>
      <c r="D939" s="45"/>
      <c r="E939" s="47"/>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row>
    <row r="940" ht="15.75" customHeight="1">
      <c r="A940" s="45"/>
      <c r="B940" s="45"/>
      <c r="C940" s="46"/>
      <c r="D940" s="45"/>
      <c r="E940" s="47"/>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row>
    <row r="941" ht="15.75" customHeight="1">
      <c r="A941" s="45"/>
      <c r="B941" s="45"/>
      <c r="C941" s="46"/>
      <c r="D941" s="45"/>
      <c r="E941" s="47"/>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row>
    <row r="942" ht="15.75" customHeight="1">
      <c r="A942" s="45"/>
      <c r="B942" s="45"/>
      <c r="C942" s="46"/>
      <c r="D942" s="45"/>
      <c r="E942" s="47"/>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row>
    <row r="943" ht="15.75" customHeight="1">
      <c r="A943" s="45"/>
      <c r="B943" s="45"/>
      <c r="C943" s="46"/>
      <c r="D943" s="45"/>
      <c r="E943" s="47"/>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row>
    <row r="944" ht="15.75" customHeight="1">
      <c r="A944" s="45"/>
      <c r="B944" s="45"/>
      <c r="C944" s="46"/>
      <c r="D944" s="45"/>
      <c r="E944" s="47"/>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row>
    <row r="945" ht="15.75" customHeight="1">
      <c r="A945" s="45"/>
      <c r="B945" s="45"/>
      <c r="C945" s="46"/>
      <c r="D945" s="45"/>
      <c r="E945" s="47"/>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row>
    <row r="946" ht="15.75" customHeight="1">
      <c r="A946" s="45"/>
      <c r="B946" s="45"/>
      <c r="C946" s="46"/>
      <c r="D946" s="45"/>
      <c r="E946" s="47"/>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row>
    <row r="947" ht="15.75" customHeight="1">
      <c r="A947" s="45"/>
      <c r="B947" s="45"/>
      <c r="C947" s="46"/>
      <c r="D947" s="45"/>
      <c r="E947" s="47"/>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row>
    <row r="948" ht="15.75" customHeight="1">
      <c r="A948" s="45"/>
      <c r="B948" s="45"/>
      <c r="C948" s="46"/>
      <c r="D948" s="45"/>
      <c r="E948" s="47"/>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row>
    <row r="949" ht="15.75" customHeight="1">
      <c r="A949" s="45"/>
      <c r="B949" s="45"/>
      <c r="C949" s="46"/>
      <c r="D949" s="45"/>
      <c r="E949" s="47"/>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row>
    <row r="950" ht="15.75" customHeight="1">
      <c r="A950" s="45"/>
      <c r="B950" s="45"/>
      <c r="C950" s="46"/>
      <c r="D950" s="45"/>
      <c r="E950" s="47"/>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row>
    <row r="951" ht="15.75" customHeight="1">
      <c r="A951" s="45"/>
      <c r="B951" s="45"/>
      <c r="C951" s="46"/>
      <c r="D951" s="45"/>
      <c r="E951" s="47"/>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row>
    <row r="952" ht="15.75" customHeight="1">
      <c r="A952" s="45"/>
      <c r="B952" s="45"/>
      <c r="C952" s="46"/>
      <c r="D952" s="45"/>
      <c r="E952" s="47"/>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row>
    <row r="953" ht="15.75" customHeight="1">
      <c r="A953" s="45"/>
      <c r="B953" s="45"/>
      <c r="C953" s="46"/>
      <c r="D953" s="45"/>
      <c r="E953" s="47"/>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row>
    <row r="954" ht="15.75" customHeight="1">
      <c r="A954" s="45"/>
      <c r="B954" s="45"/>
      <c r="C954" s="46"/>
      <c r="D954" s="45"/>
      <c r="E954" s="47"/>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row>
    <row r="955" ht="15.75" customHeight="1">
      <c r="A955" s="45"/>
      <c r="B955" s="45"/>
      <c r="C955" s="46"/>
      <c r="D955" s="45"/>
      <c r="E955" s="47"/>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row>
    <row r="956" ht="15.75" customHeight="1">
      <c r="A956" s="45"/>
      <c r="B956" s="45"/>
      <c r="C956" s="46"/>
      <c r="D956" s="45"/>
      <c r="E956" s="47"/>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row>
    <row r="957" ht="15.75" customHeight="1">
      <c r="A957" s="45"/>
      <c r="B957" s="45"/>
      <c r="C957" s="46"/>
      <c r="D957" s="45"/>
      <c r="E957" s="47"/>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row>
    <row r="958" ht="15.75" customHeight="1">
      <c r="A958" s="45"/>
      <c r="B958" s="45"/>
      <c r="C958" s="46"/>
      <c r="D958" s="45"/>
      <c r="E958" s="47"/>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row>
    <row r="959" ht="15.75" customHeight="1">
      <c r="A959" s="45"/>
      <c r="B959" s="45"/>
      <c r="C959" s="46"/>
      <c r="D959" s="45"/>
      <c r="E959" s="47"/>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row>
    <row r="960" ht="15.75" customHeight="1">
      <c r="A960" s="45"/>
      <c r="B960" s="45"/>
      <c r="C960" s="46"/>
      <c r="D960" s="45"/>
      <c r="E960" s="47"/>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row>
    <row r="961" ht="15.75" customHeight="1">
      <c r="A961" s="45"/>
      <c r="B961" s="45"/>
      <c r="C961" s="46"/>
      <c r="D961" s="45"/>
      <c r="E961" s="47"/>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row>
    <row r="962" ht="15.75" customHeight="1">
      <c r="A962" s="45"/>
      <c r="B962" s="45"/>
      <c r="C962" s="46"/>
      <c r="D962" s="45"/>
      <c r="E962" s="47"/>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row>
    <row r="963" ht="15.75" customHeight="1">
      <c r="A963" s="45"/>
      <c r="B963" s="45"/>
      <c r="C963" s="46"/>
      <c r="D963" s="45"/>
      <c r="E963" s="47"/>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row>
    <row r="964" ht="15.75" customHeight="1">
      <c r="A964" s="45"/>
      <c r="B964" s="45"/>
      <c r="C964" s="46"/>
      <c r="D964" s="45"/>
      <c r="E964" s="47"/>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row>
    <row r="965" ht="15.75" customHeight="1">
      <c r="A965" s="45"/>
      <c r="B965" s="45"/>
      <c r="C965" s="46"/>
      <c r="D965" s="45"/>
      <c r="E965" s="47"/>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row>
    <row r="966" ht="15.75" customHeight="1">
      <c r="A966" s="45"/>
      <c r="B966" s="45"/>
      <c r="C966" s="46"/>
      <c r="D966" s="45"/>
      <c r="E966" s="47"/>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row>
    <row r="967" ht="15.75" customHeight="1">
      <c r="A967" s="45"/>
      <c r="B967" s="45"/>
      <c r="C967" s="46"/>
      <c r="D967" s="45"/>
      <c r="E967" s="47"/>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row>
    <row r="968" ht="15.75" customHeight="1">
      <c r="A968" s="45"/>
      <c r="B968" s="45"/>
      <c r="C968" s="46"/>
      <c r="D968" s="45"/>
      <c r="E968" s="47"/>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row>
    <row r="969" ht="15.75" customHeight="1">
      <c r="A969" s="45"/>
      <c r="B969" s="45"/>
      <c r="C969" s="46"/>
      <c r="D969" s="45"/>
      <c r="E969" s="47"/>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row>
    <row r="970" ht="15.75" customHeight="1">
      <c r="A970" s="45"/>
      <c r="B970" s="45"/>
      <c r="C970" s="46"/>
      <c r="D970" s="45"/>
      <c r="E970" s="47"/>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row>
    <row r="971" ht="15.75" customHeight="1">
      <c r="A971" s="45"/>
      <c r="B971" s="45"/>
      <c r="C971" s="46"/>
      <c r="D971" s="45"/>
      <c r="E971" s="47"/>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row>
    <row r="972" ht="15.75" customHeight="1">
      <c r="A972" s="45"/>
      <c r="B972" s="45"/>
      <c r="C972" s="46"/>
      <c r="D972" s="45"/>
      <c r="E972" s="47"/>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row>
    <row r="973" ht="15.75" customHeight="1">
      <c r="A973" s="45"/>
      <c r="B973" s="45"/>
      <c r="C973" s="46"/>
      <c r="D973" s="45"/>
      <c r="E973" s="47"/>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row>
    <row r="974" ht="15.75" customHeight="1">
      <c r="A974" s="45"/>
      <c r="B974" s="45"/>
      <c r="C974" s="46"/>
      <c r="D974" s="45"/>
      <c r="E974" s="47"/>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row>
    <row r="975" ht="15.75" customHeight="1">
      <c r="A975" s="45"/>
      <c r="B975" s="45"/>
      <c r="C975" s="46"/>
      <c r="D975" s="45"/>
      <c r="E975" s="47"/>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row>
    <row r="976" ht="15.75" customHeight="1">
      <c r="A976" s="45"/>
      <c r="B976" s="45"/>
      <c r="C976" s="46"/>
      <c r="D976" s="45"/>
      <c r="E976" s="47"/>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row>
    <row r="977" ht="15.75" customHeight="1">
      <c r="A977" s="45"/>
      <c r="B977" s="45"/>
      <c r="C977" s="46"/>
      <c r="D977" s="45"/>
      <c r="E977" s="47"/>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row>
    <row r="978" ht="15.75" customHeight="1">
      <c r="A978" s="45"/>
      <c r="B978" s="45"/>
      <c r="C978" s="46"/>
      <c r="D978" s="45"/>
      <c r="E978" s="47"/>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row>
    <row r="979" ht="15.75" customHeight="1">
      <c r="A979" s="45"/>
      <c r="B979" s="45"/>
      <c r="C979" s="46"/>
      <c r="D979" s="45"/>
      <c r="E979" s="47"/>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row>
    <row r="980" ht="15.75" customHeight="1">
      <c r="A980" s="45"/>
      <c r="B980" s="45"/>
      <c r="C980" s="46"/>
      <c r="D980" s="45"/>
      <c r="E980" s="47"/>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row>
    <row r="981" ht="15.75" customHeight="1">
      <c r="A981" s="45"/>
      <c r="B981" s="45"/>
      <c r="C981" s="46"/>
      <c r="D981" s="45"/>
      <c r="E981" s="47"/>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row>
    <row r="982" ht="15.75" customHeight="1">
      <c r="A982" s="45"/>
      <c r="B982" s="45"/>
      <c r="C982" s="46"/>
      <c r="D982" s="45"/>
      <c r="E982" s="47"/>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row>
    <row r="983" ht="15.75" customHeight="1">
      <c r="A983" s="45"/>
      <c r="B983" s="45"/>
      <c r="C983" s="46"/>
      <c r="D983" s="45"/>
      <c r="E983" s="47"/>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row>
    <row r="984" ht="15.75" customHeight="1">
      <c r="A984" s="45"/>
      <c r="B984" s="45"/>
      <c r="C984" s="46"/>
      <c r="D984" s="45"/>
      <c r="E984" s="47"/>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row>
    <row r="985" ht="15.75" customHeight="1">
      <c r="A985" s="45"/>
      <c r="B985" s="45"/>
      <c r="C985" s="46"/>
      <c r="D985" s="45"/>
      <c r="E985" s="47"/>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row>
    <row r="986" ht="15.75" customHeight="1">
      <c r="A986" s="45"/>
      <c r="B986" s="45"/>
      <c r="C986" s="46"/>
      <c r="D986" s="45"/>
      <c r="E986" s="47"/>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row>
    <row r="987" ht="15.75" customHeight="1">
      <c r="A987" s="45"/>
      <c r="B987" s="45"/>
      <c r="C987" s="46"/>
      <c r="D987" s="45"/>
      <c r="E987" s="47"/>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row>
    <row r="988" ht="15.75" customHeight="1">
      <c r="A988" s="45"/>
      <c r="B988" s="45"/>
      <c r="C988" s="46"/>
      <c r="D988" s="45"/>
      <c r="E988" s="47"/>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row>
    <row r="989" ht="15.75" customHeight="1">
      <c r="A989" s="45"/>
      <c r="B989" s="45"/>
      <c r="C989" s="46"/>
      <c r="D989" s="45"/>
      <c r="E989" s="47"/>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c r="AV989" s="45"/>
      <c r="AW989" s="45"/>
      <c r="AX989" s="45"/>
    </row>
    <row r="990" ht="15.75" customHeight="1">
      <c r="A990" s="45"/>
      <c r="B990" s="45"/>
      <c r="C990" s="46"/>
      <c r="D990" s="45"/>
      <c r="E990" s="47"/>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c r="AV990" s="45"/>
      <c r="AW990" s="45"/>
      <c r="AX990" s="45"/>
    </row>
    <row r="991" ht="15.75" customHeight="1">
      <c r="A991" s="45"/>
      <c r="B991" s="45"/>
      <c r="C991" s="46"/>
      <c r="D991" s="45"/>
      <c r="E991" s="47"/>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c r="AV991" s="45"/>
      <c r="AW991" s="45"/>
      <c r="AX991" s="45"/>
    </row>
    <row r="992" ht="15.75" customHeight="1">
      <c r="A992" s="45"/>
      <c r="B992" s="45"/>
      <c r="C992" s="46"/>
      <c r="D992" s="45"/>
      <c r="E992" s="47"/>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c r="AV992" s="45"/>
      <c r="AW992" s="45"/>
      <c r="AX992" s="45"/>
    </row>
    <row r="993" ht="15.75" customHeight="1">
      <c r="A993" s="45"/>
      <c r="B993" s="45"/>
      <c r="C993" s="46"/>
      <c r="D993" s="45"/>
      <c r="E993" s="47"/>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c r="AV993" s="45"/>
      <c r="AW993" s="45"/>
      <c r="AX993" s="45"/>
    </row>
    <row r="994" ht="15.75" customHeight="1">
      <c r="A994" s="45"/>
      <c r="B994" s="45"/>
      <c r="C994" s="46"/>
      <c r="D994" s="45"/>
      <c r="E994" s="47"/>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c r="AV994" s="45"/>
      <c r="AW994" s="45"/>
      <c r="AX994" s="45"/>
    </row>
    <row r="995" ht="15.75" customHeight="1">
      <c r="A995" s="45"/>
      <c r="B995" s="45"/>
      <c r="C995" s="46"/>
      <c r="D995" s="45"/>
      <c r="E995" s="47"/>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c r="AV995" s="45"/>
      <c r="AW995" s="45"/>
      <c r="AX995" s="45"/>
    </row>
    <row r="996" ht="15.75" customHeight="1">
      <c r="A996" s="45"/>
      <c r="B996" s="45"/>
      <c r="C996" s="46"/>
      <c r="D996" s="45"/>
      <c r="E996" s="47"/>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c r="AV996" s="45"/>
      <c r="AW996" s="45"/>
      <c r="AX996" s="45"/>
    </row>
    <row r="997" ht="15.75" customHeight="1">
      <c r="A997" s="45"/>
      <c r="B997" s="45"/>
      <c r="C997" s="46"/>
      <c r="D997" s="45"/>
      <c r="E997" s="47"/>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c r="AV997" s="45"/>
      <c r="AW997" s="45"/>
      <c r="AX997" s="45"/>
    </row>
    <row r="998" ht="15.75" customHeight="1">
      <c r="A998" s="45"/>
      <c r="B998" s="45"/>
      <c r="C998" s="46"/>
      <c r="D998" s="45"/>
      <c r="E998" s="47"/>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c r="AV998" s="45"/>
      <c r="AW998" s="45"/>
      <c r="AX998" s="45"/>
    </row>
    <row r="999" ht="15.75" customHeight="1">
      <c r="A999" s="45"/>
      <c r="B999" s="45"/>
      <c r="C999" s="46"/>
      <c r="D999" s="45"/>
      <c r="E999" s="47"/>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c r="AV999" s="45"/>
      <c r="AW999" s="45"/>
      <c r="AX999" s="45"/>
    </row>
    <row r="1000" ht="15.75" customHeight="1">
      <c r="A1000" s="45"/>
      <c r="B1000" s="45"/>
      <c r="C1000" s="46"/>
      <c r="D1000" s="45"/>
      <c r="E1000" s="47"/>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5"/>
    </row>
    <row r="1001" ht="15.75" customHeight="1">
      <c r="A1001" s="45"/>
      <c r="B1001" s="45"/>
      <c r="C1001" s="46"/>
      <c r="D1001" s="45"/>
      <c r="E1001" s="47"/>
      <c r="F1001" s="45"/>
      <c r="G1001" s="45"/>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c r="AJ1001" s="45"/>
      <c r="AK1001" s="45"/>
      <c r="AL1001" s="45"/>
      <c r="AM1001" s="45"/>
      <c r="AN1001" s="45"/>
      <c r="AO1001" s="45"/>
      <c r="AP1001" s="45"/>
      <c r="AQ1001" s="45"/>
      <c r="AR1001" s="45"/>
      <c r="AS1001" s="45"/>
      <c r="AT1001" s="45"/>
      <c r="AU1001" s="45"/>
      <c r="AV1001" s="45"/>
      <c r="AW1001" s="45"/>
      <c r="AX1001" s="45"/>
    </row>
    <row r="1002" ht="15.75" customHeight="1">
      <c r="A1002" s="45"/>
      <c r="B1002" s="45"/>
      <c r="C1002" s="46"/>
      <c r="D1002" s="45"/>
      <c r="E1002" s="47"/>
      <c r="F1002" s="45"/>
      <c r="G1002" s="45"/>
      <c r="H1002" s="45"/>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c r="AJ1002" s="45"/>
      <c r="AK1002" s="45"/>
      <c r="AL1002" s="45"/>
      <c r="AM1002" s="45"/>
      <c r="AN1002" s="45"/>
      <c r="AO1002" s="45"/>
      <c r="AP1002" s="45"/>
      <c r="AQ1002" s="45"/>
      <c r="AR1002" s="45"/>
      <c r="AS1002" s="45"/>
      <c r="AT1002" s="45"/>
      <c r="AU1002" s="45"/>
      <c r="AV1002" s="45"/>
      <c r="AW1002" s="45"/>
      <c r="AX1002" s="45"/>
    </row>
    <row r="1003" ht="15.75" customHeight="1">
      <c r="A1003" s="45"/>
      <c r="B1003" s="45"/>
      <c r="C1003" s="46"/>
      <c r="D1003" s="45"/>
      <c r="E1003" s="47"/>
      <c r="F1003" s="45"/>
      <c r="G1003" s="45"/>
      <c r="H1003" s="45"/>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c r="AJ1003" s="45"/>
      <c r="AK1003" s="45"/>
      <c r="AL1003" s="45"/>
      <c r="AM1003" s="45"/>
      <c r="AN1003" s="45"/>
      <c r="AO1003" s="45"/>
      <c r="AP1003" s="45"/>
      <c r="AQ1003" s="45"/>
      <c r="AR1003" s="45"/>
      <c r="AS1003" s="45"/>
      <c r="AT1003" s="45"/>
      <c r="AU1003" s="45"/>
      <c r="AV1003" s="45"/>
      <c r="AW1003" s="45"/>
      <c r="AX1003" s="45"/>
    </row>
    <row r="1004" ht="15.75" customHeight="1">
      <c r="A1004" s="45"/>
      <c r="B1004" s="45"/>
      <c r="C1004" s="46"/>
      <c r="D1004" s="45"/>
      <c r="E1004" s="47"/>
      <c r="F1004" s="45"/>
      <c r="G1004" s="45"/>
      <c r="H1004" s="45"/>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c r="AJ1004" s="45"/>
      <c r="AK1004" s="45"/>
      <c r="AL1004" s="45"/>
      <c r="AM1004" s="45"/>
      <c r="AN1004" s="45"/>
      <c r="AO1004" s="45"/>
      <c r="AP1004" s="45"/>
      <c r="AQ1004" s="45"/>
      <c r="AR1004" s="45"/>
      <c r="AS1004" s="45"/>
      <c r="AT1004" s="45"/>
      <c r="AU1004" s="45"/>
      <c r="AV1004" s="45"/>
      <c r="AW1004" s="45"/>
      <c r="AX1004" s="45"/>
    </row>
    <row r="1005" ht="15.75" customHeight="1">
      <c r="A1005" s="45"/>
      <c r="B1005" s="45"/>
      <c r="C1005" s="46"/>
      <c r="D1005" s="45"/>
      <c r="E1005" s="47"/>
      <c r="F1005" s="45"/>
      <c r="G1005" s="45"/>
      <c r="H1005" s="45"/>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c r="AJ1005" s="45"/>
      <c r="AK1005" s="45"/>
      <c r="AL1005" s="45"/>
      <c r="AM1005" s="45"/>
      <c r="AN1005" s="45"/>
      <c r="AO1005" s="45"/>
      <c r="AP1005" s="45"/>
      <c r="AQ1005" s="45"/>
      <c r="AR1005" s="45"/>
      <c r="AS1005" s="45"/>
      <c r="AT1005" s="45"/>
      <c r="AU1005" s="45"/>
      <c r="AV1005" s="45"/>
      <c r="AW1005" s="45"/>
      <c r="AX1005" s="45"/>
    </row>
    <row r="1006" ht="15.75" customHeight="1">
      <c r="A1006" s="45"/>
      <c r="B1006" s="45"/>
      <c r="C1006" s="46"/>
      <c r="D1006" s="45"/>
      <c r="E1006" s="47"/>
      <c r="F1006" s="45"/>
      <c r="G1006" s="45"/>
      <c r="H1006" s="45"/>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c r="AJ1006" s="45"/>
      <c r="AK1006" s="45"/>
      <c r="AL1006" s="45"/>
      <c r="AM1006" s="45"/>
      <c r="AN1006" s="45"/>
      <c r="AO1006" s="45"/>
      <c r="AP1006" s="45"/>
      <c r="AQ1006" s="45"/>
      <c r="AR1006" s="45"/>
      <c r="AS1006" s="45"/>
      <c r="AT1006" s="45"/>
      <c r="AU1006" s="45"/>
      <c r="AV1006" s="45"/>
      <c r="AW1006" s="45"/>
      <c r="AX1006" s="45"/>
    </row>
    <row r="1007" ht="15.75" customHeight="1">
      <c r="A1007" s="45"/>
      <c r="B1007" s="45"/>
      <c r="C1007" s="46"/>
      <c r="D1007" s="45"/>
      <c r="E1007" s="47"/>
      <c r="F1007" s="45"/>
      <c r="G1007" s="45"/>
      <c r="H1007" s="45"/>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c r="AJ1007" s="45"/>
      <c r="AK1007" s="45"/>
      <c r="AL1007" s="45"/>
      <c r="AM1007" s="45"/>
      <c r="AN1007" s="45"/>
      <c r="AO1007" s="45"/>
      <c r="AP1007" s="45"/>
      <c r="AQ1007" s="45"/>
      <c r="AR1007" s="45"/>
      <c r="AS1007" s="45"/>
      <c r="AT1007" s="45"/>
      <c r="AU1007" s="45"/>
      <c r="AV1007" s="45"/>
      <c r="AW1007" s="45"/>
      <c r="AX1007" s="45"/>
    </row>
    <row r="1008" ht="15.75" customHeight="1">
      <c r="A1008" s="45"/>
      <c r="B1008" s="45"/>
      <c r="C1008" s="46"/>
      <c r="D1008" s="45"/>
      <c r="E1008" s="47"/>
      <c r="F1008" s="45"/>
      <c r="G1008" s="45"/>
      <c r="H1008" s="45"/>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c r="AJ1008" s="45"/>
      <c r="AK1008" s="45"/>
      <c r="AL1008" s="45"/>
      <c r="AM1008" s="45"/>
      <c r="AN1008" s="45"/>
      <c r="AO1008" s="45"/>
      <c r="AP1008" s="45"/>
      <c r="AQ1008" s="45"/>
      <c r="AR1008" s="45"/>
      <c r="AS1008" s="45"/>
      <c r="AT1008" s="45"/>
      <c r="AU1008" s="45"/>
      <c r="AV1008" s="45"/>
      <c r="AW1008" s="45"/>
      <c r="AX1008" s="45"/>
    </row>
    <row r="1009" ht="15.75" customHeight="1">
      <c r="A1009" s="45"/>
      <c r="B1009" s="45"/>
      <c r="C1009" s="46"/>
      <c r="D1009" s="45"/>
      <c r="E1009" s="47"/>
      <c r="F1009" s="45"/>
      <c r="G1009" s="45"/>
      <c r="H1009" s="45"/>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c r="AJ1009" s="45"/>
      <c r="AK1009" s="45"/>
      <c r="AL1009" s="45"/>
      <c r="AM1009" s="45"/>
      <c r="AN1009" s="45"/>
      <c r="AO1009" s="45"/>
      <c r="AP1009" s="45"/>
      <c r="AQ1009" s="45"/>
      <c r="AR1009" s="45"/>
      <c r="AS1009" s="45"/>
      <c r="AT1009" s="45"/>
      <c r="AU1009" s="45"/>
      <c r="AV1009" s="45"/>
      <c r="AW1009" s="45"/>
      <c r="AX1009" s="45"/>
    </row>
    <row r="1010" ht="15.75" customHeight="1">
      <c r="A1010" s="45"/>
      <c r="B1010" s="45"/>
      <c r="C1010" s="46"/>
      <c r="D1010" s="45"/>
      <c r="E1010" s="47"/>
      <c r="F1010" s="45"/>
      <c r="G1010" s="45"/>
      <c r="H1010" s="45"/>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c r="AJ1010" s="45"/>
      <c r="AK1010" s="45"/>
      <c r="AL1010" s="45"/>
      <c r="AM1010" s="45"/>
      <c r="AN1010" s="45"/>
      <c r="AO1010" s="45"/>
      <c r="AP1010" s="45"/>
      <c r="AQ1010" s="45"/>
      <c r="AR1010" s="45"/>
      <c r="AS1010" s="45"/>
      <c r="AT1010" s="45"/>
      <c r="AU1010" s="45"/>
      <c r="AV1010" s="45"/>
      <c r="AW1010" s="45"/>
      <c r="AX1010" s="45"/>
    </row>
    <row r="1011" ht="15.75" customHeight="1">
      <c r="A1011" s="45"/>
      <c r="B1011" s="45"/>
      <c r="C1011" s="46"/>
      <c r="D1011" s="45"/>
      <c r="E1011" s="47"/>
      <c r="F1011" s="45"/>
      <c r="G1011" s="45"/>
      <c r="H1011" s="45"/>
      <c r="I1011" s="45"/>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c r="AJ1011" s="45"/>
      <c r="AK1011" s="45"/>
      <c r="AL1011" s="45"/>
      <c r="AM1011" s="45"/>
      <c r="AN1011" s="45"/>
      <c r="AO1011" s="45"/>
      <c r="AP1011" s="45"/>
      <c r="AQ1011" s="45"/>
      <c r="AR1011" s="45"/>
      <c r="AS1011" s="45"/>
      <c r="AT1011" s="45"/>
      <c r="AU1011" s="45"/>
      <c r="AV1011" s="45"/>
      <c r="AW1011" s="45"/>
      <c r="AX1011" s="45"/>
    </row>
    <row r="1012" ht="15.75" customHeight="1">
      <c r="A1012" s="45"/>
      <c r="B1012" s="45"/>
      <c r="C1012" s="46"/>
      <c r="D1012" s="45"/>
      <c r="E1012" s="47"/>
      <c r="F1012" s="45"/>
      <c r="G1012" s="45"/>
      <c r="H1012" s="45"/>
      <c r="I1012" s="45"/>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c r="AJ1012" s="45"/>
      <c r="AK1012" s="45"/>
      <c r="AL1012" s="45"/>
      <c r="AM1012" s="45"/>
      <c r="AN1012" s="45"/>
      <c r="AO1012" s="45"/>
      <c r="AP1012" s="45"/>
      <c r="AQ1012" s="45"/>
      <c r="AR1012" s="45"/>
      <c r="AS1012" s="45"/>
      <c r="AT1012" s="45"/>
      <c r="AU1012" s="45"/>
      <c r="AV1012" s="45"/>
      <c r="AW1012" s="45"/>
      <c r="AX1012" s="45"/>
    </row>
    <row r="1013" ht="15.75" customHeight="1">
      <c r="A1013" s="45"/>
      <c r="B1013" s="45"/>
      <c r="C1013" s="46"/>
      <c r="D1013" s="45"/>
      <c r="E1013" s="47"/>
      <c r="F1013" s="45"/>
      <c r="G1013" s="45"/>
      <c r="H1013" s="45"/>
      <c r="I1013" s="45"/>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c r="AJ1013" s="45"/>
      <c r="AK1013" s="45"/>
      <c r="AL1013" s="45"/>
      <c r="AM1013" s="45"/>
      <c r="AN1013" s="45"/>
      <c r="AO1013" s="45"/>
      <c r="AP1013" s="45"/>
      <c r="AQ1013" s="45"/>
      <c r="AR1013" s="45"/>
      <c r="AS1013" s="45"/>
      <c r="AT1013" s="45"/>
      <c r="AU1013" s="45"/>
      <c r="AV1013" s="45"/>
      <c r="AW1013" s="45"/>
      <c r="AX1013" s="45"/>
    </row>
    <row r="1014" ht="15.75" customHeight="1">
      <c r="A1014" s="45"/>
      <c r="B1014" s="45"/>
      <c r="C1014" s="46"/>
      <c r="D1014" s="45"/>
      <c r="E1014" s="47"/>
      <c r="F1014" s="45"/>
      <c r="G1014" s="45"/>
      <c r="H1014" s="45"/>
      <c r="I1014" s="45"/>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c r="AJ1014" s="45"/>
      <c r="AK1014" s="45"/>
      <c r="AL1014" s="45"/>
      <c r="AM1014" s="45"/>
      <c r="AN1014" s="45"/>
      <c r="AO1014" s="45"/>
      <c r="AP1014" s="45"/>
      <c r="AQ1014" s="45"/>
      <c r="AR1014" s="45"/>
      <c r="AS1014" s="45"/>
      <c r="AT1014" s="45"/>
      <c r="AU1014" s="45"/>
      <c r="AV1014" s="45"/>
      <c r="AW1014" s="45"/>
      <c r="AX1014" s="45"/>
    </row>
    <row r="1015" ht="15.75" customHeight="1">
      <c r="A1015" s="45"/>
      <c r="B1015" s="45"/>
      <c r="C1015" s="46"/>
      <c r="D1015" s="45"/>
      <c r="E1015" s="47"/>
      <c r="F1015" s="45"/>
      <c r="G1015" s="45"/>
      <c r="H1015" s="45"/>
      <c r="I1015" s="45"/>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c r="AJ1015" s="45"/>
      <c r="AK1015" s="45"/>
      <c r="AL1015" s="45"/>
      <c r="AM1015" s="45"/>
      <c r="AN1015" s="45"/>
      <c r="AO1015" s="45"/>
      <c r="AP1015" s="45"/>
      <c r="AQ1015" s="45"/>
      <c r="AR1015" s="45"/>
      <c r="AS1015" s="45"/>
      <c r="AT1015" s="45"/>
      <c r="AU1015" s="45"/>
      <c r="AV1015" s="45"/>
      <c r="AW1015" s="45"/>
      <c r="AX1015" s="45"/>
    </row>
    <row r="1016" ht="15.75" customHeight="1">
      <c r="A1016" s="45"/>
      <c r="B1016" s="45"/>
      <c r="C1016" s="46"/>
      <c r="D1016" s="45"/>
      <c r="E1016" s="47"/>
      <c r="F1016" s="45"/>
      <c r="G1016" s="45"/>
      <c r="H1016" s="45"/>
      <c r="I1016" s="45"/>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c r="AJ1016" s="45"/>
      <c r="AK1016" s="45"/>
      <c r="AL1016" s="45"/>
      <c r="AM1016" s="45"/>
      <c r="AN1016" s="45"/>
      <c r="AO1016" s="45"/>
      <c r="AP1016" s="45"/>
      <c r="AQ1016" s="45"/>
      <c r="AR1016" s="45"/>
      <c r="AS1016" s="45"/>
      <c r="AT1016" s="45"/>
      <c r="AU1016" s="45"/>
      <c r="AV1016" s="45"/>
      <c r="AW1016" s="45"/>
      <c r="AX1016" s="45"/>
    </row>
    <row r="1017" ht="15.75" customHeight="1">
      <c r="A1017" s="45"/>
      <c r="B1017" s="45"/>
      <c r="C1017" s="46"/>
      <c r="D1017" s="45"/>
      <c r="E1017" s="47"/>
      <c r="F1017" s="45"/>
      <c r="G1017" s="45"/>
      <c r="H1017" s="45"/>
      <c r="I1017" s="45"/>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c r="AJ1017" s="45"/>
      <c r="AK1017" s="45"/>
      <c r="AL1017" s="45"/>
      <c r="AM1017" s="45"/>
      <c r="AN1017" s="45"/>
      <c r="AO1017" s="45"/>
      <c r="AP1017" s="45"/>
      <c r="AQ1017" s="45"/>
      <c r="AR1017" s="45"/>
      <c r="AS1017" s="45"/>
      <c r="AT1017" s="45"/>
      <c r="AU1017" s="45"/>
      <c r="AV1017" s="45"/>
      <c r="AW1017" s="45"/>
      <c r="AX1017" s="45"/>
    </row>
    <row r="1018" ht="15.75" customHeight="1">
      <c r="A1018" s="45"/>
      <c r="B1018" s="45"/>
      <c r="C1018" s="46"/>
      <c r="D1018" s="45"/>
      <c r="E1018" s="47"/>
      <c r="F1018" s="45"/>
      <c r="G1018" s="45"/>
      <c r="H1018" s="45"/>
      <c r="I1018" s="45"/>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c r="AJ1018" s="45"/>
      <c r="AK1018" s="45"/>
      <c r="AL1018" s="45"/>
      <c r="AM1018" s="45"/>
      <c r="AN1018" s="45"/>
      <c r="AO1018" s="45"/>
      <c r="AP1018" s="45"/>
      <c r="AQ1018" s="45"/>
      <c r="AR1018" s="45"/>
      <c r="AS1018" s="45"/>
      <c r="AT1018" s="45"/>
      <c r="AU1018" s="45"/>
      <c r="AV1018" s="45"/>
      <c r="AW1018" s="45"/>
      <c r="AX1018" s="45"/>
    </row>
    <row r="1019" ht="15.75" customHeight="1">
      <c r="A1019" s="45"/>
      <c r="B1019" s="45"/>
      <c r="C1019" s="46"/>
      <c r="D1019" s="45"/>
      <c r="E1019" s="47"/>
      <c r="F1019" s="45"/>
      <c r="G1019" s="45"/>
      <c r="H1019" s="45"/>
      <c r="I1019" s="45"/>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c r="AJ1019" s="45"/>
      <c r="AK1019" s="45"/>
      <c r="AL1019" s="45"/>
      <c r="AM1019" s="45"/>
      <c r="AN1019" s="45"/>
      <c r="AO1019" s="45"/>
      <c r="AP1019" s="45"/>
      <c r="AQ1019" s="45"/>
      <c r="AR1019" s="45"/>
      <c r="AS1019" s="45"/>
      <c r="AT1019" s="45"/>
      <c r="AU1019" s="45"/>
      <c r="AV1019" s="45"/>
      <c r="AW1019" s="45"/>
      <c r="AX1019" s="45"/>
    </row>
    <row r="1020" ht="15.75" customHeight="1">
      <c r="A1020" s="45"/>
      <c r="B1020" s="45"/>
      <c r="C1020" s="46"/>
      <c r="D1020" s="45"/>
      <c r="E1020" s="47"/>
      <c r="F1020" s="45"/>
      <c r="G1020" s="45"/>
      <c r="H1020" s="45"/>
      <c r="I1020" s="45"/>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c r="AJ1020" s="45"/>
      <c r="AK1020" s="45"/>
      <c r="AL1020" s="45"/>
      <c r="AM1020" s="45"/>
      <c r="AN1020" s="45"/>
      <c r="AO1020" s="45"/>
      <c r="AP1020" s="45"/>
      <c r="AQ1020" s="45"/>
      <c r="AR1020" s="45"/>
      <c r="AS1020" s="45"/>
      <c r="AT1020" s="45"/>
      <c r="AU1020" s="45"/>
      <c r="AV1020" s="45"/>
      <c r="AW1020" s="45"/>
      <c r="AX1020" s="45"/>
    </row>
    <row r="1021" ht="15.75" customHeight="1">
      <c r="A1021" s="45"/>
      <c r="B1021" s="45"/>
      <c r="C1021" s="46"/>
      <c r="D1021" s="45"/>
      <c r="E1021" s="47"/>
      <c r="F1021" s="45"/>
      <c r="G1021" s="45"/>
      <c r="H1021" s="45"/>
      <c r="I1021" s="45"/>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c r="AJ1021" s="45"/>
      <c r="AK1021" s="45"/>
      <c r="AL1021" s="45"/>
      <c r="AM1021" s="45"/>
      <c r="AN1021" s="45"/>
      <c r="AO1021" s="45"/>
      <c r="AP1021" s="45"/>
      <c r="AQ1021" s="45"/>
      <c r="AR1021" s="45"/>
      <c r="AS1021" s="45"/>
      <c r="AT1021" s="45"/>
      <c r="AU1021" s="45"/>
      <c r="AV1021" s="45"/>
      <c r="AW1021" s="45"/>
      <c r="AX1021" s="45"/>
    </row>
    <row r="1022" ht="15.75" customHeight="1">
      <c r="A1022" s="45"/>
      <c r="B1022" s="45"/>
      <c r="C1022" s="46"/>
      <c r="D1022" s="45"/>
      <c r="E1022" s="47"/>
      <c r="F1022" s="45"/>
      <c r="G1022" s="45"/>
      <c r="H1022" s="45"/>
      <c r="I1022" s="45"/>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c r="AJ1022" s="45"/>
      <c r="AK1022" s="45"/>
      <c r="AL1022" s="45"/>
      <c r="AM1022" s="45"/>
      <c r="AN1022" s="45"/>
      <c r="AO1022" s="45"/>
      <c r="AP1022" s="45"/>
      <c r="AQ1022" s="45"/>
      <c r="AR1022" s="45"/>
      <c r="AS1022" s="45"/>
      <c r="AT1022" s="45"/>
      <c r="AU1022" s="45"/>
      <c r="AV1022" s="45"/>
      <c r="AW1022" s="45"/>
      <c r="AX1022" s="45"/>
    </row>
    <row r="1023" ht="15.75" customHeight="1">
      <c r="A1023" s="45"/>
      <c r="B1023" s="45"/>
      <c r="C1023" s="46"/>
      <c r="D1023" s="45"/>
      <c r="E1023" s="47"/>
      <c r="F1023" s="45"/>
      <c r="G1023" s="45"/>
      <c r="H1023" s="45"/>
      <c r="I1023" s="45"/>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c r="AJ1023" s="45"/>
      <c r="AK1023" s="45"/>
      <c r="AL1023" s="45"/>
      <c r="AM1023" s="45"/>
      <c r="AN1023" s="45"/>
      <c r="AO1023" s="45"/>
      <c r="AP1023" s="45"/>
      <c r="AQ1023" s="45"/>
      <c r="AR1023" s="45"/>
      <c r="AS1023" s="45"/>
      <c r="AT1023" s="45"/>
      <c r="AU1023" s="45"/>
      <c r="AV1023" s="45"/>
      <c r="AW1023" s="45"/>
      <c r="AX1023" s="45"/>
    </row>
    <row r="1024" ht="15.75" customHeight="1">
      <c r="A1024" s="45"/>
      <c r="B1024" s="45"/>
      <c r="C1024" s="46"/>
      <c r="D1024" s="45"/>
      <c r="E1024" s="47"/>
      <c r="F1024" s="45"/>
      <c r="G1024" s="45"/>
      <c r="H1024" s="45"/>
      <c r="I1024" s="45"/>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c r="AJ1024" s="45"/>
      <c r="AK1024" s="45"/>
      <c r="AL1024" s="45"/>
      <c r="AM1024" s="45"/>
      <c r="AN1024" s="45"/>
      <c r="AO1024" s="45"/>
      <c r="AP1024" s="45"/>
      <c r="AQ1024" s="45"/>
      <c r="AR1024" s="45"/>
      <c r="AS1024" s="45"/>
      <c r="AT1024" s="45"/>
      <c r="AU1024" s="45"/>
      <c r="AV1024" s="45"/>
      <c r="AW1024" s="45"/>
      <c r="AX1024" s="45"/>
    </row>
    <row r="1025" ht="15.75" customHeight="1">
      <c r="A1025" s="45"/>
      <c r="B1025" s="45"/>
      <c r="C1025" s="46"/>
      <c r="D1025" s="45"/>
      <c r="E1025" s="47"/>
      <c r="F1025" s="45"/>
      <c r="G1025" s="45"/>
      <c r="H1025" s="45"/>
      <c r="I1025" s="45"/>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45"/>
      <c r="AF1025" s="45"/>
      <c r="AG1025" s="45"/>
      <c r="AH1025" s="45"/>
      <c r="AI1025" s="45"/>
      <c r="AJ1025" s="45"/>
      <c r="AK1025" s="45"/>
      <c r="AL1025" s="45"/>
      <c r="AM1025" s="45"/>
      <c r="AN1025" s="45"/>
      <c r="AO1025" s="45"/>
      <c r="AP1025" s="45"/>
      <c r="AQ1025" s="45"/>
      <c r="AR1025" s="45"/>
      <c r="AS1025" s="45"/>
      <c r="AT1025" s="45"/>
      <c r="AU1025" s="45"/>
      <c r="AV1025" s="45"/>
      <c r="AW1025" s="45"/>
      <c r="AX1025" s="45"/>
    </row>
    <row r="1026" ht="15.75" customHeight="1">
      <c r="A1026" s="45"/>
      <c r="B1026" s="45"/>
      <c r="C1026" s="46"/>
      <c r="D1026" s="45"/>
      <c r="E1026" s="47"/>
      <c r="F1026" s="45"/>
      <c r="G1026" s="45"/>
      <c r="H1026" s="45"/>
      <c r="I1026" s="45"/>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45"/>
      <c r="AF1026" s="45"/>
      <c r="AG1026" s="45"/>
      <c r="AH1026" s="45"/>
      <c r="AI1026" s="45"/>
      <c r="AJ1026" s="45"/>
      <c r="AK1026" s="45"/>
      <c r="AL1026" s="45"/>
      <c r="AM1026" s="45"/>
      <c r="AN1026" s="45"/>
      <c r="AO1026" s="45"/>
      <c r="AP1026" s="45"/>
      <c r="AQ1026" s="45"/>
      <c r="AR1026" s="45"/>
      <c r="AS1026" s="45"/>
      <c r="AT1026" s="45"/>
      <c r="AU1026" s="45"/>
      <c r="AV1026" s="45"/>
      <c r="AW1026" s="45"/>
      <c r="AX1026" s="45"/>
    </row>
    <row r="1027" ht="15.75" customHeight="1">
      <c r="A1027" s="45"/>
      <c r="B1027" s="45"/>
      <c r="C1027" s="46"/>
      <c r="D1027" s="45"/>
      <c r="E1027" s="47"/>
      <c r="F1027" s="45"/>
      <c r="G1027" s="45"/>
      <c r="H1027" s="45"/>
      <c r="I1027" s="45"/>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45"/>
      <c r="AF1027" s="45"/>
      <c r="AG1027" s="45"/>
      <c r="AH1027" s="45"/>
      <c r="AI1027" s="45"/>
      <c r="AJ1027" s="45"/>
      <c r="AK1027" s="45"/>
      <c r="AL1027" s="45"/>
      <c r="AM1027" s="45"/>
      <c r="AN1027" s="45"/>
      <c r="AO1027" s="45"/>
      <c r="AP1027" s="45"/>
      <c r="AQ1027" s="45"/>
      <c r="AR1027" s="45"/>
      <c r="AS1027" s="45"/>
      <c r="AT1027" s="45"/>
      <c r="AU1027" s="45"/>
      <c r="AV1027" s="45"/>
      <c r="AW1027" s="45"/>
      <c r="AX1027" s="45"/>
    </row>
    <row r="1028" ht="15.75" customHeight="1">
      <c r="A1028" s="45"/>
      <c r="B1028" s="45"/>
      <c r="C1028" s="46"/>
      <c r="D1028" s="45"/>
      <c r="E1028" s="47"/>
      <c r="F1028" s="45"/>
      <c r="G1028" s="45"/>
      <c r="H1028" s="45"/>
      <c r="I1028" s="45"/>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45"/>
      <c r="AF1028" s="45"/>
      <c r="AG1028" s="45"/>
      <c r="AH1028" s="45"/>
      <c r="AI1028" s="45"/>
      <c r="AJ1028" s="45"/>
      <c r="AK1028" s="45"/>
      <c r="AL1028" s="45"/>
      <c r="AM1028" s="45"/>
      <c r="AN1028" s="45"/>
      <c r="AO1028" s="45"/>
      <c r="AP1028" s="45"/>
      <c r="AQ1028" s="45"/>
      <c r="AR1028" s="45"/>
      <c r="AS1028" s="45"/>
      <c r="AT1028" s="45"/>
      <c r="AU1028" s="45"/>
      <c r="AV1028" s="45"/>
      <c r="AW1028" s="45"/>
      <c r="AX1028" s="45"/>
    </row>
    <row r="1029" ht="15.75" customHeight="1">
      <c r="A1029" s="45"/>
      <c r="B1029" s="45"/>
      <c r="C1029" s="46"/>
      <c r="D1029" s="45"/>
      <c r="E1029" s="47"/>
      <c r="F1029" s="45"/>
      <c r="G1029" s="45"/>
      <c r="H1029" s="45"/>
      <c r="I1029" s="45"/>
      <c r="J1029" s="45"/>
      <c r="K1029" s="45"/>
      <c r="L1029" s="45"/>
      <c r="M1029" s="45"/>
      <c r="N1029" s="45"/>
      <c r="O1029" s="45"/>
      <c r="P1029" s="45"/>
      <c r="Q1029" s="45"/>
      <c r="R1029" s="45"/>
      <c r="S1029" s="45"/>
      <c r="T1029" s="45"/>
      <c r="U1029" s="45"/>
      <c r="V1029" s="45"/>
      <c r="W1029" s="45"/>
      <c r="X1029" s="45"/>
      <c r="Y1029" s="45"/>
      <c r="Z1029" s="45"/>
      <c r="AA1029" s="45"/>
      <c r="AB1029" s="45"/>
      <c r="AC1029" s="45"/>
      <c r="AD1029" s="45"/>
      <c r="AE1029" s="45"/>
      <c r="AF1029" s="45"/>
      <c r="AG1029" s="45"/>
      <c r="AH1029" s="45"/>
      <c r="AI1029" s="45"/>
      <c r="AJ1029" s="45"/>
      <c r="AK1029" s="45"/>
      <c r="AL1029" s="45"/>
      <c r="AM1029" s="45"/>
      <c r="AN1029" s="45"/>
      <c r="AO1029" s="45"/>
      <c r="AP1029" s="45"/>
      <c r="AQ1029" s="45"/>
      <c r="AR1029" s="45"/>
      <c r="AS1029" s="45"/>
      <c r="AT1029" s="45"/>
      <c r="AU1029" s="45"/>
      <c r="AV1029" s="45"/>
      <c r="AW1029" s="45"/>
      <c r="AX1029" s="45"/>
    </row>
    <row r="1030" ht="15.75" customHeight="1">
      <c r="A1030" s="45"/>
      <c r="B1030" s="45"/>
      <c r="C1030" s="46"/>
      <c r="D1030" s="45"/>
      <c r="E1030" s="47"/>
      <c r="F1030" s="45"/>
      <c r="G1030" s="45"/>
      <c r="H1030" s="45"/>
      <c r="I1030" s="45"/>
      <c r="J1030" s="45"/>
      <c r="K1030" s="45"/>
      <c r="L1030" s="45"/>
      <c r="M1030" s="45"/>
      <c r="N1030" s="45"/>
      <c r="O1030" s="45"/>
      <c r="P1030" s="45"/>
      <c r="Q1030" s="45"/>
      <c r="R1030" s="45"/>
      <c r="S1030" s="45"/>
      <c r="T1030" s="45"/>
      <c r="U1030" s="45"/>
      <c r="V1030" s="45"/>
      <c r="W1030" s="45"/>
      <c r="X1030" s="45"/>
      <c r="Y1030" s="45"/>
      <c r="Z1030" s="45"/>
      <c r="AA1030" s="45"/>
      <c r="AB1030" s="45"/>
      <c r="AC1030" s="45"/>
      <c r="AD1030" s="45"/>
      <c r="AE1030" s="45"/>
      <c r="AF1030" s="45"/>
      <c r="AG1030" s="45"/>
      <c r="AH1030" s="45"/>
      <c r="AI1030" s="45"/>
      <c r="AJ1030" s="45"/>
      <c r="AK1030" s="45"/>
      <c r="AL1030" s="45"/>
      <c r="AM1030" s="45"/>
      <c r="AN1030" s="45"/>
      <c r="AO1030" s="45"/>
      <c r="AP1030" s="45"/>
      <c r="AQ1030" s="45"/>
      <c r="AR1030" s="45"/>
      <c r="AS1030" s="45"/>
      <c r="AT1030" s="45"/>
      <c r="AU1030" s="45"/>
      <c r="AV1030" s="45"/>
      <c r="AW1030" s="45"/>
      <c r="AX1030" s="45"/>
    </row>
    <row r="1031" ht="15.75" customHeight="1">
      <c r="A1031" s="45"/>
      <c r="B1031" s="45"/>
      <c r="C1031" s="46"/>
      <c r="D1031" s="45"/>
      <c r="E1031" s="47"/>
      <c r="F1031" s="45"/>
      <c r="G1031" s="45"/>
      <c r="H1031" s="45"/>
      <c r="I1031" s="45"/>
      <c r="J1031" s="45"/>
      <c r="K1031" s="45"/>
      <c r="L1031" s="45"/>
      <c r="M1031" s="45"/>
      <c r="N1031" s="45"/>
      <c r="O1031" s="45"/>
      <c r="P1031" s="45"/>
      <c r="Q1031" s="45"/>
      <c r="R1031" s="45"/>
      <c r="S1031" s="45"/>
      <c r="T1031" s="45"/>
      <c r="U1031" s="45"/>
      <c r="V1031" s="45"/>
      <c r="W1031" s="45"/>
      <c r="X1031" s="45"/>
      <c r="Y1031" s="45"/>
      <c r="Z1031" s="45"/>
      <c r="AA1031" s="45"/>
      <c r="AB1031" s="45"/>
      <c r="AC1031" s="45"/>
      <c r="AD1031" s="45"/>
      <c r="AE1031" s="45"/>
      <c r="AF1031" s="45"/>
      <c r="AG1031" s="45"/>
      <c r="AH1031" s="45"/>
      <c r="AI1031" s="45"/>
      <c r="AJ1031" s="45"/>
      <c r="AK1031" s="45"/>
      <c r="AL1031" s="45"/>
      <c r="AM1031" s="45"/>
      <c r="AN1031" s="45"/>
      <c r="AO1031" s="45"/>
      <c r="AP1031" s="45"/>
      <c r="AQ1031" s="45"/>
      <c r="AR1031" s="45"/>
      <c r="AS1031" s="45"/>
      <c r="AT1031" s="45"/>
      <c r="AU1031" s="45"/>
      <c r="AV1031" s="45"/>
      <c r="AW1031" s="45"/>
      <c r="AX1031" s="45"/>
    </row>
    <row r="1032" ht="15.75" customHeight="1">
      <c r="A1032" s="45"/>
      <c r="B1032" s="45"/>
      <c r="C1032" s="46"/>
      <c r="D1032" s="45"/>
      <c r="E1032" s="47"/>
      <c r="F1032" s="45"/>
      <c r="G1032" s="45"/>
      <c r="H1032" s="45"/>
      <c r="I1032" s="45"/>
      <c r="J1032" s="45"/>
      <c r="K1032" s="45"/>
      <c r="L1032" s="45"/>
      <c r="M1032" s="45"/>
      <c r="N1032" s="45"/>
      <c r="O1032" s="45"/>
      <c r="P1032" s="45"/>
      <c r="Q1032" s="45"/>
      <c r="R1032" s="45"/>
      <c r="S1032" s="45"/>
      <c r="T1032" s="45"/>
      <c r="U1032" s="45"/>
      <c r="V1032" s="45"/>
      <c r="W1032" s="45"/>
      <c r="X1032" s="45"/>
      <c r="Y1032" s="45"/>
      <c r="Z1032" s="45"/>
      <c r="AA1032" s="45"/>
      <c r="AB1032" s="45"/>
      <c r="AC1032" s="45"/>
      <c r="AD1032" s="45"/>
      <c r="AE1032" s="45"/>
      <c r="AF1032" s="45"/>
      <c r="AG1032" s="45"/>
      <c r="AH1032" s="45"/>
      <c r="AI1032" s="45"/>
      <c r="AJ1032" s="45"/>
      <c r="AK1032" s="45"/>
      <c r="AL1032" s="45"/>
      <c r="AM1032" s="45"/>
      <c r="AN1032" s="45"/>
      <c r="AO1032" s="45"/>
      <c r="AP1032" s="45"/>
      <c r="AQ1032" s="45"/>
      <c r="AR1032" s="45"/>
      <c r="AS1032" s="45"/>
      <c r="AT1032" s="45"/>
      <c r="AU1032" s="45"/>
      <c r="AV1032" s="45"/>
      <c r="AW1032" s="45"/>
      <c r="AX1032" s="45"/>
    </row>
    <row r="1033" ht="15.75" customHeight="1">
      <c r="A1033" s="45"/>
      <c r="B1033" s="45"/>
      <c r="C1033" s="46"/>
      <c r="D1033" s="45"/>
      <c r="E1033" s="47"/>
      <c r="F1033" s="45"/>
      <c r="G1033" s="45"/>
      <c r="H1033" s="45"/>
      <c r="I1033" s="45"/>
      <c r="J1033" s="45"/>
      <c r="K1033" s="45"/>
      <c r="L1033" s="45"/>
      <c r="M1033" s="45"/>
      <c r="N1033" s="45"/>
      <c r="O1033" s="45"/>
      <c r="P1033" s="45"/>
      <c r="Q1033" s="45"/>
      <c r="R1033" s="45"/>
      <c r="S1033" s="45"/>
      <c r="T1033" s="45"/>
      <c r="U1033" s="45"/>
      <c r="V1033" s="45"/>
      <c r="W1033" s="45"/>
      <c r="X1033" s="45"/>
      <c r="Y1033" s="45"/>
      <c r="Z1033" s="45"/>
      <c r="AA1033" s="45"/>
      <c r="AB1033" s="45"/>
      <c r="AC1033" s="45"/>
      <c r="AD1033" s="45"/>
      <c r="AE1033" s="45"/>
      <c r="AF1033" s="45"/>
      <c r="AG1033" s="45"/>
      <c r="AH1033" s="45"/>
      <c r="AI1033" s="45"/>
      <c r="AJ1033" s="45"/>
      <c r="AK1033" s="45"/>
      <c r="AL1033" s="45"/>
      <c r="AM1033" s="45"/>
      <c r="AN1033" s="45"/>
      <c r="AO1033" s="45"/>
      <c r="AP1033" s="45"/>
      <c r="AQ1033" s="45"/>
      <c r="AR1033" s="45"/>
      <c r="AS1033" s="45"/>
      <c r="AT1033" s="45"/>
      <c r="AU1033" s="45"/>
      <c r="AV1033" s="45"/>
      <c r="AW1033" s="45"/>
      <c r="AX1033" s="45"/>
    </row>
    <row r="1034" ht="15.75" customHeight="1">
      <c r="A1034" s="45"/>
      <c r="B1034" s="45"/>
      <c r="C1034" s="46"/>
      <c r="D1034" s="45"/>
      <c r="E1034" s="47"/>
      <c r="F1034" s="45"/>
      <c r="G1034" s="45"/>
      <c r="H1034" s="45"/>
      <c r="I1034" s="45"/>
      <c r="J1034" s="45"/>
      <c r="K1034" s="45"/>
      <c r="L1034" s="45"/>
      <c r="M1034" s="45"/>
      <c r="N1034" s="45"/>
      <c r="O1034" s="45"/>
      <c r="P1034" s="45"/>
      <c r="Q1034" s="45"/>
      <c r="R1034" s="45"/>
      <c r="S1034" s="45"/>
      <c r="T1034" s="45"/>
      <c r="U1034" s="45"/>
      <c r="V1034" s="45"/>
      <c r="W1034" s="45"/>
      <c r="X1034" s="45"/>
      <c r="Y1034" s="45"/>
      <c r="Z1034" s="45"/>
      <c r="AA1034" s="45"/>
      <c r="AB1034" s="45"/>
      <c r="AC1034" s="45"/>
      <c r="AD1034" s="45"/>
      <c r="AE1034" s="45"/>
      <c r="AF1034" s="45"/>
      <c r="AG1034" s="45"/>
      <c r="AH1034" s="45"/>
      <c r="AI1034" s="45"/>
      <c r="AJ1034" s="45"/>
      <c r="AK1034" s="45"/>
      <c r="AL1034" s="45"/>
      <c r="AM1034" s="45"/>
      <c r="AN1034" s="45"/>
      <c r="AO1034" s="45"/>
      <c r="AP1034" s="45"/>
      <c r="AQ1034" s="45"/>
      <c r="AR1034" s="45"/>
      <c r="AS1034" s="45"/>
      <c r="AT1034" s="45"/>
      <c r="AU1034" s="45"/>
      <c r="AV1034" s="45"/>
      <c r="AW1034" s="45"/>
      <c r="AX1034" s="45"/>
    </row>
    <row r="1035" ht="15.75" customHeight="1">
      <c r="A1035" s="45"/>
      <c r="B1035" s="45"/>
      <c r="C1035" s="46"/>
      <c r="D1035" s="45"/>
      <c r="E1035" s="47"/>
      <c r="F1035" s="45"/>
      <c r="G1035" s="45"/>
      <c r="H1035" s="45"/>
      <c r="I1035" s="45"/>
      <c r="J1035" s="45"/>
      <c r="K1035" s="45"/>
      <c r="L1035" s="45"/>
      <c r="M1035" s="45"/>
      <c r="N1035" s="45"/>
      <c r="O1035" s="45"/>
      <c r="P1035" s="45"/>
      <c r="Q1035" s="45"/>
      <c r="R1035" s="45"/>
      <c r="S1035" s="45"/>
      <c r="T1035" s="45"/>
      <c r="U1035" s="45"/>
      <c r="V1035" s="45"/>
      <c r="W1035" s="45"/>
      <c r="X1035" s="45"/>
      <c r="Y1035" s="45"/>
      <c r="Z1035" s="45"/>
      <c r="AA1035" s="45"/>
      <c r="AB1035" s="45"/>
      <c r="AC1035" s="45"/>
      <c r="AD1035" s="45"/>
      <c r="AE1035" s="45"/>
      <c r="AF1035" s="45"/>
      <c r="AG1035" s="45"/>
      <c r="AH1035" s="45"/>
      <c r="AI1035" s="45"/>
      <c r="AJ1035" s="45"/>
      <c r="AK1035" s="45"/>
      <c r="AL1035" s="45"/>
      <c r="AM1035" s="45"/>
      <c r="AN1035" s="45"/>
      <c r="AO1035" s="45"/>
      <c r="AP1035" s="45"/>
      <c r="AQ1035" s="45"/>
      <c r="AR1035" s="45"/>
      <c r="AS1035" s="45"/>
      <c r="AT1035" s="45"/>
      <c r="AU1035" s="45"/>
      <c r="AV1035" s="45"/>
      <c r="AW1035" s="45"/>
      <c r="AX1035" s="45"/>
    </row>
    <row r="1036" ht="15.75" customHeight="1">
      <c r="A1036" s="45"/>
      <c r="B1036" s="45"/>
      <c r="C1036" s="46"/>
      <c r="D1036" s="45"/>
      <c r="E1036" s="47"/>
      <c r="F1036" s="45"/>
      <c r="G1036" s="45"/>
      <c r="H1036" s="45"/>
      <c r="I1036" s="45"/>
      <c r="J1036" s="45"/>
      <c r="K1036" s="45"/>
      <c r="L1036" s="45"/>
      <c r="M1036" s="45"/>
      <c r="N1036" s="45"/>
      <c r="O1036" s="45"/>
      <c r="P1036" s="45"/>
      <c r="Q1036" s="45"/>
      <c r="R1036" s="45"/>
      <c r="S1036" s="45"/>
      <c r="T1036" s="45"/>
      <c r="U1036" s="45"/>
      <c r="V1036" s="45"/>
      <c r="W1036" s="45"/>
      <c r="X1036" s="45"/>
      <c r="Y1036" s="45"/>
      <c r="Z1036" s="45"/>
      <c r="AA1036" s="45"/>
      <c r="AB1036" s="45"/>
      <c r="AC1036" s="45"/>
      <c r="AD1036" s="45"/>
      <c r="AE1036" s="45"/>
      <c r="AF1036" s="45"/>
      <c r="AG1036" s="45"/>
      <c r="AH1036" s="45"/>
      <c r="AI1036" s="45"/>
      <c r="AJ1036" s="45"/>
      <c r="AK1036" s="45"/>
      <c r="AL1036" s="45"/>
      <c r="AM1036" s="45"/>
      <c r="AN1036" s="45"/>
      <c r="AO1036" s="45"/>
      <c r="AP1036" s="45"/>
      <c r="AQ1036" s="45"/>
      <c r="AR1036" s="45"/>
      <c r="AS1036" s="45"/>
      <c r="AT1036" s="45"/>
      <c r="AU1036" s="45"/>
      <c r="AV1036" s="45"/>
      <c r="AW1036" s="45"/>
      <c r="AX1036" s="45"/>
    </row>
    <row r="1037" ht="15.75" customHeight="1">
      <c r="A1037" s="45"/>
      <c r="B1037" s="45"/>
      <c r="C1037" s="46"/>
      <c r="D1037" s="45"/>
      <c r="E1037" s="47"/>
      <c r="F1037" s="45"/>
      <c r="G1037" s="45"/>
      <c r="H1037" s="45"/>
      <c r="I1037" s="45"/>
      <c r="J1037" s="45"/>
      <c r="K1037" s="45"/>
      <c r="L1037" s="45"/>
      <c r="M1037" s="45"/>
      <c r="N1037" s="45"/>
      <c r="O1037" s="45"/>
      <c r="P1037" s="45"/>
      <c r="Q1037" s="45"/>
      <c r="R1037" s="45"/>
      <c r="S1037" s="45"/>
      <c r="T1037" s="45"/>
      <c r="U1037" s="45"/>
      <c r="V1037" s="45"/>
      <c r="W1037" s="45"/>
      <c r="X1037" s="45"/>
      <c r="Y1037" s="45"/>
      <c r="Z1037" s="45"/>
      <c r="AA1037" s="45"/>
      <c r="AB1037" s="45"/>
      <c r="AC1037" s="45"/>
      <c r="AD1037" s="45"/>
      <c r="AE1037" s="45"/>
      <c r="AF1037" s="45"/>
      <c r="AG1037" s="45"/>
      <c r="AH1037" s="45"/>
      <c r="AI1037" s="45"/>
      <c r="AJ1037" s="45"/>
      <c r="AK1037" s="45"/>
      <c r="AL1037" s="45"/>
      <c r="AM1037" s="45"/>
      <c r="AN1037" s="45"/>
      <c r="AO1037" s="45"/>
      <c r="AP1037" s="45"/>
      <c r="AQ1037" s="45"/>
      <c r="AR1037" s="45"/>
      <c r="AS1037" s="45"/>
      <c r="AT1037" s="45"/>
      <c r="AU1037" s="45"/>
      <c r="AV1037" s="45"/>
      <c r="AW1037" s="45"/>
      <c r="AX1037" s="45"/>
    </row>
    <row r="1038" ht="15.75" customHeight="1">
      <c r="A1038" s="45"/>
      <c r="B1038" s="45"/>
      <c r="C1038" s="46"/>
      <c r="D1038" s="45"/>
      <c r="E1038" s="47"/>
      <c r="F1038" s="45"/>
      <c r="G1038" s="45"/>
      <c r="H1038" s="45"/>
      <c r="I1038" s="45"/>
      <c r="J1038" s="45"/>
      <c r="K1038" s="45"/>
      <c r="L1038" s="45"/>
      <c r="M1038" s="45"/>
      <c r="N1038" s="45"/>
      <c r="O1038" s="45"/>
      <c r="P1038" s="45"/>
      <c r="Q1038" s="45"/>
      <c r="R1038" s="45"/>
      <c r="S1038" s="45"/>
      <c r="T1038" s="45"/>
      <c r="U1038" s="45"/>
      <c r="V1038" s="45"/>
      <c r="W1038" s="45"/>
      <c r="X1038" s="45"/>
      <c r="Y1038" s="45"/>
      <c r="Z1038" s="45"/>
      <c r="AA1038" s="45"/>
      <c r="AB1038" s="45"/>
      <c r="AC1038" s="45"/>
      <c r="AD1038" s="45"/>
      <c r="AE1038" s="45"/>
      <c r="AF1038" s="45"/>
      <c r="AG1038" s="45"/>
      <c r="AH1038" s="45"/>
      <c r="AI1038" s="45"/>
      <c r="AJ1038" s="45"/>
      <c r="AK1038" s="45"/>
      <c r="AL1038" s="45"/>
      <c r="AM1038" s="45"/>
      <c r="AN1038" s="45"/>
      <c r="AO1038" s="45"/>
      <c r="AP1038" s="45"/>
      <c r="AQ1038" s="45"/>
      <c r="AR1038" s="45"/>
      <c r="AS1038" s="45"/>
      <c r="AT1038" s="45"/>
      <c r="AU1038" s="45"/>
      <c r="AV1038" s="45"/>
      <c r="AW1038" s="45"/>
      <c r="AX1038" s="45"/>
    </row>
    <row r="1039" ht="15.75" customHeight="1">
      <c r="A1039" s="45"/>
      <c r="B1039" s="45"/>
      <c r="C1039" s="46"/>
      <c r="D1039" s="45"/>
      <c r="E1039" s="47"/>
      <c r="F1039" s="45"/>
      <c r="G1039" s="45"/>
      <c r="H1039" s="45"/>
      <c r="I1039" s="45"/>
      <c r="J1039" s="45"/>
      <c r="K1039" s="45"/>
      <c r="L1039" s="45"/>
      <c r="M1039" s="45"/>
      <c r="N1039" s="45"/>
      <c r="O1039" s="45"/>
      <c r="P1039" s="45"/>
      <c r="Q1039" s="45"/>
      <c r="R1039" s="45"/>
      <c r="S1039" s="45"/>
      <c r="T1039" s="45"/>
      <c r="U1039" s="45"/>
      <c r="V1039" s="45"/>
      <c r="W1039" s="45"/>
      <c r="X1039" s="45"/>
      <c r="Y1039" s="45"/>
      <c r="Z1039" s="45"/>
      <c r="AA1039" s="45"/>
      <c r="AB1039" s="45"/>
      <c r="AC1039" s="45"/>
      <c r="AD1039" s="45"/>
      <c r="AE1039" s="45"/>
      <c r="AF1039" s="45"/>
      <c r="AG1039" s="45"/>
      <c r="AH1039" s="45"/>
      <c r="AI1039" s="45"/>
      <c r="AJ1039" s="45"/>
      <c r="AK1039" s="45"/>
      <c r="AL1039" s="45"/>
      <c r="AM1039" s="45"/>
      <c r="AN1039" s="45"/>
      <c r="AO1039" s="45"/>
      <c r="AP1039" s="45"/>
      <c r="AQ1039" s="45"/>
      <c r="AR1039" s="45"/>
      <c r="AS1039" s="45"/>
      <c r="AT1039" s="45"/>
      <c r="AU1039" s="45"/>
      <c r="AV1039" s="45"/>
      <c r="AW1039" s="45"/>
      <c r="AX1039" s="45"/>
    </row>
    <row r="1040" ht="15.75" customHeight="1">
      <c r="A1040" s="45"/>
      <c r="B1040" s="45"/>
      <c r="C1040" s="46"/>
      <c r="D1040" s="45"/>
      <c r="E1040" s="47"/>
      <c r="F1040" s="45"/>
      <c r="G1040" s="45"/>
      <c r="H1040" s="45"/>
      <c r="I1040" s="45"/>
      <c r="J1040" s="45"/>
      <c r="K1040" s="45"/>
      <c r="L1040" s="45"/>
      <c r="M1040" s="45"/>
      <c r="N1040" s="45"/>
      <c r="O1040" s="45"/>
      <c r="P1040" s="45"/>
      <c r="Q1040" s="45"/>
      <c r="R1040" s="45"/>
      <c r="S1040" s="45"/>
      <c r="T1040" s="45"/>
      <c r="U1040" s="45"/>
      <c r="V1040" s="45"/>
      <c r="W1040" s="45"/>
      <c r="X1040" s="45"/>
      <c r="Y1040" s="45"/>
      <c r="Z1040" s="45"/>
      <c r="AA1040" s="45"/>
      <c r="AB1040" s="45"/>
      <c r="AC1040" s="45"/>
      <c r="AD1040" s="45"/>
      <c r="AE1040" s="45"/>
      <c r="AF1040" s="45"/>
      <c r="AG1040" s="45"/>
      <c r="AH1040" s="45"/>
      <c r="AI1040" s="45"/>
      <c r="AJ1040" s="45"/>
      <c r="AK1040" s="45"/>
      <c r="AL1040" s="45"/>
      <c r="AM1040" s="45"/>
      <c r="AN1040" s="45"/>
      <c r="AO1040" s="45"/>
      <c r="AP1040" s="45"/>
      <c r="AQ1040" s="45"/>
      <c r="AR1040" s="45"/>
      <c r="AS1040" s="45"/>
      <c r="AT1040" s="45"/>
      <c r="AU1040" s="45"/>
      <c r="AV1040" s="45"/>
      <c r="AW1040" s="45"/>
      <c r="AX1040" s="45"/>
    </row>
    <row r="1041" ht="15.75" customHeight="1">
      <c r="A1041" s="45"/>
      <c r="B1041" s="45"/>
      <c r="C1041" s="46"/>
      <c r="D1041" s="45"/>
      <c r="E1041" s="47"/>
      <c r="F1041" s="45"/>
      <c r="G1041" s="45"/>
      <c r="H1041" s="45"/>
      <c r="I1041" s="45"/>
      <c r="J1041" s="45"/>
      <c r="K1041" s="45"/>
      <c r="L1041" s="45"/>
      <c r="M1041" s="45"/>
      <c r="N1041" s="45"/>
      <c r="O1041" s="45"/>
      <c r="P1041" s="45"/>
      <c r="Q1041" s="45"/>
      <c r="R1041" s="45"/>
      <c r="S1041" s="45"/>
      <c r="T1041" s="45"/>
      <c r="U1041" s="45"/>
      <c r="V1041" s="45"/>
      <c r="W1041" s="45"/>
      <c r="X1041" s="45"/>
      <c r="Y1041" s="45"/>
      <c r="Z1041" s="45"/>
      <c r="AA1041" s="45"/>
      <c r="AB1041" s="45"/>
      <c r="AC1041" s="45"/>
      <c r="AD1041" s="45"/>
      <c r="AE1041" s="45"/>
      <c r="AF1041" s="45"/>
      <c r="AG1041" s="45"/>
      <c r="AH1041" s="45"/>
      <c r="AI1041" s="45"/>
      <c r="AJ1041" s="45"/>
      <c r="AK1041" s="45"/>
      <c r="AL1041" s="45"/>
      <c r="AM1041" s="45"/>
      <c r="AN1041" s="45"/>
      <c r="AO1041" s="45"/>
      <c r="AP1041" s="45"/>
      <c r="AQ1041" s="45"/>
      <c r="AR1041" s="45"/>
      <c r="AS1041" s="45"/>
      <c r="AT1041" s="45"/>
      <c r="AU1041" s="45"/>
      <c r="AV1041" s="45"/>
      <c r="AW1041" s="45"/>
      <c r="AX1041" s="45"/>
    </row>
    <row r="1042" ht="15.75" customHeight="1">
      <c r="A1042" s="45"/>
      <c r="B1042" s="45"/>
      <c r="C1042" s="46"/>
      <c r="D1042" s="45"/>
      <c r="E1042" s="47"/>
      <c r="F1042" s="45"/>
      <c r="G1042" s="45"/>
      <c r="H1042" s="45"/>
      <c r="I1042" s="45"/>
      <c r="J1042" s="45"/>
      <c r="K1042" s="45"/>
      <c r="L1042" s="45"/>
      <c r="M1042" s="45"/>
      <c r="N1042" s="45"/>
      <c r="O1042" s="45"/>
      <c r="P1042" s="45"/>
      <c r="Q1042" s="45"/>
      <c r="R1042" s="45"/>
      <c r="S1042" s="45"/>
      <c r="T1042" s="45"/>
      <c r="U1042" s="45"/>
      <c r="V1042" s="45"/>
      <c r="W1042" s="45"/>
      <c r="X1042" s="45"/>
      <c r="Y1042" s="45"/>
      <c r="Z1042" s="45"/>
      <c r="AA1042" s="45"/>
      <c r="AB1042" s="45"/>
      <c r="AC1042" s="45"/>
      <c r="AD1042" s="45"/>
      <c r="AE1042" s="45"/>
      <c r="AF1042" s="45"/>
      <c r="AG1042" s="45"/>
      <c r="AH1042" s="45"/>
      <c r="AI1042" s="45"/>
      <c r="AJ1042" s="45"/>
      <c r="AK1042" s="45"/>
      <c r="AL1042" s="45"/>
      <c r="AM1042" s="45"/>
      <c r="AN1042" s="45"/>
      <c r="AO1042" s="45"/>
      <c r="AP1042" s="45"/>
      <c r="AQ1042" s="45"/>
      <c r="AR1042" s="45"/>
      <c r="AS1042" s="45"/>
      <c r="AT1042" s="45"/>
      <c r="AU1042" s="45"/>
      <c r="AV1042" s="45"/>
      <c r="AW1042" s="45"/>
      <c r="AX1042" s="45"/>
    </row>
    <row r="1043" ht="15.75" customHeight="1">
      <c r="A1043" s="45"/>
      <c r="B1043" s="45"/>
      <c r="C1043" s="46"/>
      <c r="D1043" s="45"/>
      <c r="E1043" s="47"/>
      <c r="F1043" s="45"/>
      <c r="G1043" s="45"/>
      <c r="H1043" s="45"/>
      <c r="I1043" s="45"/>
      <c r="J1043" s="45"/>
      <c r="K1043" s="45"/>
      <c r="L1043" s="45"/>
      <c r="M1043" s="45"/>
      <c r="N1043" s="45"/>
      <c r="O1043" s="45"/>
      <c r="P1043" s="45"/>
      <c r="Q1043" s="45"/>
      <c r="R1043" s="45"/>
      <c r="S1043" s="45"/>
      <c r="T1043" s="45"/>
      <c r="U1043" s="45"/>
      <c r="V1043" s="45"/>
      <c r="W1043" s="45"/>
      <c r="X1043" s="45"/>
      <c r="Y1043" s="45"/>
      <c r="Z1043" s="45"/>
      <c r="AA1043" s="45"/>
      <c r="AB1043" s="45"/>
      <c r="AC1043" s="45"/>
      <c r="AD1043" s="45"/>
      <c r="AE1043" s="45"/>
      <c r="AF1043" s="45"/>
      <c r="AG1043" s="45"/>
      <c r="AH1043" s="45"/>
      <c r="AI1043" s="45"/>
      <c r="AJ1043" s="45"/>
      <c r="AK1043" s="45"/>
      <c r="AL1043" s="45"/>
      <c r="AM1043" s="45"/>
      <c r="AN1043" s="45"/>
      <c r="AO1043" s="45"/>
      <c r="AP1043" s="45"/>
      <c r="AQ1043" s="45"/>
      <c r="AR1043" s="45"/>
      <c r="AS1043" s="45"/>
      <c r="AT1043" s="45"/>
      <c r="AU1043" s="45"/>
      <c r="AV1043" s="45"/>
      <c r="AW1043" s="45"/>
      <c r="AX1043" s="45"/>
    </row>
    <row r="1044" ht="15.75" customHeight="1">
      <c r="A1044" s="45"/>
      <c r="B1044" s="45"/>
      <c r="C1044" s="46"/>
      <c r="D1044" s="45"/>
      <c r="E1044" s="47"/>
      <c r="F1044" s="45"/>
      <c r="G1044" s="45"/>
      <c r="H1044" s="45"/>
      <c r="I1044" s="45"/>
      <c r="J1044" s="45"/>
      <c r="K1044" s="45"/>
      <c r="L1044" s="45"/>
      <c r="M1044" s="45"/>
      <c r="N1044" s="45"/>
      <c r="O1044" s="45"/>
      <c r="P1044" s="45"/>
      <c r="Q1044" s="45"/>
      <c r="R1044" s="45"/>
      <c r="S1044" s="45"/>
      <c r="T1044" s="45"/>
      <c r="U1044" s="45"/>
      <c r="V1044" s="45"/>
      <c r="W1044" s="45"/>
      <c r="X1044" s="45"/>
      <c r="Y1044" s="45"/>
      <c r="Z1044" s="45"/>
      <c r="AA1044" s="45"/>
      <c r="AB1044" s="45"/>
      <c r="AC1044" s="45"/>
      <c r="AD1044" s="45"/>
      <c r="AE1044" s="45"/>
      <c r="AF1044" s="45"/>
      <c r="AG1044" s="45"/>
      <c r="AH1044" s="45"/>
      <c r="AI1044" s="45"/>
      <c r="AJ1044" s="45"/>
      <c r="AK1044" s="45"/>
      <c r="AL1044" s="45"/>
      <c r="AM1044" s="45"/>
      <c r="AN1044" s="45"/>
      <c r="AO1044" s="45"/>
      <c r="AP1044" s="45"/>
      <c r="AQ1044" s="45"/>
      <c r="AR1044" s="45"/>
      <c r="AS1044" s="45"/>
      <c r="AT1044" s="45"/>
      <c r="AU1044" s="45"/>
      <c r="AV1044" s="45"/>
      <c r="AW1044" s="45"/>
      <c r="AX1044" s="45"/>
    </row>
    <row r="1045" ht="15.75" customHeight="1">
      <c r="A1045" s="45"/>
      <c r="B1045" s="45"/>
      <c r="C1045" s="46"/>
      <c r="D1045" s="45"/>
      <c r="E1045" s="47"/>
      <c r="F1045" s="45"/>
      <c r="G1045" s="45"/>
      <c r="H1045" s="45"/>
      <c r="I1045" s="45"/>
      <c r="J1045" s="45"/>
      <c r="K1045" s="45"/>
      <c r="L1045" s="45"/>
      <c r="M1045" s="45"/>
      <c r="N1045" s="45"/>
      <c r="O1045" s="45"/>
      <c r="P1045" s="45"/>
      <c r="Q1045" s="45"/>
      <c r="R1045" s="45"/>
      <c r="S1045" s="45"/>
      <c r="T1045" s="45"/>
      <c r="U1045" s="45"/>
      <c r="V1045" s="45"/>
      <c r="W1045" s="45"/>
      <c r="X1045" s="45"/>
      <c r="Y1045" s="45"/>
      <c r="Z1045" s="45"/>
      <c r="AA1045" s="45"/>
      <c r="AB1045" s="45"/>
      <c r="AC1045" s="45"/>
      <c r="AD1045" s="45"/>
      <c r="AE1045" s="45"/>
      <c r="AF1045" s="45"/>
      <c r="AG1045" s="45"/>
      <c r="AH1045" s="45"/>
      <c r="AI1045" s="45"/>
      <c r="AJ1045" s="45"/>
      <c r="AK1045" s="45"/>
      <c r="AL1045" s="45"/>
      <c r="AM1045" s="45"/>
      <c r="AN1045" s="45"/>
      <c r="AO1045" s="45"/>
      <c r="AP1045" s="45"/>
      <c r="AQ1045" s="45"/>
      <c r="AR1045" s="45"/>
      <c r="AS1045" s="45"/>
      <c r="AT1045" s="45"/>
      <c r="AU1045" s="45"/>
      <c r="AV1045" s="45"/>
      <c r="AW1045" s="45"/>
      <c r="AX1045" s="45"/>
    </row>
    <row r="1046" ht="15.75" customHeight="1">
      <c r="A1046" s="45"/>
      <c r="B1046" s="45"/>
      <c r="C1046" s="46"/>
      <c r="D1046" s="45"/>
      <c r="E1046" s="47"/>
      <c r="F1046" s="45"/>
      <c r="G1046" s="45"/>
      <c r="H1046" s="45"/>
      <c r="I1046" s="45"/>
      <c r="J1046" s="45"/>
      <c r="K1046" s="45"/>
      <c r="L1046" s="45"/>
      <c r="M1046" s="45"/>
      <c r="N1046" s="45"/>
      <c r="O1046" s="45"/>
      <c r="P1046" s="45"/>
      <c r="Q1046" s="45"/>
      <c r="R1046" s="45"/>
      <c r="S1046" s="45"/>
      <c r="T1046" s="45"/>
      <c r="U1046" s="45"/>
      <c r="V1046" s="45"/>
      <c r="W1046" s="45"/>
      <c r="X1046" s="45"/>
      <c r="Y1046" s="45"/>
      <c r="Z1046" s="45"/>
      <c r="AA1046" s="45"/>
      <c r="AB1046" s="45"/>
      <c r="AC1046" s="45"/>
      <c r="AD1046" s="45"/>
      <c r="AE1046" s="45"/>
      <c r="AF1046" s="45"/>
      <c r="AG1046" s="45"/>
      <c r="AH1046" s="45"/>
      <c r="AI1046" s="45"/>
      <c r="AJ1046" s="45"/>
      <c r="AK1046" s="45"/>
      <c r="AL1046" s="45"/>
      <c r="AM1046" s="45"/>
      <c r="AN1046" s="45"/>
      <c r="AO1046" s="45"/>
      <c r="AP1046" s="45"/>
      <c r="AQ1046" s="45"/>
      <c r="AR1046" s="45"/>
      <c r="AS1046" s="45"/>
      <c r="AT1046" s="45"/>
      <c r="AU1046" s="45"/>
      <c r="AV1046" s="45"/>
      <c r="AW1046" s="45"/>
      <c r="AX1046" s="45"/>
    </row>
    <row r="1047" ht="15.75" customHeight="1">
      <c r="A1047" s="45"/>
      <c r="B1047" s="45"/>
      <c r="C1047" s="46"/>
      <c r="D1047" s="45"/>
      <c r="E1047" s="47"/>
      <c r="F1047" s="45"/>
      <c r="G1047" s="45"/>
      <c r="H1047" s="45"/>
      <c r="I1047" s="45"/>
      <c r="J1047" s="45"/>
      <c r="K1047" s="45"/>
      <c r="L1047" s="45"/>
      <c r="M1047" s="45"/>
      <c r="N1047" s="45"/>
      <c r="O1047" s="45"/>
      <c r="P1047" s="45"/>
      <c r="Q1047" s="45"/>
      <c r="R1047" s="45"/>
      <c r="S1047" s="45"/>
      <c r="T1047" s="45"/>
      <c r="U1047" s="45"/>
      <c r="V1047" s="45"/>
      <c r="W1047" s="45"/>
      <c r="X1047" s="45"/>
      <c r="Y1047" s="45"/>
      <c r="Z1047" s="45"/>
      <c r="AA1047" s="45"/>
      <c r="AB1047" s="45"/>
      <c r="AC1047" s="45"/>
      <c r="AD1047" s="45"/>
      <c r="AE1047" s="45"/>
      <c r="AF1047" s="45"/>
      <c r="AG1047" s="45"/>
      <c r="AH1047" s="45"/>
      <c r="AI1047" s="45"/>
      <c r="AJ1047" s="45"/>
      <c r="AK1047" s="45"/>
      <c r="AL1047" s="45"/>
      <c r="AM1047" s="45"/>
      <c r="AN1047" s="45"/>
      <c r="AO1047" s="45"/>
      <c r="AP1047" s="45"/>
      <c r="AQ1047" s="45"/>
      <c r="AR1047" s="45"/>
      <c r="AS1047" s="45"/>
      <c r="AT1047" s="45"/>
      <c r="AU1047" s="45"/>
      <c r="AV1047" s="45"/>
      <c r="AW1047" s="45"/>
      <c r="AX1047" s="45"/>
    </row>
    <row r="1048" ht="15.75" customHeight="1">
      <c r="A1048" s="45"/>
      <c r="B1048" s="45"/>
      <c r="C1048" s="46"/>
      <c r="D1048" s="45"/>
      <c r="E1048" s="47"/>
      <c r="F1048" s="45"/>
      <c r="G1048" s="45"/>
      <c r="H1048" s="45"/>
      <c r="I1048" s="45"/>
      <c r="J1048" s="45"/>
      <c r="K1048" s="45"/>
      <c r="L1048" s="45"/>
      <c r="M1048" s="45"/>
      <c r="N1048" s="45"/>
      <c r="O1048" s="45"/>
      <c r="P1048" s="45"/>
      <c r="Q1048" s="45"/>
      <c r="R1048" s="45"/>
      <c r="S1048" s="45"/>
      <c r="T1048" s="45"/>
      <c r="U1048" s="45"/>
      <c r="V1048" s="45"/>
      <c r="W1048" s="45"/>
      <c r="X1048" s="45"/>
      <c r="Y1048" s="45"/>
      <c r="Z1048" s="45"/>
      <c r="AA1048" s="45"/>
      <c r="AB1048" s="45"/>
      <c r="AC1048" s="45"/>
      <c r="AD1048" s="45"/>
      <c r="AE1048" s="45"/>
      <c r="AF1048" s="45"/>
      <c r="AG1048" s="45"/>
      <c r="AH1048" s="45"/>
      <c r="AI1048" s="45"/>
      <c r="AJ1048" s="45"/>
      <c r="AK1048" s="45"/>
      <c r="AL1048" s="45"/>
      <c r="AM1048" s="45"/>
      <c r="AN1048" s="45"/>
      <c r="AO1048" s="45"/>
      <c r="AP1048" s="45"/>
      <c r="AQ1048" s="45"/>
      <c r="AR1048" s="45"/>
      <c r="AS1048" s="45"/>
      <c r="AT1048" s="45"/>
      <c r="AU1048" s="45"/>
      <c r="AV1048" s="45"/>
      <c r="AW1048" s="45"/>
      <c r="AX1048" s="45"/>
    </row>
    <row r="1049" ht="15.75" customHeight="1">
      <c r="A1049" s="45"/>
      <c r="B1049" s="45"/>
      <c r="C1049" s="46"/>
      <c r="D1049" s="45"/>
      <c r="E1049" s="47"/>
      <c r="F1049" s="45"/>
      <c r="G1049" s="45"/>
      <c r="H1049" s="45"/>
      <c r="I1049" s="45"/>
      <c r="J1049" s="45"/>
      <c r="K1049" s="45"/>
      <c r="L1049" s="45"/>
      <c r="M1049" s="45"/>
      <c r="N1049" s="45"/>
      <c r="O1049" s="45"/>
      <c r="P1049" s="45"/>
      <c r="Q1049" s="45"/>
      <c r="R1049" s="45"/>
      <c r="S1049" s="45"/>
      <c r="T1049" s="45"/>
      <c r="U1049" s="45"/>
      <c r="V1049" s="45"/>
      <c r="W1049" s="45"/>
      <c r="X1049" s="45"/>
      <c r="Y1049" s="45"/>
      <c r="Z1049" s="45"/>
      <c r="AA1049" s="45"/>
      <c r="AB1049" s="45"/>
      <c r="AC1049" s="45"/>
      <c r="AD1049" s="45"/>
      <c r="AE1049" s="45"/>
      <c r="AF1049" s="45"/>
      <c r="AG1049" s="45"/>
      <c r="AH1049" s="45"/>
      <c r="AI1049" s="45"/>
      <c r="AJ1049" s="45"/>
      <c r="AK1049" s="45"/>
      <c r="AL1049" s="45"/>
      <c r="AM1049" s="45"/>
      <c r="AN1049" s="45"/>
      <c r="AO1049" s="45"/>
      <c r="AP1049" s="45"/>
      <c r="AQ1049" s="45"/>
      <c r="AR1049" s="45"/>
      <c r="AS1049" s="45"/>
      <c r="AT1049" s="45"/>
      <c r="AU1049" s="45"/>
      <c r="AV1049" s="45"/>
      <c r="AW1049" s="45"/>
      <c r="AX1049" s="45"/>
    </row>
    <row r="1050" ht="15.75" customHeight="1">
      <c r="A1050" s="45"/>
      <c r="B1050" s="45"/>
      <c r="C1050" s="46"/>
      <c r="D1050" s="45"/>
      <c r="E1050" s="47"/>
      <c r="F1050" s="45"/>
      <c r="G1050" s="45"/>
      <c r="H1050" s="45"/>
      <c r="I1050" s="45"/>
      <c r="J1050" s="45"/>
      <c r="K1050" s="45"/>
      <c r="L1050" s="45"/>
      <c r="M1050" s="45"/>
      <c r="N1050" s="45"/>
      <c r="O1050" s="45"/>
      <c r="P1050" s="45"/>
      <c r="Q1050" s="45"/>
      <c r="R1050" s="45"/>
      <c r="S1050" s="45"/>
      <c r="T1050" s="45"/>
      <c r="U1050" s="45"/>
      <c r="V1050" s="45"/>
      <c r="W1050" s="45"/>
      <c r="X1050" s="45"/>
      <c r="Y1050" s="45"/>
      <c r="Z1050" s="45"/>
      <c r="AA1050" s="45"/>
      <c r="AB1050" s="45"/>
      <c r="AC1050" s="45"/>
      <c r="AD1050" s="45"/>
      <c r="AE1050" s="45"/>
      <c r="AF1050" s="45"/>
      <c r="AG1050" s="45"/>
      <c r="AH1050" s="45"/>
      <c r="AI1050" s="45"/>
      <c r="AJ1050" s="45"/>
      <c r="AK1050" s="45"/>
      <c r="AL1050" s="45"/>
      <c r="AM1050" s="45"/>
      <c r="AN1050" s="45"/>
      <c r="AO1050" s="45"/>
      <c r="AP1050" s="45"/>
      <c r="AQ1050" s="45"/>
      <c r="AR1050" s="45"/>
      <c r="AS1050" s="45"/>
      <c r="AT1050" s="45"/>
      <c r="AU1050" s="45"/>
      <c r="AV1050" s="45"/>
      <c r="AW1050" s="45"/>
      <c r="AX1050" s="45"/>
    </row>
    <row r="1051" ht="15.75" customHeight="1">
      <c r="A1051" s="45"/>
      <c r="B1051" s="45"/>
      <c r="C1051" s="46"/>
      <c r="D1051" s="45"/>
      <c r="E1051" s="47"/>
      <c r="F1051" s="45"/>
      <c r="G1051" s="45"/>
      <c r="H1051" s="45"/>
      <c r="I1051" s="45"/>
      <c r="J1051" s="45"/>
      <c r="K1051" s="45"/>
      <c r="L1051" s="45"/>
      <c r="M1051" s="45"/>
      <c r="N1051" s="45"/>
      <c r="O1051" s="45"/>
      <c r="P1051" s="45"/>
      <c r="Q1051" s="45"/>
      <c r="R1051" s="45"/>
      <c r="S1051" s="45"/>
      <c r="T1051" s="45"/>
      <c r="U1051" s="45"/>
      <c r="V1051" s="45"/>
      <c r="W1051" s="45"/>
      <c r="X1051" s="45"/>
      <c r="Y1051" s="45"/>
      <c r="Z1051" s="45"/>
      <c r="AA1051" s="45"/>
      <c r="AB1051" s="45"/>
      <c r="AC1051" s="45"/>
      <c r="AD1051" s="45"/>
      <c r="AE1051" s="45"/>
      <c r="AF1051" s="45"/>
      <c r="AG1051" s="45"/>
      <c r="AH1051" s="45"/>
      <c r="AI1051" s="45"/>
      <c r="AJ1051" s="45"/>
      <c r="AK1051" s="45"/>
      <c r="AL1051" s="45"/>
      <c r="AM1051" s="45"/>
      <c r="AN1051" s="45"/>
      <c r="AO1051" s="45"/>
      <c r="AP1051" s="45"/>
      <c r="AQ1051" s="45"/>
      <c r="AR1051" s="45"/>
      <c r="AS1051" s="45"/>
      <c r="AT1051" s="45"/>
      <c r="AU1051" s="45"/>
      <c r="AV1051" s="45"/>
      <c r="AW1051" s="45"/>
      <c r="AX1051" s="45"/>
    </row>
    <row r="1052" ht="15.75" customHeight="1">
      <c r="A1052" s="45"/>
      <c r="B1052" s="45"/>
      <c r="C1052" s="46"/>
      <c r="D1052" s="45"/>
      <c r="E1052" s="47"/>
      <c r="F1052" s="45"/>
      <c r="G1052" s="45"/>
      <c r="H1052" s="45"/>
      <c r="I1052" s="45"/>
      <c r="J1052" s="45"/>
      <c r="K1052" s="45"/>
      <c r="L1052" s="45"/>
      <c r="M1052" s="45"/>
      <c r="N1052" s="45"/>
      <c r="O1052" s="45"/>
      <c r="P1052" s="45"/>
      <c r="Q1052" s="45"/>
      <c r="R1052" s="45"/>
      <c r="S1052" s="45"/>
      <c r="T1052" s="45"/>
      <c r="U1052" s="45"/>
      <c r="V1052" s="45"/>
      <c r="W1052" s="45"/>
      <c r="X1052" s="45"/>
      <c r="Y1052" s="45"/>
      <c r="Z1052" s="45"/>
      <c r="AA1052" s="45"/>
      <c r="AB1052" s="45"/>
      <c r="AC1052" s="45"/>
      <c r="AD1052" s="45"/>
      <c r="AE1052" s="45"/>
      <c r="AF1052" s="45"/>
      <c r="AG1052" s="45"/>
      <c r="AH1052" s="45"/>
      <c r="AI1052" s="45"/>
      <c r="AJ1052" s="45"/>
      <c r="AK1052" s="45"/>
      <c r="AL1052" s="45"/>
      <c r="AM1052" s="45"/>
      <c r="AN1052" s="45"/>
      <c r="AO1052" s="45"/>
      <c r="AP1052" s="45"/>
      <c r="AQ1052" s="45"/>
      <c r="AR1052" s="45"/>
      <c r="AS1052" s="45"/>
      <c r="AT1052" s="45"/>
      <c r="AU1052" s="45"/>
      <c r="AV1052" s="45"/>
      <c r="AW1052" s="45"/>
      <c r="AX1052" s="45"/>
    </row>
    <row r="1053" ht="15.75" customHeight="1">
      <c r="A1053" s="45"/>
      <c r="B1053" s="45"/>
      <c r="C1053" s="46"/>
      <c r="D1053" s="45"/>
      <c r="E1053" s="47"/>
      <c r="F1053" s="45"/>
      <c r="G1053" s="45"/>
      <c r="H1053" s="45"/>
      <c r="I1053" s="45"/>
      <c r="J1053" s="45"/>
      <c r="K1053" s="45"/>
      <c r="L1053" s="45"/>
      <c r="M1053" s="45"/>
      <c r="N1053" s="45"/>
      <c r="O1053" s="45"/>
      <c r="P1053" s="45"/>
      <c r="Q1053" s="45"/>
      <c r="R1053" s="45"/>
      <c r="S1053" s="45"/>
      <c r="T1053" s="45"/>
      <c r="U1053" s="45"/>
      <c r="V1053" s="45"/>
      <c r="W1053" s="45"/>
      <c r="X1053" s="45"/>
      <c r="Y1053" s="45"/>
      <c r="Z1053" s="45"/>
      <c r="AA1053" s="45"/>
      <c r="AB1053" s="45"/>
      <c r="AC1053" s="45"/>
      <c r="AD1053" s="45"/>
      <c r="AE1053" s="45"/>
      <c r="AF1053" s="45"/>
      <c r="AG1053" s="45"/>
      <c r="AH1053" s="45"/>
      <c r="AI1053" s="45"/>
      <c r="AJ1053" s="45"/>
      <c r="AK1053" s="45"/>
      <c r="AL1053" s="45"/>
      <c r="AM1053" s="45"/>
      <c r="AN1053" s="45"/>
      <c r="AO1053" s="45"/>
      <c r="AP1053" s="45"/>
      <c r="AQ1053" s="45"/>
      <c r="AR1053" s="45"/>
      <c r="AS1053" s="45"/>
      <c r="AT1053" s="45"/>
      <c r="AU1053" s="45"/>
      <c r="AV1053" s="45"/>
      <c r="AW1053" s="45"/>
      <c r="AX1053" s="45"/>
    </row>
    <row r="1054" ht="15.75" customHeight="1">
      <c r="A1054" s="45"/>
      <c r="B1054" s="45"/>
      <c r="C1054" s="46"/>
      <c r="D1054" s="45"/>
      <c r="E1054" s="47"/>
      <c r="F1054" s="45"/>
      <c r="G1054" s="45"/>
      <c r="H1054" s="45"/>
      <c r="I1054" s="45"/>
      <c r="J1054" s="45"/>
      <c r="K1054" s="45"/>
      <c r="L1054" s="45"/>
      <c r="M1054" s="45"/>
      <c r="N1054" s="45"/>
      <c r="O1054" s="45"/>
      <c r="P1054" s="45"/>
      <c r="Q1054" s="45"/>
      <c r="R1054" s="45"/>
      <c r="S1054" s="45"/>
      <c r="T1054" s="45"/>
      <c r="U1054" s="45"/>
      <c r="V1054" s="45"/>
      <c r="W1054" s="45"/>
      <c r="X1054" s="45"/>
      <c r="Y1054" s="45"/>
      <c r="Z1054" s="45"/>
      <c r="AA1054" s="45"/>
      <c r="AB1054" s="45"/>
      <c r="AC1054" s="45"/>
      <c r="AD1054" s="45"/>
      <c r="AE1054" s="45"/>
      <c r="AF1054" s="45"/>
      <c r="AG1054" s="45"/>
      <c r="AH1054" s="45"/>
      <c r="AI1054" s="45"/>
      <c r="AJ1054" s="45"/>
      <c r="AK1054" s="45"/>
      <c r="AL1054" s="45"/>
      <c r="AM1054" s="45"/>
      <c r="AN1054" s="45"/>
      <c r="AO1054" s="45"/>
      <c r="AP1054" s="45"/>
      <c r="AQ1054" s="45"/>
      <c r="AR1054" s="45"/>
      <c r="AS1054" s="45"/>
      <c r="AT1054" s="45"/>
      <c r="AU1054" s="45"/>
      <c r="AV1054" s="45"/>
      <c r="AW1054" s="45"/>
      <c r="AX1054" s="45"/>
    </row>
    <row r="1055" ht="15.75" customHeight="1">
      <c r="A1055" s="45"/>
      <c r="B1055" s="45"/>
      <c r="C1055" s="46"/>
      <c r="D1055" s="45"/>
      <c r="E1055" s="47"/>
      <c r="F1055" s="45"/>
      <c r="G1055" s="45"/>
      <c r="H1055" s="45"/>
      <c r="I1055" s="45"/>
      <c r="J1055" s="45"/>
      <c r="K1055" s="45"/>
      <c r="L1055" s="45"/>
      <c r="M1055" s="45"/>
      <c r="N1055" s="45"/>
      <c r="O1055" s="45"/>
      <c r="P1055" s="45"/>
      <c r="Q1055" s="45"/>
      <c r="R1055" s="45"/>
      <c r="S1055" s="45"/>
      <c r="T1055" s="45"/>
      <c r="U1055" s="45"/>
      <c r="V1055" s="45"/>
      <c r="W1055" s="45"/>
      <c r="X1055" s="45"/>
      <c r="Y1055" s="45"/>
      <c r="Z1055" s="45"/>
      <c r="AA1055" s="45"/>
      <c r="AB1055" s="45"/>
      <c r="AC1055" s="45"/>
      <c r="AD1055" s="45"/>
      <c r="AE1055" s="45"/>
      <c r="AF1055" s="45"/>
      <c r="AG1055" s="45"/>
      <c r="AH1055" s="45"/>
      <c r="AI1055" s="45"/>
      <c r="AJ1055" s="45"/>
      <c r="AK1055" s="45"/>
      <c r="AL1055" s="45"/>
      <c r="AM1055" s="45"/>
      <c r="AN1055" s="45"/>
      <c r="AO1055" s="45"/>
      <c r="AP1055" s="45"/>
      <c r="AQ1055" s="45"/>
      <c r="AR1055" s="45"/>
      <c r="AS1055" s="45"/>
      <c r="AT1055" s="45"/>
      <c r="AU1055" s="45"/>
      <c r="AV1055" s="45"/>
      <c r="AW1055" s="45"/>
      <c r="AX1055" s="45"/>
    </row>
    <row r="1056" ht="15.75" customHeight="1">
      <c r="A1056" s="45"/>
      <c r="B1056" s="45"/>
      <c r="C1056" s="46"/>
      <c r="D1056" s="45"/>
      <c r="E1056" s="47"/>
      <c r="F1056" s="45"/>
      <c r="G1056" s="45"/>
      <c r="H1056" s="45"/>
      <c r="I1056" s="45"/>
      <c r="J1056" s="45"/>
      <c r="K1056" s="45"/>
      <c r="L1056" s="45"/>
      <c r="M1056" s="45"/>
      <c r="N1056" s="45"/>
      <c r="O1056" s="45"/>
      <c r="P1056" s="45"/>
      <c r="Q1056" s="45"/>
      <c r="R1056" s="45"/>
      <c r="S1056" s="45"/>
      <c r="T1056" s="45"/>
      <c r="U1056" s="45"/>
      <c r="V1056" s="45"/>
      <c r="W1056" s="45"/>
      <c r="X1056" s="45"/>
      <c r="Y1056" s="45"/>
      <c r="Z1056" s="45"/>
      <c r="AA1056" s="45"/>
      <c r="AB1056" s="45"/>
      <c r="AC1056" s="45"/>
      <c r="AD1056" s="45"/>
      <c r="AE1056" s="45"/>
      <c r="AF1056" s="45"/>
      <c r="AG1056" s="45"/>
      <c r="AH1056" s="45"/>
      <c r="AI1056" s="45"/>
      <c r="AJ1056" s="45"/>
      <c r="AK1056" s="45"/>
      <c r="AL1056" s="45"/>
      <c r="AM1056" s="45"/>
      <c r="AN1056" s="45"/>
      <c r="AO1056" s="45"/>
      <c r="AP1056" s="45"/>
      <c r="AQ1056" s="45"/>
      <c r="AR1056" s="45"/>
      <c r="AS1056" s="45"/>
      <c r="AT1056" s="45"/>
      <c r="AU1056" s="45"/>
      <c r="AV1056" s="45"/>
      <c r="AW1056" s="45"/>
      <c r="AX1056" s="45"/>
    </row>
    <row r="1057" ht="15.75" customHeight="1">
      <c r="A1057" s="45"/>
      <c r="B1057" s="45"/>
      <c r="C1057" s="46"/>
      <c r="D1057" s="45"/>
      <c r="E1057" s="47"/>
      <c r="F1057" s="45"/>
      <c r="G1057" s="45"/>
      <c r="H1057" s="45"/>
      <c r="I1057" s="45"/>
      <c r="J1057" s="45"/>
      <c r="K1057" s="45"/>
      <c r="L1057" s="45"/>
      <c r="M1057" s="45"/>
      <c r="N1057" s="45"/>
      <c r="O1057" s="45"/>
      <c r="P1057" s="45"/>
      <c r="Q1057" s="45"/>
      <c r="R1057" s="45"/>
      <c r="S1057" s="45"/>
      <c r="T1057" s="45"/>
      <c r="U1057" s="45"/>
      <c r="V1057" s="45"/>
      <c r="W1057" s="45"/>
      <c r="X1057" s="45"/>
      <c r="Y1057" s="45"/>
      <c r="Z1057" s="45"/>
      <c r="AA1057" s="45"/>
      <c r="AB1057" s="45"/>
      <c r="AC1057" s="45"/>
      <c r="AD1057" s="45"/>
      <c r="AE1057" s="45"/>
      <c r="AF1057" s="45"/>
      <c r="AG1057" s="45"/>
      <c r="AH1057" s="45"/>
      <c r="AI1057" s="45"/>
      <c r="AJ1057" s="45"/>
      <c r="AK1057" s="45"/>
      <c r="AL1057" s="45"/>
      <c r="AM1057" s="45"/>
      <c r="AN1057" s="45"/>
      <c r="AO1057" s="45"/>
      <c r="AP1057" s="45"/>
      <c r="AQ1057" s="45"/>
      <c r="AR1057" s="45"/>
      <c r="AS1057" s="45"/>
      <c r="AT1057" s="45"/>
      <c r="AU1057" s="45"/>
      <c r="AV1057" s="45"/>
      <c r="AW1057" s="45"/>
      <c r="AX1057" s="45"/>
    </row>
    <row r="1058" ht="15.75" customHeight="1">
      <c r="A1058" s="45"/>
      <c r="B1058" s="45"/>
      <c r="C1058" s="46"/>
      <c r="D1058" s="45"/>
      <c r="E1058" s="47"/>
      <c r="F1058" s="45"/>
      <c r="G1058" s="45"/>
      <c r="H1058" s="45"/>
      <c r="I1058" s="45"/>
      <c r="J1058" s="45"/>
      <c r="K1058" s="45"/>
      <c r="L1058" s="45"/>
      <c r="M1058" s="45"/>
      <c r="N1058" s="45"/>
      <c r="O1058" s="45"/>
      <c r="P1058" s="45"/>
      <c r="Q1058" s="45"/>
      <c r="R1058" s="45"/>
      <c r="S1058" s="45"/>
      <c r="T1058" s="45"/>
      <c r="U1058" s="45"/>
      <c r="V1058" s="45"/>
      <c r="W1058" s="45"/>
      <c r="X1058" s="45"/>
      <c r="Y1058" s="45"/>
      <c r="Z1058" s="45"/>
      <c r="AA1058" s="45"/>
      <c r="AB1058" s="45"/>
      <c r="AC1058" s="45"/>
      <c r="AD1058" s="45"/>
      <c r="AE1058" s="45"/>
      <c r="AF1058" s="45"/>
      <c r="AG1058" s="45"/>
      <c r="AH1058" s="45"/>
      <c r="AI1058" s="45"/>
      <c r="AJ1058" s="45"/>
      <c r="AK1058" s="45"/>
      <c r="AL1058" s="45"/>
      <c r="AM1058" s="45"/>
      <c r="AN1058" s="45"/>
      <c r="AO1058" s="45"/>
      <c r="AP1058" s="45"/>
      <c r="AQ1058" s="45"/>
      <c r="AR1058" s="45"/>
      <c r="AS1058" s="45"/>
      <c r="AT1058" s="45"/>
      <c r="AU1058" s="45"/>
      <c r="AV1058" s="45"/>
      <c r="AW1058" s="45"/>
      <c r="AX1058" s="45"/>
    </row>
    <row r="1059" ht="15.75" customHeight="1">
      <c r="A1059" s="45"/>
      <c r="B1059" s="45"/>
      <c r="C1059" s="46"/>
      <c r="D1059" s="45"/>
      <c r="E1059" s="47"/>
      <c r="F1059" s="45"/>
      <c r="G1059" s="45"/>
      <c r="H1059" s="45"/>
      <c r="I1059" s="45"/>
      <c r="J1059" s="45"/>
      <c r="K1059" s="45"/>
      <c r="L1059" s="45"/>
      <c r="M1059" s="45"/>
      <c r="N1059" s="45"/>
      <c r="O1059" s="45"/>
      <c r="P1059" s="45"/>
      <c r="Q1059" s="45"/>
      <c r="R1059" s="45"/>
      <c r="S1059" s="45"/>
      <c r="T1059" s="45"/>
      <c r="U1059" s="45"/>
      <c r="V1059" s="45"/>
      <c r="W1059" s="45"/>
      <c r="X1059" s="45"/>
      <c r="Y1059" s="45"/>
      <c r="Z1059" s="45"/>
      <c r="AA1059" s="45"/>
      <c r="AB1059" s="45"/>
      <c r="AC1059" s="45"/>
      <c r="AD1059" s="45"/>
      <c r="AE1059" s="45"/>
      <c r="AF1059" s="45"/>
      <c r="AG1059" s="45"/>
      <c r="AH1059" s="45"/>
      <c r="AI1059" s="45"/>
      <c r="AJ1059" s="45"/>
      <c r="AK1059" s="45"/>
      <c r="AL1059" s="45"/>
      <c r="AM1059" s="45"/>
      <c r="AN1059" s="45"/>
      <c r="AO1059" s="45"/>
      <c r="AP1059" s="45"/>
      <c r="AQ1059" s="45"/>
      <c r="AR1059" s="45"/>
      <c r="AS1059" s="45"/>
      <c r="AT1059" s="45"/>
      <c r="AU1059" s="45"/>
      <c r="AV1059" s="45"/>
      <c r="AW1059" s="45"/>
      <c r="AX1059" s="45"/>
    </row>
    <row r="1060" ht="15.75" customHeight="1">
      <c r="A1060" s="45"/>
      <c r="B1060" s="45"/>
      <c r="C1060" s="46"/>
      <c r="D1060" s="45"/>
      <c r="E1060" s="47"/>
      <c r="F1060" s="45"/>
      <c r="G1060" s="45"/>
      <c r="H1060" s="45"/>
      <c r="I1060" s="45"/>
      <c r="J1060" s="45"/>
      <c r="K1060" s="45"/>
      <c r="L1060" s="45"/>
      <c r="M1060" s="45"/>
      <c r="N1060" s="45"/>
      <c r="O1060" s="45"/>
      <c r="P1060" s="45"/>
      <c r="Q1060" s="45"/>
      <c r="R1060" s="45"/>
      <c r="S1060" s="45"/>
      <c r="T1060" s="45"/>
      <c r="U1060" s="45"/>
      <c r="V1060" s="45"/>
      <c r="W1060" s="45"/>
      <c r="X1060" s="45"/>
      <c r="Y1060" s="45"/>
      <c r="Z1060" s="45"/>
      <c r="AA1060" s="45"/>
      <c r="AB1060" s="45"/>
      <c r="AC1060" s="45"/>
      <c r="AD1060" s="45"/>
      <c r="AE1060" s="45"/>
      <c r="AF1060" s="45"/>
      <c r="AG1060" s="45"/>
      <c r="AH1060" s="45"/>
      <c r="AI1060" s="45"/>
      <c r="AJ1060" s="45"/>
      <c r="AK1060" s="45"/>
      <c r="AL1060" s="45"/>
      <c r="AM1060" s="45"/>
      <c r="AN1060" s="45"/>
      <c r="AO1060" s="45"/>
      <c r="AP1060" s="45"/>
      <c r="AQ1060" s="45"/>
      <c r="AR1060" s="45"/>
      <c r="AS1060" s="45"/>
      <c r="AT1060" s="45"/>
      <c r="AU1060" s="45"/>
      <c r="AV1060" s="45"/>
      <c r="AW1060" s="45"/>
      <c r="AX1060" s="45"/>
    </row>
    <row r="1061" ht="15.75" customHeight="1">
      <c r="A1061" s="45"/>
      <c r="B1061" s="45"/>
      <c r="C1061" s="46"/>
      <c r="D1061" s="45"/>
      <c r="E1061" s="47"/>
      <c r="F1061" s="45"/>
      <c r="G1061" s="45"/>
      <c r="H1061" s="45"/>
      <c r="I1061" s="45"/>
      <c r="J1061" s="45"/>
      <c r="K1061" s="45"/>
      <c r="L1061" s="45"/>
      <c r="M1061" s="45"/>
      <c r="N1061" s="45"/>
      <c r="O1061" s="45"/>
      <c r="P1061" s="45"/>
      <c r="Q1061" s="45"/>
      <c r="R1061" s="45"/>
      <c r="S1061" s="45"/>
      <c r="T1061" s="45"/>
      <c r="U1061" s="45"/>
      <c r="V1061" s="45"/>
      <c r="W1061" s="45"/>
      <c r="X1061" s="45"/>
      <c r="Y1061" s="45"/>
      <c r="Z1061" s="45"/>
      <c r="AA1061" s="45"/>
      <c r="AB1061" s="45"/>
      <c r="AC1061" s="45"/>
      <c r="AD1061" s="45"/>
      <c r="AE1061" s="45"/>
      <c r="AF1061" s="45"/>
      <c r="AG1061" s="45"/>
      <c r="AH1061" s="45"/>
      <c r="AI1061" s="45"/>
      <c r="AJ1061" s="45"/>
      <c r="AK1061" s="45"/>
      <c r="AL1061" s="45"/>
      <c r="AM1061" s="45"/>
      <c r="AN1061" s="45"/>
      <c r="AO1061" s="45"/>
      <c r="AP1061" s="45"/>
      <c r="AQ1061" s="45"/>
      <c r="AR1061" s="45"/>
      <c r="AS1061" s="45"/>
      <c r="AT1061" s="45"/>
      <c r="AU1061" s="45"/>
      <c r="AV1061" s="45"/>
      <c r="AW1061" s="45"/>
      <c r="AX1061" s="45"/>
    </row>
    <row r="1062" ht="15.75" customHeight="1">
      <c r="A1062" s="45"/>
      <c r="B1062" s="45"/>
      <c r="C1062" s="46"/>
      <c r="D1062" s="45"/>
      <c r="E1062" s="47"/>
      <c r="F1062" s="45"/>
      <c r="G1062" s="45"/>
      <c r="H1062" s="45"/>
      <c r="I1062" s="45"/>
      <c r="J1062" s="45"/>
      <c r="K1062" s="45"/>
      <c r="L1062" s="45"/>
      <c r="M1062" s="45"/>
      <c r="N1062" s="45"/>
      <c r="O1062" s="45"/>
      <c r="P1062" s="45"/>
      <c r="Q1062" s="45"/>
      <c r="R1062" s="45"/>
      <c r="S1062" s="45"/>
      <c r="T1062" s="45"/>
      <c r="U1062" s="45"/>
      <c r="V1062" s="45"/>
      <c r="W1062" s="45"/>
      <c r="X1062" s="45"/>
      <c r="Y1062" s="45"/>
      <c r="Z1062" s="45"/>
      <c r="AA1062" s="45"/>
      <c r="AB1062" s="45"/>
      <c r="AC1062" s="45"/>
      <c r="AD1062" s="45"/>
      <c r="AE1062" s="45"/>
      <c r="AF1062" s="45"/>
      <c r="AG1062" s="45"/>
      <c r="AH1062" s="45"/>
      <c r="AI1062" s="45"/>
      <c r="AJ1062" s="45"/>
      <c r="AK1062" s="45"/>
      <c r="AL1062" s="45"/>
      <c r="AM1062" s="45"/>
      <c r="AN1062" s="45"/>
      <c r="AO1062" s="45"/>
      <c r="AP1062" s="45"/>
      <c r="AQ1062" s="45"/>
      <c r="AR1062" s="45"/>
      <c r="AS1062" s="45"/>
      <c r="AT1062" s="45"/>
      <c r="AU1062" s="45"/>
      <c r="AV1062" s="45"/>
      <c r="AW1062" s="45"/>
      <c r="AX1062" s="45"/>
    </row>
    <row r="1063" ht="15.75" customHeight="1">
      <c r="A1063" s="45"/>
      <c r="B1063" s="45"/>
      <c r="C1063" s="46"/>
      <c r="D1063" s="45"/>
      <c r="E1063" s="47"/>
      <c r="F1063" s="45"/>
      <c r="G1063" s="45"/>
      <c r="H1063" s="45"/>
      <c r="I1063" s="45"/>
      <c r="J1063" s="45"/>
      <c r="K1063" s="45"/>
      <c r="L1063" s="45"/>
      <c r="M1063" s="45"/>
      <c r="N1063" s="45"/>
      <c r="O1063" s="45"/>
      <c r="P1063" s="45"/>
      <c r="Q1063" s="45"/>
      <c r="R1063" s="45"/>
      <c r="S1063" s="45"/>
      <c r="T1063" s="45"/>
      <c r="U1063" s="45"/>
      <c r="V1063" s="45"/>
      <c r="W1063" s="45"/>
      <c r="X1063" s="45"/>
      <c r="Y1063" s="45"/>
      <c r="Z1063" s="45"/>
      <c r="AA1063" s="45"/>
      <c r="AB1063" s="45"/>
      <c r="AC1063" s="45"/>
      <c r="AD1063" s="45"/>
      <c r="AE1063" s="45"/>
      <c r="AF1063" s="45"/>
      <c r="AG1063" s="45"/>
      <c r="AH1063" s="45"/>
      <c r="AI1063" s="45"/>
      <c r="AJ1063" s="45"/>
      <c r="AK1063" s="45"/>
      <c r="AL1063" s="45"/>
      <c r="AM1063" s="45"/>
      <c r="AN1063" s="45"/>
      <c r="AO1063" s="45"/>
      <c r="AP1063" s="45"/>
      <c r="AQ1063" s="45"/>
      <c r="AR1063" s="45"/>
      <c r="AS1063" s="45"/>
      <c r="AT1063" s="45"/>
      <c r="AU1063" s="45"/>
      <c r="AV1063" s="45"/>
      <c r="AW1063" s="45"/>
      <c r="AX1063" s="45"/>
    </row>
    <row r="1064" ht="15.75" customHeight="1">
      <c r="A1064" s="45"/>
      <c r="B1064" s="45"/>
      <c r="C1064" s="46"/>
      <c r="D1064" s="45"/>
      <c r="E1064" s="47"/>
      <c r="F1064" s="45"/>
      <c r="G1064" s="45"/>
      <c r="H1064" s="45"/>
      <c r="I1064" s="45"/>
      <c r="J1064" s="45"/>
      <c r="K1064" s="45"/>
      <c r="L1064" s="45"/>
      <c r="M1064" s="45"/>
      <c r="N1064" s="45"/>
      <c r="O1064" s="45"/>
      <c r="P1064" s="45"/>
      <c r="Q1064" s="45"/>
      <c r="R1064" s="45"/>
      <c r="S1064" s="45"/>
      <c r="T1064" s="45"/>
      <c r="U1064" s="45"/>
      <c r="V1064" s="45"/>
      <c r="W1064" s="45"/>
      <c r="X1064" s="45"/>
      <c r="Y1064" s="45"/>
      <c r="Z1064" s="45"/>
      <c r="AA1064" s="45"/>
      <c r="AB1064" s="45"/>
      <c r="AC1064" s="45"/>
      <c r="AD1064" s="45"/>
      <c r="AE1064" s="45"/>
      <c r="AF1064" s="45"/>
      <c r="AG1064" s="45"/>
      <c r="AH1064" s="45"/>
      <c r="AI1064" s="45"/>
      <c r="AJ1064" s="45"/>
      <c r="AK1064" s="45"/>
      <c r="AL1064" s="45"/>
      <c r="AM1064" s="45"/>
      <c r="AN1064" s="45"/>
      <c r="AO1064" s="45"/>
      <c r="AP1064" s="45"/>
      <c r="AQ1064" s="45"/>
      <c r="AR1064" s="45"/>
      <c r="AS1064" s="45"/>
      <c r="AT1064" s="45"/>
      <c r="AU1064" s="45"/>
      <c r="AV1064" s="45"/>
      <c r="AW1064" s="45"/>
      <c r="AX1064" s="45"/>
    </row>
    <row r="1065" ht="15.75" customHeight="1">
      <c r="A1065" s="45"/>
      <c r="B1065" s="45"/>
      <c r="C1065" s="46"/>
      <c r="D1065" s="45"/>
      <c r="E1065" s="47"/>
      <c r="F1065" s="45"/>
      <c r="G1065" s="45"/>
      <c r="H1065" s="45"/>
      <c r="I1065" s="45"/>
      <c r="J1065" s="45"/>
      <c r="K1065" s="45"/>
      <c r="L1065" s="45"/>
      <c r="M1065" s="45"/>
      <c r="N1065" s="45"/>
      <c r="O1065" s="45"/>
      <c r="P1065" s="45"/>
      <c r="Q1065" s="45"/>
      <c r="R1065" s="45"/>
      <c r="S1065" s="45"/>
      <c r="T1065" s="45"/>
      <c r="U1065" s="45"/>
      <c r="V1065" s="45"/>
      <c r="W1065" s="45"/>
      <c r="X1065" s="45"/>
      <c r="Y1065" s="45"/>
      <c r="Z1065" s="45"/>
      <c r="AA1065" s="45"/>
      <c r="AB1065" s="45"/>
      <c r="AC1065" s="45"/>
      <c r="AD1065" s="45"/>
      <c r="AE1065" s="45"/>
      <c r="AF1065" s="45"/>
      <c r="AG1065" s="45"/>
      <c r="AH1065" s="45"/>
      <c r="AI1065" s="45"/>
      <c r="AJ1065" s="45"/>
      <c r="AK1065" s="45"/>
      <c r="AL1065" s="45"/>
      <c r="AM1065" s="45"/>
      <c r="AN1065" s="45"/>
      <c r="AO1065" s="45"/>
      <c r="AP1065" s="45"/>
      <c r="AQ1065" s="45"/>
      <c r="AR1065" s="45"/>
      <c r="AS1065" s="45"/>
      <c r="AT1065" s="45"/>
      <c r="AU1065" s="45"/>
      <c r="AV1065" s="45"/>
      <c r="AW1065" s="45"/>
      <c r="AX1065" s="45"/>
    </row>
    <row r="1066" ht="15.75" customHeight="1">
      <c r="A1066" s="45"/>
      <c r="B1066" s="45"/>
      <c r="C1066" s="46"/>
      <c r="D1066" s="45"/>
      <c r="E1066" s="47"/>
      <c r="F1066" s="45"/>
      <c r="G1066" s="45"/>
      <c r="H1066" s="45"/>
      <c r="I1066" s="45"/>
      <c r="J1066" s="45"/>
      <c r="K1066" s="45"/>
      <c r="L1066" s="45"/>
      <c r="M1066" s="45"/>
      <c r="N1066" s="45"/>
      <c r="O1066" s="45"/>
      <c r="P1066" s="45"/>
      <c r="Q1066" s="45"/>
      <c r="R1066" s="45"/>
      <c r="S1066" s="45"/>
      <c r="T1066" s="45"/>
      <c r="U1066" s="45"/>
      <c r="V1066" s="45"/>
      <c r="W1066" s="45"/>
      <c r="X1066" s="45"/>
      <c r="Y1066" s="45"/>
      <c r="Z1066" s="45"/>
      <c r="AA1066" s="45"/>
      <c r="AB1066" s="45"/>
      <c r="AC1066" s="45"/>
      <c r="AD1066" s="45"/>
      <c r="AE1066" s="45"/>
      <c r="AF1066" s="45"/>
      <c r="AG1066" s="45"/>
      <c r="AH1066" s="45"/>
      <c r="AI1066" s="45"/>
      <c r="AJ1066" s="45"/>
      <c r="AK1066" s="45"/>
      <c r="AL1066" s="45"/>
      <c r="AM1066" s="45"/>
      <c r="AN1066" s="45"/>
      <c r="AO1066" s="45"/>
      <c r="AP1066" s="45"/>
      <c r="AQ1066" s="45"/>
      <c r="AR1066" s="45"/>
      <c r="AS1066" s="45"/>
      <c r="AT1066" s="45"/>
      <c r="AU1066" s="45"/>
      <c r="AV1066" s="45"/>
      <c r="AW1066" s="45"/>
      <c r="AX1066" s="45"/>
    </row>
    <row r="1067" ht="15.75" customHeight="1">
      <c r="A1067" s="45"/>
      <c r="B1067" s="45"/>
      <c r="C1067" s="46"/>
      <c r="D1067" s="45"/>
      <c r="E1067" s="47"/>
      <c r="F1067" s="45"/>
      <c r="G1067" s="45"/>
      <c r="H1067" s="45"/>
      <c r="I1067" s="45"/>
      <c r="J1067" s="45"/>
      <c r="K1067" s="45"/>
      <c r="L1067" s="45"/>
      <c r="M1067" s="45"/>
      <c r="N1067" s="45"/>
      <c r="O1067" s="45"/>
      <c r="P1067" s="45"/>
      <c r="Q1067" s="45"/>
      <c r="R1067" s="45"/>
      <c r="S1067" s="45"/>
      <c r="T1067" s="45"/>
      <c r="U1067" s="45"/>
      <c r="V1067" s="45"/>
      <c r="W1067" s="45"/>
      <c r="X1067" s="45"/>
      <c r="Y1067" s="45"/>
      <c r="Z1067" s="45"/>
      <c r="AA1067" s="45"/>
      <c r="AB1067" s="45"/>
      <c r="AC1067" s="45"/>
      <c r="AD1067" s="45"/>
      <c r="AE1067" s="45"/>
      <c r="AF1067" s="45"/>
      <c r="AG1067" s="45"/>
      <c r="AH1067" s="45"/>
      <c r="AI1067" s="45"/>
      <c r="AJ1067" s="45"/>
      <c r="AK1067" s="45"/>
      <c r="AL1067" s="45"/>
      <c r="AM1067" s="45"/>
      <c r="AN1067" s="45"/>
      <c r="AO1067" s="45"/>
      <c r="AP1067" s="45"/>
      <c r="AQ1067" s="45"/>
      <c r="AR1067" s="45"/>
      <c r="AS1067" s="45"/>
      <c r="AT1067" s="45"/>
      <c r="AU1067" s="45"/>
      <c r="AV1067" s="45"/>
      <c r="AW1067" s="45"/>
      <c r="AX1067" s="45"/>
    </row>
    <row r="1068" ht="15.75" customHeight="1">
      <c r="A1068" s="45"/>
      <c r="B1068" s="45"/>
      <c r="C1068" s="46"/>
      <c r="D1068" s="45"/>
      <c r="E1068" s="47"/>
      <c r="F1068" s="45"/>
      <c r="G1068" s="45"/>
      <c r="H1068" s="45"/>
      <c r="I1068" s="45"/>
      <c r="J1068" s="45"/>
      <c r="K1068" s="45"/>
      <c r="L1068" s="45"/>
      <c r="M1068" s="45"/>
      <c r="N1068" s="45"/>
      <c r="O1068" s="45"/>
      <c r="P1068" s="45"/>
      <c r="Q1068" s="45"/>
      <c r="R1068" s="45"/>
      <c r="S1068" s="45"/>
      <c r="T1068" s="45"/>
      <c r="U1068" s="45"/>
      <c r="V1068" s="45"/>
      <c r="W1068" s="45"/>
      <c r="X1068" s="45"/>
      <c r="Y1068" s="45"/>
      <c r="Z1068" s="45"/>
      <c r="AA1068" s="45"/>
      <c r="AB1068" s="45"/>
      <c r="AC1068" s="45"/>
      <c r="AD1068" s="45"/>
      <c r="AE1068" s="45"/>
      <c r="AF1068" s="45"/>
      <c r="AG1068" s="45"/>
      <c r="AH1068" s="45"/>
      <c r="AI1068" s="45"/>
      <c r="AJ1068" s="45"/>
      <c r="AK1068" s="45"/>
      <c r="AL1068" s="45"/>
      <c r="AM1068" s="45"/>
      <c r="AN1068" s="45"/>
      <c r="AO1068" s="45"/>
      <c r="AP1068" s="45"/>
      <c r="AQ1068" s="45"/>
      <c r="AR1068" s="45"/>
      <c r="AS1068" s="45"/>
      <c r="AT1068" s="45"/>
      <c r="AU1068" s="45"/>
      <c r="AV1068" s="45"/>
      <c r="AW1068" s="45"/>
      <c r="AX1068" s="45"/>
    </row>
    <row r="1069" ht="15.75" customHeight="1">
      <c r="A1069" s="45"/>
      <c r="B1069" s="45"/>
      <c r="C1069" s="46"/>
      <c r="D1069" s="45"/>
      <c r="E1069" s="47"/>
      <c r="F1069" s="45"/>
      <c r="G1069" s="45"/>
      <c r="H1069" s="45"/>
      <c r="I1069" s="45"/>
      <c r="J1069" s="45"/>
      <c r="K1069" s="45"/>
      <c r="L1069" s="45"/>
      <c r="M1069" s="45"/>
      <c r="N1069" s="45"/>
      <c r="O1069" s="45"/>
      <c r="P1069" s="45"/>
      <c r="Q1069" s="45"/>
      <c r="R1069" s="45"/>
      <c r="S1069" s="45"/>
      <c r="T1069" s="45"/>
      <c r="U1069" s="45"/>
      <c r="V1069" s="45"/>
      <c r="W1069" s="45"/>
      <c r="X1069" s="45"/>
      <c r="Y1069" s="45"/>
      <c r="Z1069" s="45"/>
      <c r="AA1069" s="45"/>
      <c r="AB1069" s="45"/>
      <c r="AC1069" s="45"/>
      <c r="AD1069" s="45"/>
      <c r="AE1069" s="45"/>
      <c r="AF1069" s="45"/>
      <c r="AG1069" s="45"/>
      <c r="AH1069" s="45"/>
      <c r="AI1069" s="45"/>
      <c r="AJ1069" s="45"/>
      <c r="AK1069" s="45"/>
      <c r="AL1069" s="45"/>
      <c r="AM1069" s="45"/>
      <c r="AN1069" s="45"/>
      <c r="AO1069" s="45"/>
      <c r="AP1069" s="45"/>
      <c r="AQ1069" s="45"/>
      <c r="AR1069" s="45"/>
      <c r="AS1069" s="45"/>
      <c r="AT1069" s="45"/>
      <c r="AU1069" s="45"/>
      <c r="AV1069" s="45"/>
      <c r="AW1069" s="45"/>
      <c r="AX1069" s="45"/>
    </row>
    <row r="1070" ht="15.75" customHeight="1">
      <c r="A1070" s="45"/>
      <c r="B1070" s="45"/>
      <c r="C1070" s="46"/>
      <c r="D1070" s="45"/>
      <c r="E1070" s="47"/>
      <c r="F1070" s="45"/>
      <c r="G1070" s="45"/>
      <c r="H1070" s="45"/>
      <c r="I1070" s="45"/>
      <c r="J1070" s="45"/>
      <c r="K1070" s="45"/>
      <c r="L1070" s="45"/>
      <c r="M1070" s="45"/>
      <c r="N1070" s="45"/>
      <c r="O1070" s="45"/>
      <c r="P1070" s="45"/>
      <c r="Q1070" s="45"/>
      <c r="R1070" s="45"/>
      <c r="S1070" s="45"/>
      <c r="T1070" s="45"/>
      <c r="U1070" s="45"/>
      <c r="V1070" s="45"/>
      <c r="W1070" s="45"/>
      <c r="X1070" s="45"/>
      <c r="Y1070" s="45"/>
      <c r="Z1070" s="45"/>
      <c r="AA1070" s="45"/>
      <c r="AB1070" s="45"/>
      <c r="AC1070" s="45"/>
      <c r="AD1070" s="45"/>
      <c r="AE1070" s="45"/>
      <c r="AF1070" s="45"/>
      <c r="AG1070" s="45"/>
      <c r="AH1070" s="45"/>
      <c r="AI1070" s="45"/>
      <c r="AJ1070" s="45"/>
      <c r="AK1070" s="45"/>
      <c r="AL1070" s="45"/>
      <c r="AM1070" s="45"/>
      <c r="AN1070" s="45"/>
      <c r="AO1070" s="45"/>
      <c r="AP1070" s="45"/>
      <c r="AQ1070" s="45"/>
      <c r="AR1070" s="45"/>
      <c r="AS1070" s="45"/>
      <c r="AT1070" s="45"/>
      <c r="AU1070" s="45"/>
      <c r="AV1070" s="45"/>
      <c r="AW1070" s="45"/>
      <c r="AX1070" s="45"/>
    </row>
    <row r="1071" ht="15.75" customHeight="1">
      <c r="A1071" s="45"/>
      <c r="B1071" s="45"/>
      <c r="C1071" s="46"/>
      <c r="D1071" s="45"/>
      <c r="E1071" s="47"/>
      <c r="F1071" s="45"/>
      <c r="G1071" s="45"/>
      <c r="H1071" s="45"/>
      <c r="I1071" s="45"/>
      <c r="J1071" s="45"/>
      <c r="K1071" s="45"/>
      <c r="L1071" s="45"/>
      <c r="M1071" s="45"/>
      <c r="N1071" s="45"/>
      <c r="O1071" s="45"/>
      <c r="P1071" s="45"/>
      <c r="Q1071" s="45"/>
      <c r="R1071" s="45"/>
      <c r="S1071" s="45"/>
      <c r="T1071" s="45"/>
      <c r="U1071" s="45"/>
      <c r="V1071" s="45"/>
      <c r="W1071" s="45"/>
      <c r="X1071" s="45"/>
      <c r="Y1071" s="45"/>
      <c r="Z1071" s="45"/>
      <c r="AA1071" s="45"/>
      <c r="AB1071" s="45"/>
      <c r="AC1071" s="45"/>
      <c r="AD1071" s="45"/>
      <c r="AE1071" s="45"/>
      <c r="AF1071" s="45"/>
      <c r="AG1071" s="45"/>
      <c r="AH1071" s="45"/>
      <c r="AI1071" s="45"/>
      <c r="AJ1071" s="45"/>
      <c r="AK1071" s="45"/>
      <c r="AL1071" s="45"/>
      <c r="AM1071" s="45"/>
      <c r="AN1071" s="45"/>
      <c r="AO1071" s="45"/>
      <c r="AP1071" s="45"/>
      <c r="AQ1071" s="45"/>
      <c r="AR1071" s="45"/>
      <c r="AS1071" s="45"/>
      <c r="AT1071" s="45"/>
      <c r="AU1071" s="45"/>
      <c r="AV1071" s="45"/>
      <c r="AW1071" s="45"/>
      <c r="AX1071" s="45"/>
    </row>
    <row r="1072" ht="15.75" customHeight="1">
      <c r="A1072" s="45"/>
      <c r="B1072" s="45"/>
      <c r="C1072" s="46"/>
      <c r="D1072" s="45"/>
      <c r="E1072" s="47"/>
      <c r="F1072" s="45"/>
      <c r="G1072" s="45"/>
      <c r="H1072" s="45"/>
      <c r="I1072" s="45"/>
      <c r="J1072" s="45"/>
      <c r="K1072" s="45"/>
      <c r="L1072" s="45"/>
      <c r="M1072" s="45"/>
      <c r="N1072" s="45"/>
      <c r="O1072" s="45"/>
      <c r="P1072" s="45"/>
      <c r="Q1072" s="45"/>
      <c r="R1072" s="45"/>
      <c r="S1072" s="45"/>
      <c r="T1072" s="45"/>
      <c r="U1072" s="45"/>
      <c r="V1072" s="45"/>
      <c r="W1072" s="45"/>
      <c r="X1072" s="45"/>
      <c r="Y1072" s="45"/>
      <c r="Z1072" s="45"/>
      <c r="AA1072" s="45"/>
      <c r="AB1072" s="45"/>
      <c r="AC1072" s="45"/>
      <c r="AD1072" s="45"/>
      <c r="AE1072" s="45"/>
      <c r="AF1072" s="45"/>
      <c r="AG1072" s="45"/>
      <c r="AH1072" s="45"/>
      <c r="AI1072" s="45"/>
      <c r="AJ1072" s="45"/>
      <c r="AK1072" s="45"/>
      <c r="AL1072" s="45"/>
      <c r="AM1072" s="45"/>
      <c r="AN1072" s="45"/>
      <c r="AO1072" s="45"/>
      <c r="AP1072" s="45"/>
      <c r="AQ1072" s="45"/>
      <c r="AR1072" s="45"/>
      <c r="AS1072" s="45"/>
      <c r="AT1072" s="45"/>
      <c r="AU1072" s="45"/>
      <c r="AV1072" s="45"/>
      <c r="AW1072" s="45"/>
      <c r="AX1072" s="45"/>
    </row>
    <row r="1073" ht="15.75" customHeight="1">
      <c r="A1073" s="45"/>
      <c r="B1073" s="45"/>
      <c r="C1073" s="46"/>
      <c r="D1073" s="45"/>
      <c r="E1073" s="47"/>
      <c r="F1073" s="45"/>
      <c r="G1073" s="45"/>
      <c r="H1073" s="45"/>
      <c r="I1073" s="45"/>
      <c r="J1073" s="45"/>
      <c r="K1073" s="45"/>
      <c r="L1073" s="45"/>
      <c r="M1073" s="45"/>
      <c r="N1073" s="45"/>
      <c r="O1073" s="45"/>
      <c r="P1073" s="45"/>
      <c r="Q1073" s="45"/>
      <c r="R1073" s="45"/>
      <c r="S1073" s="45"/>
      <c r="T1073" s="45"/>
      <c r="U1073" s="45"/>
      <c r="V1073" s="45"/>
      <c r="W1073" s="45"/>
      <c r="X1073" s="45"/>
      <c r="Y1073" s="45"/>
      <c r="Z1073" s="45"/>
      <c r="AA1073" s="45"/>
      <c r="AB1073" s="45"/>
      <c r="AC1073" s="45"/>
      <c r="AD1073" s="45"/>
      <c r="AE1073" s="45"/>
      <c r="AF1073" s="45"/>
      <c r="AG1073" s="45"/>
      <c r="AH1073" s="45"/>
      <c r="AI1073" s="45"/>
      <c r="AJ1073" s="45"/>
      <c r="AK1073" s="45"/>
      <c r="AL1073" s="45"/>
      <c r="AM1073" s="45"/>
      <c r="AN1073" s="45"/>
      <c r="AO1073" s="45"/>
      <c r="AP1073" s="45"/>
      <c r="AQ1073" s="45"/>
      <c r="AR1073" s="45"/>
      <c r="AS1073" s="45"/>
      <c r="AT1073" s="45"/>
      <c r="AU1073" s="45"/>
      <c r="AV1073" s="45"/>
      <c r="AW1073" s="45"/>
      <c r="AX1073" s="45"/>
    </row>
    <row r="1074" ht="15.75" customHeight="1">
      <c r="A1074" s="45"/>
      <c r="B1074" s="45"/>
      <c r="C1074" s="46"/>
      <c r="D1074" s="45"/>
      <c r="E1074" s="47"/>
      <c r="F1074" s="45"/>
      <c r="G1074" s="45"/>
      <c r="H1074" s="45"/>
      <c r="I1074" s="45"/>
      <c r="J1074" s="45"/>
      <c r="K1074" s="45"/>
      <c r="L1074" s="45"/>
      <c r="M1074" s="45"/>
      <c r="N1074" s="45"/>
      <c r="O1074" s="45"/>
      <c r="P1074" s="45"/>
      <c r="Q1074" s="45"/>
      <c r="R1074" s="45"/>
      <c r="S1074" s="45"/>
      <c r="T1074" s="45"/>
      <c r="U1074" s="45"/>
      <c r="V1074" s="45"/>
      <c r="W1074" s="45"/>
      <c r="X1074" s="45"/>
      <c r="Y1074" s="45"/>
      <c r="Z1074" s="45"/>
      <c r="AA1074" s="45"/>
      <c r="AB1074" s="45"/>
      <c r="AC1074" s="45"/>
      <c r="AD1074" s="45"/>
      <c r="AE1074" s="45"/>
      <c r="AF1074" s="45"/>
      <c r="AG1074" s="45"/>
      <c r="AH1074" s="45"/>
      <c r="AI1074" s="45"/>
      <c r="AJ1074" s="45"/>
      <c r="AK1074" s="45"/>
      <c r="AL1074" s="45"/>
      <c r="AM1074" s="45"/>
      <c r="AN1074" s="45"/>
      <c r="AO1074" s="45"/>
      <c r="AP1074" s="45"/>
      <c r="AQ1074" s="45"/>
      <c r="AR1074" s="45"/>
      <c r="AS1074" s="45"/>
      <c r="AT1074" s="45"/>
      <c r="AU1074" s="45"/>
      <c r="AV1074" s="45"/>
      <c r="AW1074" s="45"/>
      <c r="AX1074" s="45"/>
    </row>
    <row r="1075" ht="15.75" customHeight="1">
      <c r="A1075" s="45"/>
      <c r="B1075" s="45"/>
      <c r="C1075" s="46"/>
      <c r="D1075" s="45"/>
      <c r="E1075" s="47"/>
      <c r="F1075" s="45"/>
      <c r="G1075" s="45"/>
      <c r="H1075" s="45"/>
      <c r="I1075" s="45"/>
      <c r="J1075" s="45"/>
      <c r="K1075" s="45"/>
      <c r="L1075" s="45"/>
      <c r="M1075" s="45"/>
      <c r="N1075" s="45"/>
      <c r="O1075" s="45"/>
      <c r="P1075" s="45"/>
      <c r="Q1075" s="45"/>
      <c r="R1075" s="45"/>
      <c r="S1075" s="45"/>
      <c r="T1075" s="45"/>
      <c r="U1075" s="45"/>
      <c r="V1075" s="45"/>
      <c r="W1075" s="45"/>
      <c r="X1075" s="45"/>
      <c r="Y1075" s="45"/>
      <c r="Z1075" s="45"/>
      <c r="AA1075" s="45"/>
      <c r="AB1075" s="45"/>
      <c r="AC1075" s="45"/>
      <c r="AD1075" s="45"/>
      <c r="AE1075" s="45"/>
      <c r="AF1075" s="45"/>
      <c r="AG1075" s="45"/>
      <c r="AH1075" s="45"/>
      <c r="AI1075" s="45"/>
      <c r="AJ1075" s="45"/>
      <c r="AK1075" s="45"/>
      <c r="AL1075" s="45"/>
      <c r="AM1075" s="45"/>
      <c r="AN1075" s="45"/>
      <c r="AO1075" s="45"/>
      <c r="AP1075" s="45"/>
      <c r="AQ1075" s="45"/>
      <c r="AR1075" s="45"/>
      <c r="AS1075" s="45"/>
      <c r="AT1075" s="45"/>
      <c r="AU1075" s="45"/>
      <c r="AV1075" s="45"/>
      <c r="AW1075" s="45"/>
      <c r="AX1075" s="45"/>
    </row>
    <row r="1076" ht="15.75" customHeight="1">
      <c r="A1076" s="45"/>
      <c r="B1076" s="45"/>
      <c r="C1076" s="46"/>
      <c r="D1076" s="45"/>
      <c r="E1076" s="47"/>
      <c r="F1076" s="45"/>
      <c r="G1076" s="45"/>
      <c r="H1076" s="45"/>
      <c r="I1076" s="45"/>
      <c r="J1076" s="45"/>
      <c r="K1076" s="45"/>
      <c r="L1076" s="45"/>
      <c r="M1076" s="45"/>
      <c r="N1076" s="45"/>
      <c r="O1076" s="45"/>
      <c r="P1076" s="45"/>
      <c r="Q1076" s="45"/>
      <c r="R1076" s="45"/>
      <c r="S1076" s="45"/>
      <c r="T1076" s="45"/>
      <c r="U1076" s="45"/>
      <c r="V1076" s="45"/>
      <c r="W1076" s="45"/>
      <c r="X1076" s="45"/>
      <c r="Y1076" s="45"/>
      <c r="Z1076" s="45"/>
      <c r="AA1076" s="45"/>
      <c r="AB1076" s="45"/>
      <c r="AC1076" s="45"/>
      <c r="AD1076" s="45"/>
      <c r="AE1076" s="45"/>
      <c r="AF1076" s="45"/>
      <c r="AG1076" s="45"/>
      <c r="AH1076" s="45"/>
      <c r="AI1076" s="45"/>
      <c r="AJ1076" s="45"/>
      <c r="AK1076" s="45"/>
      <c r="AL1076" s="45"/>
      <c r="AM1076" s="45"/>
      <c r="AN1076" s="45"/>
      <c r="AO1076" s="45"/>
      <c r="AP1076" s="45"/>
      <c r="AQ1076" s="45"/>
      <c r="AR1076" s="45"/>
      <c r="AS1076" s="45"/>
      <c r="AT1076" s="45"/>
      <c r="AU1076" s="45"/>
      <c r="AV1076" s="45"/>
      <c r="AW1076" s="45"/>
      <c r="AX1076" s="45"/>
    </row>
    <row r="1077" ht="15.75" customHeight="1">
      <c r="A1077" s="45"/>
      <c r="B1077" s="45"/>
      <c r="C1077" s="46"/>
      <c r="D1077" s="45"/>
      <c r="E1077" s="47"/>
      <c r="F1077" s="45"/>
      <c r="G1077" s="45"/>
      <c r="H1077" s="45"/>
      <c r="I1077" s="45"/>
      <c r="J1077" s="45"/>
      <c r="K1077" s="45"/>
      <c r="L1077" s="45"/>
      <c r="M1077" s="45"/>
      <c r="N1077" s="45"/>
      <c r="O1077" s="45"/>
      <c r="P1077" s="45"/>
      <c r="Q1077" s="45"/>
      <c r="R1077" s="45"/>
      <c r="S1077" s="45"/>
      <c r="T1077" s="45"/>
      <c r="U1077" s="45"/>
      <c r="V1077" s="45"/>
      <c r="W1077" s="45"/>
      <c r="X1077" s="45"/>
      <c r="Y1077" s="45"/>
      <c r="Z1077" s="45"/>
      <c r="AA1077" s="45"/>
      <c r="AB1077" s="45"/>
      <c r="AC1077" s="45"/>
      <c r="AD1077" s="45"/>
      <c r="AE1077" s="45"/>
      <c r="AF1077" s="45"/>
      <c r="AG1077" s="45"/>
      <c r="AH1077" s="45"/>
      <c r="AI1077" s="45"/>
      <c r="AJ1077" s="45"/>
      <c r="AK1077" s="45"/>
      <c r="AL1077" s="45"/>
      <c r="AM1077" s="45"/>
      <c r="AN1077" s="45"/>
      <c r="AO1077" s="45"/>
      <c r="AP1077" s="45"/>
      <c r="AQ1077" s="45"/>
      <c r="AR1077" s="45"/>
      <c r="AS1077" s="45"/>
      <c r="AT1077" s="45"/>
      <c r="AU1077" s="45"/>
      <c r="AV1077" s="45"/>
      <c r="AW1077" s="45"/>
      <c r="AX1077" s="45"/>
    </row>
    <row r="1078" ht="15.75" customHeight="1">
      <c r="A1078" s="45"/>
      <c r="B1078" s="45"/>
      <c r="C1078" s="46"/>
      <c r="D1078" s="45"/>
      <c r="E1078" s="47"/>
      <c r="F1078" s="45"/>
      <c r="G1078" s="45"/>
      <c r="H1078" s="45"/>
      <c r="I1078" s="45"/>
      <c r="J1078" s="45"/>
      <c r="K1078" s="45"/>
      <c r="L1078" s="45"/>
      <c r="M1078" s="45"/>
      <c r="N1078" s="45"/>
      <c r="O1078" s="45"/>
      <c r="P1078" s="45"/>
      <c r="Q1078" s="45"/>
      <c r="R1078" s="45"/>
      <c r="S1078" s="45"/>
      <c r="T1078" s="45"/>
      <c r="U1078" s="45"/>
      <c r="V1078" s="45"/>
      <c r="W1078" s="45"/>
      <c r="X1078" s="45"/>
      <c r="Y1078" s="45"/>
      <c r="Z1078" s="45"/>
      <c r="AA1078" s="45"/>
      <c r="AB1078" s="45"/>
      <c r="AC1078" s="45"/>
      <c r="AD1078" s="45"/>
      <c r="AE1078" s="45"/>
      <c r="AF1078" s="45"/>
      <c r="AG1078" s="45"/>
      <c r="AH1078" s="45"/>
      <c r="AI1078" s="45"/>
      <c r="AJ1078" s="45"/>
      <c r="AK1078" s="45"/>
      <c r="AL1078" s="45"/>
      <c r="AM1078" s="45"/>
      <c r="AN1078" s="45"/>
      <c r="AO1078" s="45"/>
      <c r="AP1078" s="45"/>
      <c r="AQ1078" s="45"/>
      <c r="AR1078" s="45"/>
      <c r="AS1078" s="45"/>
      <c r="AT1078" s="45"/>
      <c r="AU1078" s="45"/>
      <c r="AV1078" s="45"/>
      <c r="AW1078" s="45"/>
      <c r="AX1078" s="45"/>
    </row>
    <row r="1079" ht="15.75" customHeight="1">
      <c r="A1079" s="45"/>
      <c r="B1079" s="45"/>
      <c r="C1079" s="46"/>
      <c r="D1079" s="45"/>
      <c r="E1079" s="47"/>
      <c r="F1079" s="45"/>
      <c r="G1079" s="45"/>
      <c r="H1079" s="45"/>
      <c r="I1079" s="45"/>
      <c r="J1079" s="45"/>
      <c r="K1079" s="45"/>
      <c r="L1079" s="45"/>
      <c r="M1079" s="45"/>
      <c r="N1079" s="45"/>
      <c r="O1079" s="45"/>
      <c r="P1079" s="45"/>
      <c r="Q1079" s="45"/>
      <c r="R1079" s="45"/>
      <c r="S1079" s="45"/>
      <c r="T1079" s="45"/>
      <c r="U1079" s="45"/>
      <c r="V1079" s="45"/>
      <c r="W1079" s="45"/>
      <c r="X1079" s="45"/>
      <c r="Y1079" s="45"/>
      <c r="Z1079" s="45"/>
      <c r="AA1079" s="45"/>
      <c r="AB1079" s="45"/>
      <c r="AC1079" s="45"/>
      <c r="AD1079" s="45"/>
      <c r="AE1079" s="45"/>
      <c r="AF1079" s="45"/>
      <c r="AG1079" s="45"/>
      <c r="AH1079" s="45"/>
      <c r="AI1079" s="45"/>
      <c r="AJ1079" s="45"/>
      <c r="AK1079" s="45"/>
      <c r="AL1079" s="45"/>
      <c r="AM1079" s="45"/>
      <c r="AN1079" s="45"/>
      <c r="AO1079" s="45"/>
      <c r="AP1079" s="45"/>
      <c r="AQ1079" s="45"/>
      <c r="AR1079" s="45"/>
      <c r="AS1079" s="45"/>
      <c r="AT1079" s="45"/>
      <c r="AU1079" s="45"/>
      <c r="AV1079" s="45"/>
      <c r="AW1079" s="45"/>
      <c r="AX1079" s="45"/>
    </row>
    <row r="1080" ht="15.75" customHeight="1">
      <c r="A1080" s="45"/>
      <c r="B1080" s="45"/>
      <c r="C1080" s="46"/>
      <c r="D1080" s="45"/>
      <c r="E1080" s="47"/>
      <c r="F1080" s="45"/>
      <c r="G1080" s="45"/>
      <c r="H1080" s="45"/>
      <c r="I1080" s="45"/>
      <c r="J1080" s="45"/>
      <c r="K1080" s="45"/>
      <c r="L1080" s="45"/>
      <c r="M1080" s="45"/>
      <c r="N1080" s="45"/>
      <c r="O1080" s="45"/>
      <c r="P1080" s="45"/>
      <c r="Q1080" s="45"/>
      <c r="R1080" s="45"/>
      <c r="S1080" s="45"/>
      <c r="T1080" s="45"/>
      <c r="U1080" s="45"/>
      <c r="V1080" s="45"/>
      <c r="W1080" s="45"/>
      <c r="X1080" s="45"/>
      <c r="Y1080" s="45"/>
      <c r="Z1080" s="45"/>
      <c r="AA1080" s="45"/>
      <c r="AB1080" s="45"/>
      <c r="AC1080" s="45"/>
      <c r="AD1080" s="45"/>
      <c r="AE1080" s="45"/>
      <c r="AF1080" s="45"/>
      <c r="AG1080" s="45"/>
      <c r="AH1080" s="45"/>
      <c r="AI1080" s="45"/>
      <c r="AJ1080" s="45"/>
      <c r="AK1080" s="45"/>
      <c r="AL1080" s="45"/>
      <c r="AM1080" s="45"/>
      <c r="AN1080" s="45"/>
      <c r="AO1080" s="45"/>
      <c r="AP1080" s="45"/>
      <c r="AQ1080" s="45"/>
      <c r="AR1080" s="45"/>
      <c r="AS1080" s="45"/>
      <c r="AT1080" s="45"/>
      <c r="AU1080" s="45"/>
      <c r="AV1080" s="45"/>
      <c r="AW1080" s="45"/>
      <c r="AX1080" s="45"/>
    </row>
    <row r="1081" ht="15.75" customHeight="1">
      <c r="A1081" s="45"/>
      <c r="B1081" s="45"/>
      <c r="C1081" s="46"/>
      <c r="D1081" s="45"/>
      <c r="E1081" s="47"/>
      <c r="F1081" s="45"/>
      <c r="G1081" s="45"/>
      <c r="H1081" s="45"/>
      <c r="I1081" s="45"/>
      <c r="J1081" s="45"/>
      <c r="K1081" s="45"/>
      <c r="L1081" s="45"/>
      <c r="M1081" s="45"/>
      <c r="N1081" s="45"/>
      <c r="O1081" s="45"/>
      <c r="P1081" s="45"/>
      <c r="Q1081" s="45"/>
      <c r="R1081" s="45"/>
      <c r="S1081" s="45"/>
      <c r="T1081" s="45"/>
      <c r="U1081" s="45"/>
      <c r="V1081" s="45"/>
      <c r="W1081" s="45"/>
      <c r="X1081" s="45"/>
      <c r="Y1081" s="45"/>
      <c r="Z1081" s="45"/>
      <c r="AA1081" s="45"/>
      <c r="AB1081" s="45"/>
      <c r="AC1081" s="45"/>
      <c r="AD1081" s="45"/>
      <c r="AE1081" s="45"/>
      <c r="AF1081" s="45"/>
      <c r="AG1081" s="45"/>
      <c r="AH1081" s="45"/>
      <c r="AI1081" s="45"/>
      <c r="AJ1081" s="45"/>
      <c r="AK1081" s="45"/>
      <c r="AL1081" s="45"/>
      <c r="AM1081" s="45"/>
      <c r="AN1081" s="45"/>
      <c r="AO1081" s="45"/>
      <c r="AP1081" s="45"/>
      <c r="AQ1081" s="45"/>
      <c r="AR1081" s="45"/>
      <c r="AS1081" s="45"/>
      <c r="AT1081" s="45"/>
      <c r="AU1081" s="45"/>
      <c r="AV1081" s="45"/>
      <c r="AW1081" s="45"/>
      <c r="AX1081" s="45"/>
    </row>
    <row r="1082" ht="15.75" customHeight="1">
      <c r="A1082" s="45"/>
      <c r="B1082" s="45"/>
      <c r="C1082" s="46"/>
      <c r="D1082" s="45"/>
      <c r="E1082" s="47"/>
      <c r="F1082" s="45"/>
      <c r="G1082" s="45"/>
      <c r="H1082" s="45"/>
      <c r="I1082" s="45"/>
      <c r="J1082" s="45"/>
      <c r="K1082" s="45"/>
      <c r="L1082" s="45"/>
      <c r="M1082" s="45"/>
      <c r="N1082" s="45"/>
      <c r="O1082" s="45"/>
      <c r="P1082" s="45"/>
      <c r="Q1082" s="45"/>
      <c r="R1082" s="45"/>
      <c r="S1082" s="45"/>
      <c r="T1082" s="45"/>
      <c r="U1082" s="45"/>
      <c r="V1082" s="45"/>
      <c r="W1082" s="45"/>
      <c r="X1082" s="45"/>
      <c r="Y1082" s="45"/>
      <c r="Z1082" s="45"/>
      <c r="AA1082" s="45"/>
      <c r="AB1082" s="45"/>
      <c r="AC1082" s="45"/>
      <c r="AD1082" s="45"/>
      <c r="AE1082" s="45"/>
      <c r="AF1082" s="45"/>
      <c r="AG1082" s="45"/>
      <c r="AH1082" s="45"/>
      <c r="AI1082" s="45"/>
      <c r="AJ1082" s="45"/>
      <c r="AK1082" s="45"/>
      <c r="AL1082" s="45"/>
      <c r="AM1082" s="45"/>
      <c r="AN1082" s="45"/>
      <c r="AO1082" s="45"/>
      <c r="AP1082" s="45"/>
      <c r="AQ1082" s="45"/>
      <c r="AR1082" s="45"/>
      <c r="AS1082" s="45"/>
      <c r="AT1082" s="45"/>
      <c r="AU1082" s="45"/>
      <c r="AV1082" s="45"/>
      <c r="AW1082" s="45"/>
      <c r="AX1082" s="45"/>
    </row>
    <row r="1083" ht="15.75" customHeight="1">
      <c r="A1083" s="45"/>
      <c r="B1083" s="45"/>
      <c r="C1083" s="46"/>
      <c r="D1083" s="45"/>
      <c r="E1083" s="47"/>
      <c r="F1083" s="45"/>
      <c r="G1083" s="45"/>
      <c r="H1083" s="45"/>
      <c r="I1083" s="45"/>
      <c r="J1083" s="45"/>
      <c r="K1083" s="45"/>
      <c r="L1083" s="45"/>
      <c r="M1083" s="45"/>
      <c r="N1083" s="45"/>
      <c r="O1083" s="45"/>
      <c r="P1083" s="45"/>
      <c r="Q1083" s="45"/>
      <c r="R1083" s="45"/>
      <c r="S1083" s="45"/>
      <c r="T1083" s="45"/>
      <c r="U1083" s="45"/>
      <c r="V1083" s="45"/>
      <c r="W1083" s="45"/>
      <c r="X1083" s="45"/>
      <c r="Y1083" s="45"/>
      <c r="Z1083" s="45"/>
      <c r="AA1083" s="45"/>
      <c r="AB1083" s="45"/>
      <c r="AC1083" s="45"/>
      <c r="AD1083" s="45"/>
      <c r="AE1083" s="45"/>
      <c r="AF1083" s="45"/>
      <c r="AG1083" s="45"/>
      <c r="AH1083" s="45"/>
      <c r="AI1083" s="45"/>
      <c r="AJ1083" s="45"/>
      <c r="AK1083" s="45"/>
      <c r="AL1083" s="45"/>
      <c r="AM1083" s="45"/>
      <c r="AN1083" s="45"/>
      <c r="AO1083" s="45"/>
      <c r="AP1083" s="45"/>
      <c r="AQ1083" s="45"/>
      <c r="AR1083" s="45"/>
      <c r="AS1083" s="45"/>
      <c r="AT1083" s="45"/>
      <c r="AU1083" s="45"/>
      <c r="AV1083" s="45"/>
      <c r="AW1083" s="45"/>
      <c r="AX1083" s="45"/>
    </row>
    <row r="1084" ht="15.75" customHeight="1">
      <c r="A1084" s="45"/>
      <c r="B1084" s="45"/>
      <c r="C1084" s="46"/>
      <c r="D1084" s="45"/>
      <c r="E1084" s="47"/>
      <c r="F1084" s="45"/>
      <c r="G1084" s="45"/>
      <c r="H1084" s="45"/>
      <c r="I1084" s="45"/>
      <c r="J1084" s="45"/>
      <c r="K1084" s="45"/>
      <c r="L1084" s="45"/>
      <c r="M1084" s="45"/>
      <c r="N1084" s="45"/>
      <c r="O1084" s="45"/>
      <c r="P1084" s="45"/>
      <c r="Q1084" s="45"/>
      <c r="R1084" s="45"/>
      <c r="S1084" s="45"/>
      <c r="T1084" s="45"/>
      <c r="U1084" s="45"/>
      <c r="V1084" s="45"/>
      <c r="W1084" s="45"/>
      <c r="X1084" s="45"/>
      <c r="Y1084" s="45"/>
      <c r="Z1084" s="45"/>
      <c r="AA1084" s="45"/>
      <c r="AB1084" s="45"/>
      <c r="AC1084" s="45"/>
      <c r="AD1084" s="45"/>
      <c r="AE1084" s="45"/>
      <c r="AF1084" s="45"/>
      <c r="AG1084" s="45"/>
      <c r="AH1084" s="45"/>
      <c r="AI1084" s="45"/>
      <c r="AJ1084" s="45"/>
      <c r="AK1084" s="45"/>
      <c r="AL1084" s="45"/>
      <c r="AM1084" s="45"/>
      <c r="AN1084" s="45"/>
      <c r="AO1084" s="45"/>
      <c r="AP1084" s="45"/>
      <c r="AQ1084" s="45"/>
      <c r="AR1084" s="45"/>
      <c r="AS1084" s="45"/>
      <c r="AT1084" s="45"/>
      <c r="AU1084" s="45"/>
      <c r="AV1084" s="45"/>
      <c r="AW1084" s="45"/>
      <c r="AX1084" s="45"/>
    </row>
    <row r="1085" ht="15.75" customHeight="1">
      <c r="A1085" s="45"/>
      <c r="B1085" s="45"/>
      <c r="C1085" s="46"/>
      <c r="D1085" s="45"/>
      <c r="E1085" s="47"/>
      <c r="F1085" s="45"/>
      <c r="G1085" s="45"/>
      <c r="H1085" s="45"/>
      <c r="I1085" s="45"/>
      <c r="J1085" s="45"/>
      <c r="K1085" s="45"/>
      <c r="L1085" s="45"/>
      <c r="M1085" s="45"/>
      <c r="N1085" s="45"/>
      <c r="O1085" s="45"/>
      <c r="P1085" s="45"/>
      <c r="Q1085" s="45"/>
      <c r="R1085" s="45"/>
      <c r="S1085" s="45"/>
      <c r="T1085" s="45"/>
      <c r="U1085" s="45"/>
      <c r="V1085" s="45"/>
      <c r="W1085" s="45"/>
      <c r="X1085" s="45"/>
      <c r="Y1085" s="45"/>
      <c r="Z1085" s="45"/>
      <c r="AA1085" s="45"/>
      <c r="AB1085" s="45"/>
      <c r="AC1085" s="45"/>
      <c r="AD1085" s="45"/>
      <c r="AE1085" s="45"/>
      <c r="AF1085" s="45"/>
      <c r="AG1085" s="45"/>
      <c r="AH1085" s="45"/>
      <c r="AI1085" s="45"/>
      <c r="AJ1085" s="45"/>
      <c r="AK1085" s="45"/>
      <c r="AL1085" s="45"/>
      <c r="AM1085" s="45"/>
      <c r="AN1085" s="45"/>
      <c r="AO1085" s="45"/>
      <c r="AP1085" s="45"/>
      <c r="AQ1085" s="45"/>
      <c r="AR1085" s="45"/>
      <c r="AS1085" s="45"/>
      <c r="AT1085" s="45"/>
      <c r="AU1085" s="45"/>
      <c r="AV1085" s="45"/>
      <c r="AW1085" s="45"/>
      <c r="AX1085" s="45"/>
    </row>
    <row r="1086" ht="15.75" customHeight="1">
      <c r="A1086" s="45"/>
      <c r="B1086" s="45"/>
      <c r="C1086" s="46"/>
      <c r="D1086" s="45"/>
      <c r="E1086" s="47"/>
      <c r="F1086" s="45"/>
      <c r="G1086" s="45"/>
      <c r="H1086" s="45"/>
      <c r="I1086" s="45"/>
      <c r="J1086" s="45"/>
      <c r="K1086" s="45"/>
      <c r="L1086" s="45"/>
      <c r="M1086" s="45"/>
      <c r="N1086" s="45"/>
      <c r="O1086" s="45"/>
      <c r="P1086" s="45"/>
      <c r="Q1086" s="45"/>
      <c r="R1086" s="45"/>
      <c r="S1086" s="45"/>
      <c r="T1086" s="45"/>
      <c r="U1086" s="45"/>
      <c r="V1086" s="45"/>
      <c r="W1086" s="45"/>
      <c r="X1086" s="45"/>
      <c r="Y1086" s="45"/>
      <c r="Z1086" s="45"/>
      <c r="AA1086" s="45"/>
      <c r="AB1086" s="45"/>
      <c r="AC1086" s="45"/>
      <c r="AD1086" s="45"/>
      <c r="AE1086" s="45"/>
      <c r="AF1086" s="45"/>
      <c r="AG1086" s="45"/>
      <c r="AH1086" s="45"/>
      <c r="AI1086" s="45"/>
      <c r="AJ1086" s="45"/>
      <c r="AK1086" s="45"/>
      <c r="AL1086" s="45"/>
      <c r="AM1086" s="45"/>
      <c r="AN1086" s="45"/>
      <c r="AO1086" s="45"/>
      <c r="AP1086" s="45"/>
      <c r="AQ1086" s="45"/>
      <c r="AR1086" s="45"/>
      <c r="AS1086" s="45"/>
      <c r="AT1086" s="45"/>
      <c r="AU1086" s="45"/>
      <c r="AV1086" s="45"/>
      <c r="AW1086" s="45"/>
      <c r="AX1086" s="45"/>
    </row>
    <row r="1087" ht="15.75" customHeight="1">
      <c r="A1087" s="45"/>
      <c r="B1087" s="45"/>
      <c r="C1087" s="46"/>
      <c r="D1087" s="45"/>
      <c r="E1087" s="47"/>
      <c r="F1087" s="45"/>
      <c r="G1087" s="45"/>
      <c r="H1087" s="45"/>
      <c r="I1087" s="45"/>
      <c r="J1087" s="45"/>
      <c r="K1087" s="45"/>
      <c r="L1087" s="45"/>
      <c r="M1087" s="45"/>
      <c r="N1087" s="45"/>
      <c r="O1087" s="45"/>
      <c r="P1087" s="45"/>
      <c r="Q1087" s="45"/>
      <c r="R1087" s="45"/>
      <c r="S1087" s="45"/>
      <c r="T1087" s="45"/>
      <c r="U1087" s="45"/>
      <c r="V1087" s="45"/>
      <c r="W1087" s="45"/>
      <c r="X1087" s="45"/>
      <c r="Y1087" s="45"/>
      <c r="Z1087" s="45"/>
      <c r="AA1087" s="45"/>
      <c r="AB1087" s="45"/>
      <c r="AC1087" s="45"/>
      <c r="AD1087" s="45"/>
      <c r="AE1087" s="45"/>
      <c r="AF1087" s="45"/>
      <c r="AG1087" s="45"/>
      <c r="AH1087" s="45"/>
      <c r="AI1087" s="45"/>
      <c r="AJ1087" s="45"/>
      <c r="AK1087" s="45"/>
      <c r="AL1087" s="45"/>
      <c r="AM1087" s="45"/>
      <c r="AN1087" s="45"/>
      <c r="AO1087" s="45"/>
      <c r="AP1087" s="45"/>
      <c r="AQ1087" s="45"/>
      <c r="AR1087" s="45"/>
      <c r="AS1087" s="45"/>
      <c r="AT1087" s="45"/>
      <c r="AU1087" s="45"/>
      <c r="AV1087" s="45"/>
      <c r="AW1087" s="45"/>
      <c r="AX1087" s="45"/>
    </row>
    <row r="1088" ht="15.75" customHeight="1">
      <c r="A1088" s="45"/>
      <c r="B1088" s="45"/>
      <c r="C1088" s="46"/>
      <c r="D1088" s="45"/>
      <c r="E1088" s="47"/>
      <c r="F1088" s="45"/>
      <c r="G1088" s="45"/>
      <c r="H1088" s="45"/>
      <c r="I1088" s="45"/>
      <c r="J1088" s="45"/>
      <c r="K1088" s="45"/>
      <c r="L1088" s="45"/>
      <c r="M1088" s="45"/>
      <c r="N1088" s="45"/>
      <c r="O1088" s="45"/>
      <c r="P1088" s="45"/>
      <c r="Q1088" s="45"/>
      <c r="R1088" s="45"/>
      <c r="S1088" s="45"/>
      <c r="T1088" s="45"/>
      <c r="U1088" s="45"/>
      <c r="V1088" s="45"/>
      <c r="W1088" s="45"/>
      <c r="X1088" s="45"/>
      <c r="Y1088" s="45"/>
      <c r="Z1088" s="45"/>
      <c r="AA1088" s="45"/>
      <c r="AB1088" s="45"/>
      <c r="AC1088" s="45"/>
      <c r="AD1088" s="45"/>
      <c r="AE1088" s="45"/>
      <c r="AF1088" s="45"/>
      <c r="AG1088" s="45"/>
      <c r="AH1088" s="45"/>
      <c r="AI1088" s="45"/>
      <c r="AJ1088" s="45"/>
      <c r="AK1088" s="45"/>
      <c r="AL1088" s="45"/>
      <c r="AM1088" s="45"/>
      <c r="AN1088" s="45"/>
      <c r="AO1088" s="45"/>
      <c r="AP1088" s="45"/>
      <c r="AQ1088" s="45"/>
      <c r="AR1088" s="45"/>
      <c r="AS1088" s="45"/>
      <c r="AT1088" s="45"/>
      <c r="AU1088" s="45"/>
      <c r="AV1088" s="45"/>
      <c r="AW1088" s="45"/>
      <c r="AX1088" s="45"/>
    </row>
    <row r="1089" ht="15.75" customHeight="1">
      <c r="A1089" s="45"/>
      <c r="B1089" s="45"/>
      <c r="C1089" s="46"/>
      <c r="D1089" s="45"/>
      <c r="E1089" s="47"/>
      <c r="F1089" s="45"/>
      <c r="G1089" s="45"/>
      <c r="H1089" s="45"/>
      <c r="I1089" s="45"/>
      <c r="J1089" s="45"/>
      <c r="K1089" s="45"/>
      <c r="L1089" s="45"/>
      <c r="M1089" s="45"/>
      <c r="N1089" s="45"/>
      <c r="O1089" s="45"/>
      <c r="P1089" s="45"/>
      <c r="Q1089" s="45"/>
      <c r="R1089" s="45"/>
      <c r="S1089" s="45"/>
      <c r="T1089" s="45"/>
      <c r="U1089" s="45"/>
      <c r="V1089" s="45"/>
      <c r="W1089" s="45"/>
      <c r="X1089" s="45"/>
      <c r="Y1089" s="45"/>
      <c r="Z1089" s="45"/>
      <c r="AA1089" s="45"/>
      <c r="AB1089" s="45"/>
      <c r="AC1089" s="45"/>
      <c r="AD1089" s="45"/>
      <c r="AE1089" s="45"/>
      <c r="AF1089" s="45"/>
      <c r="AG1089" s="45"/>
      <c r="AH1089" s="45"/>
      <c r="AI1089" s="45"/>
      <c r="AJ1089" s="45"/>
      <c r="AK1089" s="45"/>
      <c r="AL1089" s="45"/>
      <c r="AM1089" s="45"/>
      <c r="AN1089" s="45"/>
      <c r="AO1089" s="45"/>
      <c r="AP1089" s="45"/>
      <c r="AQ1089" s="45"/>
      <c r="AR1089" s="45"/>
      <c r="AS1089" s="45"/>
      <c r="AT1089" s="45"/>
      <c r="AU1089" s="45"/>
      <c r="AV1089" s="45"/>
      <c r="AW1089" s="45"/>
      <c r="AX1089" s="45"/>
    </row>
    <row r="1090" ht="15.75" customHeight="1">
      <c r="A1090" s="45"/>
      <c r="B1090" s="45"/>
      <c r="C1090" s="46"/>
      <c r="D1090" s="45"/>
      <c r="E1090" s="47"/>
      <c r="F1090" s="45"/>
      <c r="G1090" s="45"/>
      <c r="H1090" s="45"/>
      <c r="I1090" s="45"/>
      <c r="J1090" s="45"/>
      <c r="K1090" s="45"/>
      <c r="L1090" s="45"/>
      <c r="M1090" s="45"/>
      <c r="N1090" s="45"/>
      <c r="O1090" s="45"/>
      <c r="P1090" s="45"/>
      <c r="Q1090" s="45"/>
      <c r="R1090" s="45"/>
      <c r="S1090" s="45"/>
      <c r="T1090" s="45"/>
      <c r="U1090" s="45"/>
      <c r="V1090" s="45"/>
      <c r="W1090" s="45"/>
      <c r="X1090" s="45"/>
      <c r="Y1090" s="45"/>
      <c r="Z1090" s="45"/>
      <c r="AA1090" s="45"/>
      <c r="AB1090" s="45"/>
      <c r="AC1090" s="45"/>
      <c r="AD1090" s="45"/>
      <c r="AE1090" s="45"/>
      <c r="AF1090" s="45"/>
      <c r="AG1090" s="45"/>
      <c r="AH1090" s="45"/>
      <c r="AI1090" s="45"/>
      <c r="AJ1090" s="45"/>
      <c r="AK1090" s="45"/>
      <c r="AL1090" s="45"/>
      <c r="AM1090" s="45"/>
      <c r="AN1090" s="45"/>
      <c r="AO1090" s="45"/>
      <c r="AP1090" s="45"/>
      <c r="AQ1090" s="45"/>
      <c r="AR1090" s="45"/>
      <c r="AS1090" s="45"/>
      <c r="AT1090" s="45"/>
      <c r="AU1090" s="45"/>
      <c r="AV1090" s="45"/>
      <c r="AW1090" s="45"/>
      <c r="AX1090" s="45"/>
    </row>
    <row r="1091" ht="15.75" customHeight="1">
      <c r="A1091" s="45"/>
      <c r="B1091" s="45"/>
      <c r="C1091" s="46"/>
      <c r="D1091" s="45"/>
      <c r="E1091" s="47"/>
      <c r="F1091" s="45"/>
      <c r="G1091" s="45"/>
      <c r="H1091" s="45"/>
      <c r="I1091" s="45"/>
      <c r="J1091" s="45"/>
      <c r="K1091" s="45"/>
      <c r="L1091" s="45"/>
      <c r="M1091" s="45"/>
      <c r="N1091" s="45"/>
      <c r="O1091" s="45"/>
      <c r="P1091" s="45"/>
      <c r="Q1091" s="45"/>
      <c r="R1091" s="45"/>
      <c r="S1091" s="45"/>
      <c r="T1091" s="45"/>
      <c r="U1091" s="45"/>
      <c r="V1091" s="45"/>
      <c r="W1091" s="45"/>
      <c r="X1091" s="45"/>
      <c r="Y1091" s="45"/>
      <c r="Z1091" s="45"/>
      <c r="AA1091" s="45"/>
      <c r="AB1091" s="45"/>
      <c r="AC1091" s="45"/>
      <c r="AD1091" s="45"/>
      <c r="AE1091" s="45"/>
      <c r="AF1091" s="45"/>
      <c r="AG1091" s="45"/>
      <c r="AH1091" s="45"/>
      <c r="AI1091" s="45"/>
      <c r="AJ1091" s="45"/>
      <c r="AK1091" s="45"/>
      <c r="AL1091" s="45"/>
      <c r="AM1091" s="45"/>
      <c r="AN1091" s="45"/>
      <c r="AO1091" s="45"/>
      <c r="AP1091" s="45"/>
      <c r="AQ1091" s="45"/>
      <c r="AR1091" s="45"/>
      <c r="AS1091" s="45"/>
      <c r="AT1091" s="45"/>
      <c r="AU1091" s="45"/>
      <c r="AV1091" s="45"/>
      <c r="AW1091" s="45"/>
      <c r="AX1091" s="45"/>
    </row>
    <row r="1092" ht="15.75" customHeight="1">
      <c r="A1092" s="45"/>
      <c r="B1092" s="45"/>
      <c r="C1092" s="46"/>
      <c r="D1092" s="45"/>
      <c r="E1092" s="47"/>
      <c r="F1092" s="45"/>
      <c r="G1092" s="45"/>
      <c r="H1092" s="45"/>
      <c r="I1092" s="45"/>
      <c r="J1092" s="45"/>
      <c r="K1092" s="45"/>
      <c r="L1092" s="45"/>
      <c r="M1092" s="45"/>
      <c r="N1092" s="45"/>
      <c r="O1092" s="45"/>
      <c r="P1092" s="45"/>
      <c r="Q1092" s="45"/>
      <c r="R1092" s="45"/>
      <c r="S1092" s="45"/>
      <c r="T1092" s="45"/>
      <c r="U1092" s="45"/>
      <c r="V1092" s="45"/>
      <c r="W1092" s="45"/>
      <c r="X1092" s="45"/>
      <c r="Y1092" s="45"/>
      <c r="Z1092" s="45"/>
      <c r="AA1092" s="45"/>
      <c r="AB1092" s="45"/>
      <c r="AC1092" s="45"/>
      <c r="AD1092" s="45"/>
      <c r="AE1092" s="45"/>
      <c r="AF1092" s="45"/>
      <c r="AG1092" s="45"/>
      <c r="AH1092" s="45"/>
      <c r="AI1092" s="45"/>
      <c r="AJ1092" s="45"/>
      <c r="AK1092" s="45"/>
      <c r="AL1092" s="45"/>
      <c r="AM1092" s="45"/>
      <c r="AN1092" s="45"/>
      <c r="AO1092" s="45"/>
      <c r="AP1092" s="45"/>
      <c r="AQ1092" s="45"/>
      <c r="AR1092" s="45"/>
      <c r="AS1092" s="45"/>
      <c r="AT1092" s="45"/>
      <c r="AU1092" s="45"/>
      <c r="AV1092" s="45"/>
      <c r="AW1092" s="45"/>
      <c r="AX1092" s="45"/>
    </row>
    <row r="1093" ht="15.75" customHeight="1">
      <c r="A1093" s="45"/>
      <c r="B1093" s="45"/>
      <c r="C1093" s="46"/>
      <c r="D1093" s="45"/>
      <c r="E1093" s="47"/>
      <c r="F1093" s="45"/>
      <c r="G1093" s="45"/>
      <c r="H1093" s="45"/>
      <c r="I1093" s="45"/>
      <c r="J1093" s="45"/>
      <c r="K1093" s="45"/>
      <c r="L1093" s="45"/>
      <c r="M1093" s="45"/>
      <c r="N1093" s="45"/>
      <c r="O1093" s="45"/>
      <c r="P1093" s="45"/>
      <c r="Q1093" s="45"/>
      <c r="R1093" s="45"/>
      <c r="S1093" s="45"/>
      <c r="T1093" s="45"/>
      <c r="U1093" s="45"/>
      <c r="V1093" s="45"/>
      <c r="W1093" s="45"/>
      <c r="X1093" s="45"/>
      <c r="Y1093" s="45"/>
      <c r="Z1093" s="45"/>
      <c r="AA1093" s="45"/>
      <c r="AB1093" s="45"/>
      <c r="AC1093" s="45"/>
      <c r="AD1093" s="45"/>
      <c r="AE1093" s="45"/>
      <c r="AF1093" s="45"/>
      <c r="AG1093" s="45"/>
      <c r="AH1093" s="45"/>
      <c r="AI1093" s="45"/>
      <c r="AJ1093" s="45"/>
      <c r="AK1093" s="45"/>
      <c r="AL1093" s="45"/>
      <c r="AM1093" s="45"/>
      <c r="AN1093" s="45"/>
      <c r="AO1093" s="45"/>
      <c r="AP1093" s="45"/>
      <c r="AQ1093" s="45"/>
      <c r="AR1093" s="45"/>
      <c r="AS1093" s="45"/>
      <c r="AT1093" s="45"/>
      <c r="AU1093" s="45"/>
      <c r="AV1093" s="45"/>
      <c r="AW1093" s="45"/>
      <c r="AX1093" s="45"/>
    </row>
    <row r="1094" ht="15.75" customHeight="1">
      <c r="A1094" s="45"/>
      <c r="B1094" s="45"/>
      <c r="C1094" s="46"/>
      <c r="D1094" s="45"/>
      <c r="E1094" s="47"/>
      <c r="F1094" s="45"/>
      <c r="G1094" s="45"/>
      <c r="H1094" s="45"/>
      <c r="I1094" s="45"/>
      <c r="J1094" s="45"/>
      <c r="K1094" s="45"/>
      <c r="L1094" s="45"/>
      <c r="M1094" s="45"/>
      <c r="N1094" s="45"/>
      <c r="O1094" s="45"/>
      <c r="P1094" s="45"/>
      <c r="Q1094" s="45"/>
      <c r="R1094" s="45"/>
      <c r="S1094" s="45"/>
      <c r="T1094" s="45"/>
      <c r="U1094" s="45"/>
      <c r="V1094" s="45"/>
      <c r="W1094" s="45"/>
      <c r="X1094" s="45"/>
      <c r="Y1094" s="45"/>
      <c r="Z1094" s="45"/>
      <c r="AA1094" s="45"/>
      <c r="AB1094" s="45"/>
      <c r="AC1094" s="45"/>
      <c r="AD1094" s="45"/>
      <c r="AE1094" s="45"/>
      <c r="AF1094" s="45"/>
      <c r="AG1094" s="45"/>
      <c r="AH1094" s="45"/>
      <c r="AI1094" s="45"/>
      <c r="AJ1094" s="45"/>
      <c r="AK1094" s="45"/>
      <c r="AL1094" s="45"/>
      <c r="AM1094" s="45"/>
      <c r="AN1094" s="45"/>
      <c r="AO1094" s="45"/>
      <c r="AP1094" s="45"/>
      <c r="AQ1094" s="45"/>
      <c r="AR1094" s="45"/>
      <c r="AS1094" s="45"/>
      <c r="AT1094" s="45"/>
      <c r="AU1094" s="45"/>
      <c r="AV1094" s="45"/>
      <c r="AW1094" s="45"/>
      <c r="AX1094" s="45"/>
    </row>
    <row r="1095" ht="15.75" customHeight="1">
      <c r="A1095" s="45"/>
      <c r="B1095" s="45"/>
      <c r="C1095" s="46"/>
      <c r="D1095" s="45"/>
      <c r="E1095" s="47"/>
      <c r="F1095" s="45"/>
      <c r="G1095" s="45"/>
      <c r="H1095" s="45"/>
      <c r="I1095" s="45"/>
      <c r="J1095" s="45"/>
      <c r="K1095" s="45"/>
      <c r="L1095" s="45"/>
      <c r="M1095" s="45"/>
      <c r="N1095" s="45"/>
      <c r="O1095" s="45"/>
      <c r="P1095" s="45"/>
      <c r="Q1095" s="45"/>
      <c r="R1095" s="45"/>
      <c r="S1095" s="45"/>
      <c r="T1095" s="45"/>
      <c r="U1095" s="45"/>
      <c r="V1095" s="45"/>
      <c r="W1095" s="45"/>
      <c r="X1095" s="45"/>
      <c r="Y1095" s="45"/>
      <c r="Z1095" s="45"/>
      <c r="AA1095" s="45"/>
      <c r="AB1095" s="45"/>
      <c r="AC1095" s="45"/>
      <c r="AD1095" s="45"/>
      <c r="AE1095" s="45"/>
      <c r="AF1095" s="45"/>
      <c r="AG1095" s="45"/>
      <c r="AH1095" s="45"/>
      <c r="AI1095" s="45"/>
      <c r="AJ1095" s="45"/>
      <c r="AK1095" s="45"/>
      <c r="AL1095" s="45"/>
      <c r="AM1095" s="45"/>
      <c r="AN1095" s="45"/>
      <c r="AO1095" s="45"/>
      <c r="AP1095" s="45"/>
      <c r="AQ1095" s="45"/>
      <c r="AR1095" s="45"/>
      <c r="AS1095" s="45"/>
      <c r="AT1095" s="45"/>
      <c r="AU1095" s="45"/>
      <c r="AV1095" s="45"/>
      <c r="AW1095" s="45"/>
      <c r="AX1095" s="45"/>
    </row>
    <row r="1096" ht="15.75" customHeight="1">
      <c r="A1096" s="45"/>
      <c r="B1096" s="45"/>
      <c r="C1096" s="46"/>
      <c r="D1096" s="45"/>
      <c r="E1096" s="47"/>
      <c r="F1096" s="45"/>
      <c r="G1096" s="45"/>
      <c r="H1096" s="45"/>
      <c r="I1096" s="45"/>
      <c r="J1096" s="45"/>
      <c r="K1096" s="45"/>
      <c r="L1096" s="45"/>
      <c r="M1096" s="45"/>
      <c r="N1096" s="45"/>
      <c r="O1096" s="45"/>
      <c r="P1096" s="45"/>
      <c r="Q1096" s="45"/>
      <c r="R1096" s="45"/>
      <c r="S1096" s="45"/>
      <c r="T1096" s="45"/>
      <c r="U1096" s="45"/>
      <c r="V1096" s="45"/>
      <c r="W1096" s="45"/>
      <c r="X1096" s="45"/>
      <c r="Y1096" s="45"/>
      <c r="Z1096" s="45"/>
      <c r="AA1096" s="45"/>
      <c r="AB1096" s="45"/>
      <c r="AC1096" s="45"/>
      <c r="AD1096" s="45"/>
      <c r="AE1096" s="45"/>
      <c r="AF1096" s="45"/>
      <c r="AG1096" s="45"/>
      <c r="AH1096" s="45"/>
      <c r="AI1096" s="45"/>
      <c r="AJ1096" s="45"/>
      <c r="AK1096" s="45"/>
      <c r="AL1096" s="45"/>
      <c r="AM1096" s="45"/>
      <c r="AN1096" s="45"/>
      <c r="AO1096" s="45"/>
      <c r="AP1096" s="45"/>
      <c r="AQ1096" s="45"/>
      <c r="AR1096" s="45"/>
      <c r="AS1096" s="45"/>
      <c r="AT1096" s="45"/>
      <c r="AU1096" s="45"/>
      <c r="AV1096" s="45"/>
      <c r="AW1096" s="45"/>
      <c r="AX1096" s="45"/>
    </row>
    <row r="1097" ht="15.75" customHeight="1">
      <c r="A1097" s="45"/>
      <c r="B1097" s="45"/>
      <c r="C1097" s="46"/>
      <c r="D1097" s="45"/>
      <c r="E1097" s="47"/>
      <c r="F1097" s="45"/>
      <c r="G1097" s="45"/>
      <c r="H1097" s="45"/>
      <c r="I1097" s="45"/>
      <c r="J1097" s="45"/>
      <c r="K1097" s="45"/>
      <c r="L1097" s="45"/>
      <c r="M1097" s="45"/>
      <c r="N1097" s="45"/>
      <c r="O1097" s="45"/>
      <c r="P1097" s="45"/>
      <c r="Q1097" s="45"/>
      <c r="R1097" s="45"/>
      <c r="S1097" s="45"/>
      <c r="T1097" s="45"/>
      <c r="U1097" s="45"/>
      <c r="V1097" s="45"/>
      <c r="W1097" s="45"/>
      <c r="X1097" s="45"/>
      <c r="Y1097" s="45"/>
      <c r="Z1097" s="45"/>
      <c r="AA1097" s="45"/>
      <c r="AB1097" s="45"/>
      <c r="AC1097" s="45"/>
      <c r="AD1097" s="45"/>
      <c r="AE1097" s="45"/>
      <c r="AF1097" s="45"/>
      <c r="AG1097" s="45"/>
      <c r="AH1097" s="45"/>
      <c r="AI1097" s="45"/>
      <c r="AJ1097" s="45"/>
      <c r="AK1097" s="45"/>
      <c r="AL1097" s="45"/>
      <c r="AM1097" s="45"/>
      <c r="AN1097" s="45"/>
      <c r="AO1097" s="45"/>
      <c r="AP1097" s="45"/>
      <c r="AQ1097" s="45"/>
      <c r="AR1097" s="45"/>
      <c r="AS1097" s="45"/>
      <c r="AT1097" s="45"/>
      <c r="AU1097" s="45"/>
      <c r="AV1097" s="45"/>
      <c r="AW1097" s="45"/>
      <c r="AX1097" s="45"/>
    </row>
    <row r="1098" ht="15.75" customHeight="1">
      <c r="A1098" s="45"/>
      <c r="B1098" s="45"/>
      <c r="C1098" s="46"/>
      <c r="D1098" s="45"/>
      <c r="E1098" s="47"/>
      <c r="F1098" s="45"/>
      <c r="G1098" s="45"/>
      <c r="H1098" s="45"/>
      <c r="I1098" s="45"/>
      <c r="J1098" s="45"/>
      <c r="K1098" s="45"/>
      <c r="L1098" s="45"/>
      <c r="M1098" s="45"/>
      <c r="N1098" s="45"/>
      <c r="O1098" s="45"/>
      <c r="P1098" s="45"/>
      <c r="Q1098" s="45"/>
      <c r="R1098" s="45"/>
      <c r="S1098" s="45"/>
      <c r="T1098" s="45"/>
      <c r="U1098" s="45"/>
      <c r="V1098" s="45"/>
      <c r="W1098" s="45"/>
      <c r="X1098" s="45"/>
      <c r="Y1098" s="45"/>
      <c r="Z1098" s="45"/>
      <c r="AA1098" s="45"/>
      <c r="AB1098" s="45"/>
      <c r="AC1098" s="45"/>
      <c r="AD1098" s="45"/>
      <c r="AE1098" s="45"/>
      <c r="AF1098" s="45"/>
      <c r="AG1098" s="45"/>
      <c r="AH1098" s="45"/>
      <c r="AI1098" s="45"/>
      <c r="AJ1098" s="45"/>
      <c r="AK1098" s="45"/>
      <c r="AL1098" s="45"/>
      <c r="AM1098" s="45"/>
      <c r="AN1098" s="45"/>
      <c r="AO1098" s="45"/>
      <c r="AP1098" s="45"/>
      <c r="AQ1098" s="45"/>
      <c r="AR1098" s="45"/>
      <c r="AS1098" s="45"/>
      <c r="AT1098" s="45"/>
      <c r="AU1098" s="45"/>
      <c r="AV1098" s="45"/>
      <c r="AW1098" s="45"/>
      <c r="AX1098" s="45"/>
    </row>
    <row r="1099" ht="15.75" customHeight="1">
      <c r="A1099" s="45"/>
      <c r="B1099" s="45"/>
      <c r="C1099" s="46"/>
      <c r="D1099" s="45"/>
      <c r="E1099" s="47"/>
      <c r="F1099" s="45"/>
      <c r="G1099" s="45"/>
      <c r="H1099" s="45"/>
      <c r="I1099" s="45"/>
      <c r="J1099" s="45"/>
      <c r="K1099" s="45"/>
      <c r="L1099" s="45"/>
      <c r="M1099" s="45"/>
      <c r="N1099" s="45"/>
      <c r="O1099" s="45"/>
      <c r="P1099" s="45"/>
      <c r="Q1099" s="45"/>
      <c r="R1099" s="45"/>
      <c r="S1099" s="45"/>
      <c r="T1099" s="45"/>
      <c r="U1099" s="45"/>
      <c r="V1099" s="45"/>
      <c r="W1099" s="45"/>
      <c r="X1099" s="45"/>
      <c r="Y1099" s="45"/>
      <c r="Z1099" s="45"/>
      <c r="AA1099" s="45"/>
      <c r="AB1099" s="45"/>
      <c r="AC1099" s="45"/>
      <c r="AD1099" s="45"/>
      <c r="AE1099" s="45"/>
      <c r="AF1099" s="45"/>
      <c r="AG1099" s="45"/>
      <c r="AH1099" s="45"/>
      <c r="AI1099" s="45"/>
      <c r="AJ1099" s="45"/>
      <c r="AK1099" s="45"/>
      <c r="AL1099" s="45"/>
      <c r="AM1099" s="45"/>
      <c r="AN1099" s="45"/>
      <c r="AO1099" s="45"/>
      <c r="AP1099" s="45"/>
      <c r="AQ1099" s="45"/>
      <c r="AR1099" s="45"/>
      <c r="AS1099" s="45"/>
      <c r="AT1099" s="45"/>
      <c r="AU1099" s="45"/>
      <c r="AV1099" s="45"/>
      <c r="AW1099" s="45"/>
      <c r="AX1099" s="45"/>
    </row>
    <row r="1100" ht="15.75" customHeight="1">
      <c r="A1100" s="45"/>
      <c r="B1100" s="45"/>
      <c r="C1100" s="46"/>
      <c r="D1100" s="45"/>
      <c r="E1100" s="47"/>
      <c r="F1100" s="45"/>
      <c r="G1100" s="45"/>
      <c r="H1100" s="45"/>
      <c r="I1100" s="45"/>
      <c r="J1100" s="45"/>
      <c r="K1100" s="45"/>
      <c r="L1100" s="45"/>
      <c r="M1100" s="45"/>
      <c r="N1100" s="45"/>
      <c r="O1100" s="45"/>
      <c r="P1100" s="45"/>
      <c r="Q1100" s="45"/>
      <c r="R1100" s="45"/>
      <c r="S1100" s="45"/>
      <c r="T1100" s="45"/>
      <c r="U1100" s="45"/>
      <c r="V1100" s="45"/>
      <c r="W1100" s="45"/>
      <c r="X1100" s="45"/>
      <c r="Y1100" s="45"/>
      <c r="Z1100" s="45"/>
      <c r="AA1100" s="45"/>
      <c r="AB1100" s="45"/>
      <c r="AC1100" s="45"/>
      <c r="AD1100" s="45"/>
      <c r="AE1100" s="45"/>
      <c r="AF1100" s="45"/>
      <c r="AG1100" s="45"/>
      <c r="AH1100" s="45"/>
      <c r="AI1100" s="45"/>
      <c r="AJ1100" s="45"/>
      <c r="AK1100" s="45"/>
      <c r="AL1100" s="45"/>
      <c r="AM1100" s="45"/>
      <c r="AN1100" s="45"/>
      <c r="AO1100" s="45"/>
      <c r="AP1100" s="45"/>
      <c r="AQ1100" s="45"/>
      <c r="AR1100" s="45"/>
      <c r="AS1100" s="45"/>
      <c r="AT1100" s="45"/>
      <c r="AU1100" s="45"/>
      <c r="AV1100" s="45"/>
      <c r="AW1100" s="45"/>
      <c r="AX1100" s="45"/>
    </row>
    <row r="1101" ht="15.75" customHeight="1">
      <c r="A1101" s="45"/>
      <c r="B1101" s="45"/>
      <c r="C1101" s="46"/>
      <c r="D1101" s="45"/>
      <c r="E1101" s="47"/>
      <c r="F1101" s="45"/>
      <c r="G1101" s="45"/>
      <c r="H1101" s="45"/>
      <c r="I1101" s="45"/>
      <c r="J1101" s="45"/>
      <c r="K1101" s="45"/>
      <c r="L1101" s="45"/>
      <c r="M1101" s="45"/>
      <c r="N1101" s="45"/>
      <c r="O1101" s="45"/>
      <c r="P1101" s="45"/>
      <c r="Q1101" s="45"/>
      <c r="R1101" s="45"/>
      <c r="S1101" s="45"/>
      <c r="T1101" s="45"/>
      <c r="U1101" s="45"/>
      <c r="V1101" s="45"/>
      <c r="W1101" s="45"/>
      <c r="X1101" s="45"/>
      <c r="Y1101" s="45"/>
      <c r="Z1101" s="45"/>
      <c r="AA1101" s="45"/>
      <c r="AB1101" s="45"/>
      <c r="AC1101" s="45"/>
      <c r="AD1101" s="45"/>
      <c r="AE1101" s="45"/>
      <c r="AF1101" s="45"/>
      <c r="AG1101" s="45"/>
      <c r="AH1101" s="45"/>
      <c r="AI1101" s="45"/>
      <c r="AJ1101" s="45"/>
      <c r="AK1101" s="45"/>
      <c r="AL1101" s="45"/>
      <c r="AM1101" s="45"/>
      <c r="AN1101" s="45"/>
      <c r="AO1101" s="45"/>
      <c r="AP1101" s="45"/>
      <c r="AQ1101" s="45"/>
      <c r="AR1101" s="45"/>
      <c r="AS1101" s="45"/>
      <c r="AT1101" s="45"/>
      <c r="AU1101" s="45"/>
      <c r="AV1101" s="45"/>
      <c r="AW1101" s="45"/>
      <c r="AX1101" s="45"/>
    </row>
    <row r="1102" ht="15.75" customHeight="1">
      <c r="A1102" s="45"/>
      <c r="B1102" s="45"/>
      <c r="C1102" s="46"/>
      <c r="D1102" s="45"/>
      <c r="E1102" s="47"/>
      <c r="F1102" s="45"/>
      <c r="G1102" s="45"/>
      <c r="H1102" s="45"/>
      <c r="I1102" s="45"/>
      <c r="J1102" s="45"/>
      <c r="K1102" s="45"/>
      <c r="L1102" s="45"/>
      <c r="M1102" s="45"/>
      <c r="N1102" s="45"/>
      <c r="O1102" s="45"/>
      <c r="P1102" s="45"/>
      <c r="Q1102" s="45"/>
      <c r="R1102" s="45"/>
      <c r="S1102" s="45"/>
      <c r="T1102" s="45"/>
      <c r="U1102" s="45"/>
      <c r="V1102" s="45"/>
      <c r="W1102" s="45"/>
      <c r="X1102" s="45"/>
      <c r="Y1102" s="45"/>
      <c r="Z1102" s="45"/>
      <c r="AA1102" s="45"/>
      <c r="AB1102" s="45"/>
      <c r="AC1102" s="45"/>
      <c r="AD1102" s="45"/>
      <c r="AE1102" s="45"/>
      <c r="AF1102" s="45"/>
      <c r="AG1102" s="45"/>
      <c r="AH1102" s="45"/>
      <c r="AI1102" s="45"/>
      <c r="AJ1102" s="45"/>
      <c r="AK1102" s="45"/>
      <c r="AL1102" s="45"/>
      <c r="AM1102" s="45"/>
      <c r="AN1102" s="45"/>
      <c r="AO1102" s="45"/>
      <c r="AP1102" s="45"/>
      <c r="AQ1102" s="45"/>
      <c r="AR1102" s="45"/>
      <c r="AS1102" s="45"/>
      <c r="AT1102" s="45"/>
      <c r="AU1102" s="45"/>
      <c r="AV1102" s="45"/>
      <c r="AW1102" s="45"/>
      <c r="AX1102" s="45"/>
    </row>
    <row r="1103" ht="15.75" customHeight="1">
      <c r="A1103" s="45"/>
      <c r="B1103" s="45"/>
      <c r="C1103" s="46"/>
      <c r="D1103" s="45"/>
      <c r="E1103" s="47"/>
      <c r="F1103" s="45"/>
      <c r="G1103" s="45"/>
      <c r="H1103" s="45"/>
      <c r="I1103" s="45"/>
      <c r="J1103" s="45"/>
      <c r="K1103" s="45"/>
      <c r="L1103" s="45"/>
      <c r="M1103" s="45"/>
      <c r="N1103" s="45"/>
      <c r="O1103" s="45"/>
      <c r="P1103" s="45"/>
      <c r="Q1103" s="45"/>
      <c r="R1103" s="45"/>
      <c r="S1103" s="45"/>
      <c r="T1103" s="45"/>
      <c r="U1103" s="45"/>
      <c r="V1103" s="45"/>
      <c r="W1103" s="45"/>
      <c r="X1103" s="45"/>
      <c r="Y1103" s="45"/>
      <c r="Z1103" s="45"/>
      <c r="AA1103" s="45"/>
      <c r="AB1103" s="45"/>
      <c r="AC1103" s="45"/>
      <c r="AD1103" s="45"/>
      <c r="AE1103" s="45"/>
      <c r="AF1103" s="45"/>
      <c r="AG1103" s="45"/>
      <c r="AH1103" s="45"/>
      <c r="AI1103" s="45"/>
      <c r="AJ1103" s="45"/>
      <c r="AK1103" s="45"/>
      <c r="AL1103" s="45"/>
      <c r="AM1103" s="45"/>
      <c r="AN1103" s="45"/>
      <c r="AO1103" s="45"/>
      <c r="AP1103" s="45"/>
      <c r="AQ1103" s="45"/>
      <c r="AR1103" s="45"/>
      <c r="AS1103" s="45"/>
      <c r="AT1103" s="45"/>
      <c r="AU1103" s="45"/>
      <c r="AV1103" s="45"/>
      <c r="AW1103" s="45"/>
      <c r="AX1103" s="45"/>
    </row>
    <row r="1104" ht="15.75" customHeight="1">
      <c r="A1104" s="45"/>
      <c r="B1104" s="45"/>
      <c r="C1104" s="46"/>
      <c r="D1104" s="45"/>
      <c r="E1104" s="47"/>
      <c r="F1104" s="45"/>
      <c r="G1104" s="45"/>
      <c r="H1104" s="45"/>
      <c r="I1104" s="45"/>
      <c r="J1104" s="45"/>
      <c r="K1104" s="45"/>
      <c r="L1104" s="45"/>
      <c r="M1104" s="45"/>
      <c r="N1104" s="45"/>
      <c r="O1104" s="45"/>
      <c r="P1104" s="45"/>
      <c r="Q1104" s="45"/>
      <c r="R1104" s="45"/>
      <c r="S1104" s="45"/>
      <c r="T1104" s="45"/>
      <c r="U1104" s="45"/>
      <c r="V1104" s="45"/>
      <c r="W1104" s="45"/>
      <c r="X1104" s="45"/>
      <c r="Y1104" s="45"/>
      <c r="Z1104" s="45"/>
      <c r="AA1104" s="45"/>
      <c r="AB1104" s="45"/>
      <c r="AC1104" s="45"/>
      <c r="AD1104" s="45"/>
      <c r="AE1104" s="45"/>
      <c r="AF1104" s="45"/>
      <c r="AG1104" s="45"/>
      <c r="AH1104" s="45"/>
      <c r="AI1104" s="45"/>
      <c r="AJ1104" s="45"/>
      <c r="AK1104" s="45"/>
      <c r="AL1104" s="45"/>
      <c r="AM1104" s="45"/>
      <c r="AN1104" s="45"/>
      <c r="AO1104" s="45"/>
      <c r="AP1104" s="45"/>
      <c r="AQ1104" s="45"/>
      <c r="AR1104" s="45"/>
      <c r="AS1104" s="45"/>
      <c r="AT1104" s="45"/>
      <c r="AU1104" s="45"/>
      <c r="AV1104" s="45"/>
      <c r="AW1104" s="45"/>
      <c r="AX1104" s="45"/>
    </row>
    <row r="1105" ht="15.75" customHeight="1">
      <c r="A1105" s="45"/>
      <c r="B1105" s="45"/>
      <c r="C1105" s="46"/>
      <c r="D1105" s="45"/>
      <c r="E1105" s="47"/>
      <c r="F1105" s="45"/>
      <c r="G1105" s="45"/>
      <c r="H1105" s="45"/>
      <c r="I1105" s="45"/>
      <c r="J1105" s="45"/>
      <c r="K1105" s="45"/>
      <c r="L1105" s="45"/>
      <c r="M1105" s="45"/>
      <c r="N1105" s="45"/>
      <c r="O1105" s="45"/>
      <c r="P1105" s="45"/>
      <c r="Q1105" s="45"/>
      <c r="R1105" s="45"/>
      <c r="S1105" s="45"/>
      <c r="T1105" s="45"/>
      <c r="U1105" s="45"/>
      <c r="V1105" s="45"/>
      <c r="W1105" s="45"/>
      <c r="X1105" s="45"/>
      <c r="Y1105" s="45"/>
      <c r="Z1105" s="45"/>
      <c r="AA1105" s="45"/>
      <c r="AB1105" s="45"/>
      <c r="AC1105" s="45"/>
      <c r="AD1105" s="45"/>
      <c r="AE1105" s="45"/>
      <c r="AF1105" s="45"/>
      <c r="AG1105" s="45"/>
      <c r="AH1105" s="45"/>
      <c r="AI1105" s="45"/>
      <c r="AJ1105" s="45"/>
      <c r="AK1105" s="45"/>
      <c r="AL1105" s="45"/>
      <c r="AM1105" s="45"/>
      <c r="AN1105" s="45"/>
      <c r="AO1105" s="45"/>
      <c r="AP1105" s="45"/>
      <c r="AQ1105" s="45"/>
      <c r="AR1105" s="45"/>
      <c r="AS1105" s="45"/>
      <c r="AT1105" s="45"/>
      <c r="AU1105" s="45"/>
      <c r="AV1105" s="45"/>
      <c r="AW1105" s="45"/>
      <c r="AX1105" s="45"/>
    </row>
    <row r="1106" ht="15.75" customHeight="1">
      <c r="A1106" s="45"/>
      <c r="B1106" s="45"/>
      <c r="C1106" s="46"/>
      <c r="D1106" s="45"/>
      <c r="E1106" s="47"/>
      <c r="F1106" s="45"/>
      <c r="G1106" s="45"/>
      <c r="H1106" s="45"/>
      <c r="I1106" s="45"/>
      <c r="J1106" s="45"/>
      <c r="K1106" s="45"/>
      <c r="L1106" s="45"/>
      <c r="M1106" s="45"/>
      <c r="N1106" s="45"/>
      <c r="O1106" s="45"/>
      <c r="P1106" s="45"/>
      <c r="Q1106" s="45"/>
      <c r="R1106" s="45"/>
      <c r="S1106" s="45"/>
      <c r="T1106" s="45"/>
      <c r="U1106" s="45"/>
      <c r="V1106" s="45"/>
      <c r="W1106" s="45"/>
      <c r="X1106" s="45"/>
      <c r="Y1106" s="45"/>
      <c r="Z1106" s="45"/>
      <c r="AA1106" s="45"/>
      <c r="AB1106" s="45"/>
      <c r="AC1106" s="45"/>
      <c r="AD1106" s="45"/>
      <c r="AE1106" s="45"/>
      <c r="AF1106" s="45"/>
      <c r="AG1106" s="45"/>
      <c r="AH1106" s="45"/>
      <c r="AI1106" s="45"/>
      <c r="AJ1106" s="45"/>
      <c r="AK1106" s="45"/>
      <c r="AL1106" s="45"/>
      <c r="AM1106" s="45"/>
      <c r="AN1106" s="45"/>
      <c r="AO1106" s="45"/>
      <c r="AP1106" s="45"/>
      <c r="AQ1106" s="45"/>
      <c r="AR1106" s="45"/>
      <c r="AS1106" s="45"/>
      <c r="AT1106" s="45"/>
      <c r="AU1106" s="45"/>
      <c r="AV1106" s="45"/>
      <c r="AW1106" s="45"/>
      <c r="AX1106" s="45"/>
    </row>
    <row r="1107" ht="15.75" customHeight="1">
      <c r="A1107" s="45"/>
      <c r="B1107" s="45"/>
      <c r="C1107" s="46"/>
      <c r="D1107" s="45"/>
      <c r="E1107" s="47"/>
      <c r="F1107" s="45"/>
      <c r="G1107" s="45"/>
      <c r="H1107" s="45"/>
      <c r="I1107" s="45"/>
      <c r="J1107" s="45"/>
      <c r="K1107" s="45"/>
      <c r="L1107" s="45"/>
      <c r="M1107" s="45"/>
      <c r="N1107" s="45"/>
      <c r="O1107" s="45"/>
      <c r="P1107" s="45"/>
      <c r="Q1107" s="45"/>
      <c r="R1107" s="45"/>
      <c r="S1107" s="45"/>
      <c r="T1107" s="45"/>
      <c r="U1107" s="45"/>
      <c r="V1107" s="45"/>
      <c r="W1107" s="45"/>
      <c r="X1107" s="45"/>
      <c r="Y1107" s="45"/>
      <c r="Z1107" s="45"/>
      <c r="AA1107" s="45"/>
      <c r="AB1107" s="45"/>
      <c r="AC1107" s="45"/>
      <c r="AD1107" s="45"/>
      <c r="AE1107" s="45"/>
      <c r="AF1107" s="45"/>
      <c r="AG1107" s="45"/>
      <c r="AH1107" s="45"/>
      <c r="AI1107" s="45"/>
      <c r="AJ1107" s="45"/>
      <c r="AK1107" s="45"/>
      <c r="AL1107" s="45"/>
      <c r="AM1107" s="45"/>
      <c r="AN1107" s="45"/>
      <c r="AO1107" s="45"/>
      <c r="AP1107" s="45"/>
      <c r="AQ1107" s="45"/>
      <c r="AR1107" s="45"/>
      <c r="AS1107" s="45"/>
      <c r="AT1107" s="45"/>
      <c r="AU1107" s="45"/>
      <c r="AV1107" s="45"/>
      <c r="AW1107" s="45"/>
      <c r="AX1107" s="45"/>
    </row>
    <row r="1108" ht="15.75" customHeight="1">
      <c r="A1108" s="45"/>
      <c r="B1108" s="45"/>
      <c r="C1108" s="46"/>
      <c r="D1108" s="45"/>
      <c r="E1108" s="47"/>
      <c r="F1108" s="45"/>
      <c r="G1108" s="45"/>
      <c r="H1108" s="45"/>
      <c r="I1108" s="45"/>
      <c r="J1108" s="45"/>
      <c r="K1108" s="45"/>
      <c r="L1108" s="45"/>
      <c r="M1108" s="45"/>
      <c r="N1108" s="45"/>
      <c r="O1108" s="45"/>
      <c r="P1108" s="45"/>
      <c r="Q1108" s="45"/>
      <c r="R1108" s="45"/>
      <c r="S1108" s="45"/>
      <c r="T1108" s="45"/>
      <c r="U1108" s="45"/>
      <c r="V1108" s="45"/>
      <c r="W1108" s="45"/>
      <c r="X1108" s="45"/>
      <c r="Y1108" s="45"/>
      <c r="Z1108" s="45"/>
      <c r="AA1108" s="45"/>
      <c r="AB1108" s="45"/>
      <c r="AC1108" s="45"/>
      <c r="AD1108" s="45"/>
      <c r="AE1108" s="45"/>
      <c r="AF1108" s="45"/>
      <c r="AG1108" s="45"/>
      <c r="AH1108" s="45"/>
      <c r="AI1108" s="45"/>
      <c r="AJ1108" s="45"/>
      <c r="AK1108" s="45"/>
      <c r="AL1108" s="45"/>
      <c r="AM1108" s="45"/>
      <c r="AN1108" s="45"/>
      <c r="AO1108" s="45"/>
      <c r="AP1108" s="45"/>
      <c r="AQ1108" s="45"/>
      <c r="AR1108" s="45"/>
      <c r="AS1108" s="45"/>
      <c r="AT1108" s="45"/>
      <c r="AU1108" s="45"/>
      <c r="AV1108" s="45"/>
      <c r="AW1108" s="45"/>
      <c r="AX1108" s="45"/>
    </row>
    <row r="1109" ht="15.75" customHeight="1">
      <c r="A1109" s="45"/>
      <c r="B1109" s="45"/>
      <c r="C1109" s="46"/>
      <c r="D1109" s="45"/>
      <c r="E1109" s="47"/>
      <c r="F1109" s="45"/>
      <c r="G1109" s="45"/>
      <c r="H1109" s="45"/>
      <c r="I1109" s="45"/>
      <c r="J1109" s="45"/>
      <c r="K1109" s="45"/>
      <c r="L1109" s="45"/>
      <c r="M1109" s="45"/>
      <c r="N1109" s="45"/>
      <c r="O1109" s="45"/>
      <c r="P1109" s="45"/>
      <c r="Q1109" s="45"/>
      <c r="R1109" s="45"/>
      <c r="S1109" s="45"/>
      <c r="T1109" s="45"/>
      <c r="U1109" s="45"/>
      <c r="V1109" s="45"/>
      <c r="W1109" s="45"/>
      <c r="X1109" s="45"/>
      <c r="Y1109" s="45"/>
      <c r="Z1109" s="45"/>
      <c r="AA1109" s="45"/>
      <c r="AB1109" s="45"/>
      <c r="AC1109" s="45"/>
      <c r="AD1109" s="45"/>
      <c r="AE1109" s="45"/>
      <c r="AF1109" s="45"/>
      <c r="AG1109" s="45"/>
      <c r="AH1109" s="45"/>
      <c r="AI1109" s="45"/>
      <c r="AJ1109" s="45"/>
      <c r="AK1109" s="45"/>
      <c r="AL1109" s="45"/>
      <c r="AM1109" s="45"/>
      <c r="AN1109" s="45"/>
      <c r="AO1109" s="45"/>
      <c r="AP1109" s="45"/>
      <c r="AQ1109" s="45"/>
      <c r="AR1109" s="45"/>
      <c r="AS1109" s="45"/>
      <c r="AT1109" s="45"/>
      <c r="AU1109" s="45"/>
      <c r="AV1109" s="45"/>
      <c r="AW1109" s="45"/>
      <c r="AX1109" s="45"/>
    </row>
    <row r="1110" ht="15.75" customHeight="1">
      <c r="A1110" s="45"/>
      <c r="B1110" s="45"/>
      <c r="C1110" s="46"/>
      <c r="D1110" s="45"/>
      <c r="E1110" s="47"/>
      <c r="F1110" s="45"/>
      <c r="G1110" s="45"/>
      <c r="H1110" s="45"/>
      <c r="I1110" s="45"/>
      <c r="J1110" s="45"/>
      <c r="K1110" s="45"/>
      <c r="L1110" s="45"/>
      <c r="M1110" s="45"/>
      <c r="N1110" s="45"/>
      <c r="O1110" s="45"/>
      <c r="P1110" s="45"/>
      <c r="Q1110" s="45"/>
      <c r="R1110" s="45"/>
      <c r="S1110" s="45"/>
      <c r="T1110" s="45"/>
      <c r="U1110" s="45"/>
      <c r="V1110" s="45"/>
      <c r="W1110" s="45"/>
      <c r="X1110" s="45"/>
      <c r="Y1110" s="45"/>
      <c r="Z1110" s="45"/>
      <c r="AA1110" s="45"/>
      <c r="AB1110" s="45"/>
      <c r="AC1110" s="45"/>
      <c r="AD1110" s="45"/>
      <c r="AE1110" s="45"/>
      <c r="AF1110" s="45"/>
      <c r="AG1110" s="45"/>
      <c r="AH1110" s="45"/>
      <c r="AI1110" s="45"/>
      <c r="AJ1110" s="45"/>
      <c r="AK1110" s="45"/>
      <c r="AL1110" s="45"/>
      <c r="AM1110" s="45"/>
      <c r="AN1110" s="45"/>
      <c r="AO1110" s="45"/>
      <c r="AP1110" s="45"/>
      <c r="AQ1110" s="45"/>
      <c r="AR1110" s="45"/>
      <c r="AS1110" s="45"/>
      <c r="AT1110" s="45"/>
      <c r="AU1110" s="45"/>
      <c r="AV1110" s="45"/>
      <c r="AW1110" s="45"/>
      <c r="AX1110" s="45"/>
    </row>
    <row r="1111" ht="15.75" customHeight="1">
      <c r="A1111" s="45"/>
      <c r="B1111" s="45"/>
      <c r="C1111" s="46"/>
      <c r="D1111" s="45"/>
      <c r="E1111" s="47"/>
      <c r="F1111" s="45"/>
      <c r="G1111" s="45"/>
      <c r="H1111" s="45"/>
      <c r="I1111" s="45"/>
      <c r="J1111" s="45"/>
      <c r="K1111" s="45"/>
      <c r="L1111" s="45"/>
      <c r="M1111" s="45"/>
      <c r="N1111" s="45"/>
      <c r="O1111" s="45"/>
      <c r="P1111" s="45"/>
      <c r="Q1111" s="45"/>
      <c r="R1111" s="45"/>
      <c r="S1111" s="45"/>
      <c r="T1111" s="45"/>
      <c r="U1111" s="45"/>
      <c r="V1111" s="45"/>
      <c r="W1111" s="45"/>
      <c r="X1111" s="45"/>
      <c r="Y1111" s="45"/>
      <c r="Z1111" s="45"/>
      <c r="AA1111" s="45"/>
      <c r="AB1111" s="45"/>
      <c r="AC1111" s="45"/>
      <c r="AD1111" s="45"/>
      <c r="AE1111" s="45"/>
      <c r="AF1111" s="45"/>
      <c r="AG1111" s="45"/>
      <c r="AH1111" s="45"/>
      <c r="AI1111" s="45"/>
      <c r="AJ1111" s="45"/>
      <c r="AK1111" s="45"/>
      <c r="AL1111" s="45"/>
      <c r="AM1111" s="45"/>
      <c r="AN1111" s="45"/>
      <c r="AO1111" s="45"/>
      <c r="AP1111" s="45"/>
      <c r="AQ1111" s="45"/>
      <c r="AR1111" s="45"/>
      <c r="AS1111" s="45"/>
      <c r="AT1111" s="45"/>
      <c r="AU1111" s="45"/>
      <c r="AV1111" s="45"/>
      <c r="AW1111" s="45"/>
      <c r="AX1111" s="45"/>
    </row>
    <row r="1112" ht="15.75" customHeight="1">
      <c r="A1112" s="45"/>
      <c r="B1112" s="45"/>
      <c r="C1112" s="46"/>
      <c r="D1112" s="45"/>
      <c r="E1112" s="47"/>
      <c r="F1112" s="45"/>
      <c r="G1112" s="45"/>
      <c r="H1112" s="45"/>
      <c r="I1112" s="45"/>
      <c r="J1112" s="45"/>
      <c r="K1112" s="45"/>
      <c r="L1112" s="45"/>
      <c r="M1112" s="45"/>
      <c r="N1112" s="45"/>
      <c r="O1112" s="45"/>
      <c r="P1112" s="45"/>
      <c r="Q1112" s="45"/>
      <c r="R1112" s="45"/>
      <c r="S1112" s="45"/>
      <c r="T1112" s="45"/>
      <c r="U1112" s="45"/>
      <c r="V1112" s="45"/>
      <c r="W1112" s="45"/>
      <c r="X1112" s="45"/>
      <c r="Y1112" s="45"/>
      <c r="Z1112" s="45"/>
      <c r="AA1112" s="45"/>
      <c r="AB1112" s="45"/>
      <c r="AC1112" s="45"/>
      <c r="AD1112" s="45"/>
      <c r="AE1112" s="45"/>
      <c r="AF1112" s="45"/>
      <c r="AG1112" s="45"/>
      <c r="AH1112" s="45"/>
      <c r="AI1112" s="45"/>
      <c r="AJ1112" s="45"/>
      <c r="AK1112" s="45"/>
      <c r="AL1112" s="45"/>
      <c r="AM1112" s="45"/>
      <c r="AN1112" s="45"/>
      <c r="AO1112" s="45"/>
      <c r="AP1112" s="45"/>
      <c r="AQ1112" s="45"/>
      <c r="AR1112" s="45"/>
      <c r="AS1112" s="45"/>
      <c r="AT1112" s="45"/>
      <c r="AU1112" s="45"/>
      <c r="AV1112" s="45"/>
      <c r="AW1112" s="45"/>
      <c r="AX1112" s="45"/>
    </row>
    <row r="1113" ht="15.75" customHeight="1">
      <c r="A1113" s="45"/>
      <c r="B1113" s="45"/>
      <c r="C1113" s="46"/>
      <c r="D1113" s="45"/>
      <c r="E1113" s="47"/>
      <c r="F1113" s="45"/>
      <c r="G1113" s="45"/>
      <c r="H1113" s="45"/>
      <c r="I1113" s="45"/>
      <c r="J1113" s="45"/>
      <c r="K1113" s="45"/>
      <c r="L1113" s="45"/>
      <c r="M1113" s="45"/>
      <c r="N1113" s="45"/>
      <c r="O1113" s="45"/>
      <c r="P1113" s="45"/>
      <c r="Q1113" s="45"/>
      <c r="R1113" s="45"/>
      <c r="S1113" s="45"/>
      <c r="T1113" s="45"/>
      <c r="U1113" s="45"/>
      <c r="V1113" s="45"/>
      <c r="W1113" s="45"/>
      <c r="X1113" s="45"/>
      <c r="Y1113" s="45"/>
      <c r="Z1113" s="45"/>
      <c r="AA1113" s="45"/>
      <c r="AB1113" s="45"/>
      <c r="AC1113" s="45"/>
      <c r="AD1113" s="45"/>
      <c r="AE1113" s="45"/>
      <c r="AF1113" s="45"/>
      <c r="AG1113" s="45"/>
      <c r="AH1113" s="45"/>
      <c r="AI1113" s="45"/>
      <c r="AJ1113" s="45"/>
      <c r="AK1113" s="45"/>
      <c r="AL1113" s="45"/>
      <c r="AM1113" s="45"/>
      <c r="AN1113" s="45"/>
      <c r="AO1113" s="45"/>
      <c r="AP1113" s="45"/>
      <c r="AQ1113" s="45"/>
      <c r="AR1113" s="45"/>
      <c r="AS1113" s="45"/>
      <c r="AT1113" s="45"/>
      <c r="AU1113" s="45"/>
      <c r="AV1113" s="45"/>
      <c r="AW1113" s="45"/>
      <c r="AX1113" s="45"/>
    </row>
    <row r="1114" ht="15.75" customHeight="1">
      <c r="A1114" s="45"/>
      <c r="B1114" s="45"/>
      <c r="C1114" s="46"/>
      <c r="D1114" s="45"/>
      <c r="E1114" s="47"/>
      <c r="F1114" s="45"/>
      <c r="G1114" s="45"/>
      <c r="H1114" s="45"/>
      <c r="I1114" s="45"/>
      <c r="J1114" s="45"/>
      <c r="K1114" s="45"/>
      <c r="L1114" s="45"/>
      <c r="M1114" s="45"/>
      <c r="N1114" s="45"/>
      <c r="O1114" s="45"/>
      <c r="P1114" s="45"/>
      <c r="Q1114" s="45"/>
      <c r="R1114" s="45"/>
      <c r="S1114" s="45"/>
      <c r="T1114" s="45"/>
      <c r="U1114" s="45"/>
      <c r="V1114" s="45"/>
      <c r="W1114" s="45"/>
      <c r="X1114" s="45"/>
      <c r="Y1114" s="45"/>
      <c r="Z1114" s="45"/>
      <c r="AA1114" s="45"/>
      <c r="AB1114" s="45"/>
      <c r="AC1114" s="45"/>
      <c r="AD1114" s="45"/>
      <c r="AE1114" s="45"/>
      <c r="AF1114" s="45"/>
      <c r="AG1114" s="45"/>
      <c r="AH1114" s="45"/>
      <c r="AI1114" s="45"/>
      <c r="AJ1114" s="45"/>
      <c r="AK1114" s="45"/>
      <c r="AL1114" s="45"/>
      <c r="AM1114" s="45"/>
      <c r="AN1114" s="45"/>
      <c r="AO1114" s="45"/>
      <c r="AP1114" s="45"/>
      <c r="AQ1114" s="45"/>
      <c r="AR1114" s="45"/>
      <c r="AS1114" s="45"/>
      <c r="AT1114" s="45"/>
      <c r="AU1114" s="45"/>
      <c r="AV1114" s="45"/>
      <c r="AW1114" s="45"/>
      <c r="AX1114" s="45"/>
    </row>
    <row r="1115" ht="15.75" customHeight="1">
      <c r="A1115" s="45"/>
      <c r="B1115" s="45"/>
      <c r="C1115" s="46"/>
      <c r="D1115" s="45"/>
      <c r="E1115" s="47"/>
      <c r="F1115" s="45"/>
      <c r="G1115" s="45"/>
      <c r="H1115" s="45"/>
      <c r="I1115" s="45"/>
      <c r="J1115" s="45"/>
      <c r="K1115" s="45"/>
      <c r="L1115" s="45"/>
      <c r="M1115" s="45"/>
      <c r="N1115" s="45"/>
      <c r="O1115" s="45"/>
      <c r="P1115" s="45"/>
      <c r="Q1115" s="45"/>
      <c r="R1115" s="45"/>
      <c r="S1115" s="45"/>
      <c r="T1115" s="45"/>
      <c r="U1115" s="45"/>
      <c r="V1115" s="45"/>
      <c r="W1115" s="45"/>
      <c r="X1115" s="45"/>
      <c r="Y1115" s="45"/>
      <c r="Z1115" s="45"/>
      <c r="AA1115" s="45"/>
      <c r="AB1115" s="45"/>
      <c r="AC1115" s="45"/>
      <c r="AD1115" s="45"/>
      <c r="AE1115" s="45"/>
      <c r="AF1115" s="45"/>
      <c r="AG1115" s="45"/>
      <c r="AH1115" s="45"/>
      <c r="AI1115" s="45"/>
      <c r="AJ1115" s="45"/>
      <c r="AK1115" s="45"/>
      <c r="AL1115" s="45"/>
      <c r="AM1115" s="45"/>
      <c r="AN1115" s="45"/>
      <c r="AO1115" s="45"/>
      <c r="AP1115" s="45"/>
      <c r="AQ1115" s="45"/>
      <c r="AR1115" s="45"/>
      <c r="AS1115" s="45"/>
      <c r="AT1115" s="45"/>
      <c r="AU1115" s="45"/>
      <c r="AV1115" s="45"/>
      <c r="AW1115" s="45"/>
      <c r="AX1115" s="45"/>
    </row>
    <row r="1116" ht="15.75" customHeight="1">
      <c r="A1116" s="45"/>
      <c r="B1116" s="45"/>
      <c r="C1116" s="46"/>
      <c r="D1116" s="45"/>
      <c r="E1116" s="47"/>
      <c r="F1116" s="45"/>
      <c r="G1116" s="45"/>
      <c r="H1116" s="45"/>
      <c r="I1116" s="45"/>
      <c r="J1116" s="45"/>
      <c r="K1116" s="45"/>
      <c r="L1116" s="45"/>
      <c r="M1116" s="45"/>
      <c r="N1116" s="45"/>
      <c r="O1116" s="45"/>
      <c r="P1116" s="45"/>
      <c r="Q1116" s="45"/>
      <c r="R1116" s="45"/>
      <c r="S1116" s="45"/>
      <c r="T1116" s="45"/>
      <c r="U1116" s="45"/>
      <c r="V1116" s="45"/>
      <c r="W1116" s="45"/>
      <c r="X1116" s="45"/>
      <c r="Y1116" s="45"/>
      <c r="Z1116" s="45"/>
      <c r="AA1116" s="45"/>
      <c r="AB1116" s="45"/>
      <c r="AC1116" s="45"/>
      <c r="AD1116" s="45"/>
      <c r="AE1116" s="45"/>
      <c r="AF1116" s="45"/>
      <c r="AG1116" s="45"/>
      <c r="AH1116" s="45"/>
      <c r="AI1116" s="45"/>
      <c r="AJ1116" s="45"/>
      <c r="AK1116" s="45"/>
      <c r="AL1116" s="45"/>
      <c r="AM1116" s="45"/>
      <c r="AN1116" s="45"/>
      <c r="AO1116" s="45"/>
      <c r="AP1116" s="45"/>
      <c r="AQ1116" s="45"/>
      <c r="AR1116" s="45"/>
      <c r="AS1116" s="45"/>
      <c r="AT1116" s="45"/>
      <c r="AU1116" s="45"/>
      <c r="AV1116" s="45"/>
      <c r="AW1116" s="45"/>
      <c r="AX1116" s="45"/>
    </row>
    <row r="1117" ht="15.75" customHeight="1">
      <c r="A1117" s="45"/>
      <c r="B1117" s="45"/>
      <c r="C1117" s="46"/>
      <c r="D1117" s="45"/>
      <c r="E1117" s="47"/>
      <c r="F1117" s="45"/>
      <c r="G1117" s="45"/>
      <c r="H1117" s="45"/>
      <c r="I1117" s="45"/>
      <c r="J1117" s="45"/>
      <c r="K1117" s="45"/>
      <c r="L1117" s="45"/>
      <c r="M1117" s="45"/>
      <c r="N1117" s="45"/>
      <c r="O1117" s="45"/>
      <c r="P1117" s="45"/>
      <c r="Q1117" s="45"/>
      <c r="R1117" s="45"/>
      <c r="S1117" s="45"/>
      <c r="T1117" s="45"/>
      <c r="U1117" s="45"/>
      <c r="V1117" s="45"/>
      <c r="W1117" s="45"/>
      <c r="X1117" s="45"/>
      <c r="Y1117" s="45"/>
      <c r="Z1117" s="45"/>
      <c r="AA1117" s="45"/>
      <c r="AB1117" s="45"/>
      <c r="AC1117" s="45"/>
      <c r="AD1117" s="45"/>
      <c r="AE1117" s="45"/>
      <c r="AF1117" s="45"/>
      <c r="AG1117" s="45"/>
      <c r="AH1117" s="45"/>
      <c r="AI1117" s="45"/>
      <c r="AJ1117" s="45"/>
      <c r="AK1117" s="45"/>
      <c r="AL1117" s="45"/>
      <c r="AM1117" s="45"/>
      <c r="AN1117" s="45"/>
      <c r="AO1117" s="45"/>
      <c r="AP1117" s="45"/>
      <c r="AQ1117" s="45"/>
      <c r="AR1117" s="45"/>
      <c r="AS1117" s="45"/>
      <c r="AT1117" s="45"/>
      <c r="AU1117" s="45"/>
      <c r="AV1117" s="45"/>
      <c r="AW1117" s="45"/>
      <c r="AX1117" s="45"/>
    </row>
    <row r="1118" ht="15.75" customHeight="1">
      <c r="A1118" s="45"/>
      <c r="B1118" s="45"/>
      <c r="C1118" s="46"/>
      <c r="D1118" s="45"/>
      <c r="E1118" s="47"/>
      <c r="F1118" s="45"/>
      <c r="G1118" s="45"/>
      <c r="H1118" s="45"/>
      <c r="I1118" s="45"/>
      <c r="J1118" s="45"/>
      <c r="K1118" s="45"/>
      <c r="L1118" s="45"/>
      <c r="M1118" s="45"/>
      <c r="N1118" s="45"/>
      <c r="O1118" s="45"/>
      <c r="P1118" s="45"/>
      <c r="Q1118" s="45"/>
      <c r="R1118" s="45"/>
      <c r="S1118" s="45"/>
      <c r="T1118" s="45"/>
      <c r="U1118" s="45"/>
      <c r="V1118" s="45"/>
      <c r="W1118" s="45"/>
      <c r="X1118" s="45"/>
      <c r="Y1118" s="45"/>
      <c r="Z1118" s="45"/>
      <c r="AA1118" s="45"/>
      <c r="AB1118" s="45"/>
      <c r="AC1118" s="45"/>
      <c r="AD1118" s="45"/>
      <c r="AE1118" s="45"/>
      <c r="AF1118" s="45"/>
      <c r="AG1118" s="45"/>
      <c r="AH1118" s="45"/>
      <c r="AI1118" s="45"/>
      <c r="AJ1118" s="45"/>
      <c r="AK1118" s="45"/>
      <c r="AL1118" s="45"/>
      <c r="AM1118" s="45"/>
      <c r="AN1118" s="45"/>
      <c r="AO1118" s="45"/>
      <c r="AP1118" s="45"/>
      <c r="AQ1118" s="45"/>
      <c r="AR1118" s="45"/>
      <c r="AS1118" s="45"/>
      <c r="AT1118" s="45"/>
      <c r="AU1118" s="45"/>
      <c r="AV1118" s="45"/>
      <c r="AW1118" s="45"/>
      <c r="AX1118" s="45"/>
    </row>
    <row r="1119" ht="15.75" customHeight="1">
      <c r="A1119" s="45"/>
      <c r="B1119" s="45"/>
      <c r="C1119" s="46"/>
      <c r="D1119" s="45"/>
      <c r="E1119" s="47"/>
      <c r="F1119" s="45"/>
      <c r="G1119" s="45"/>
      <c r="H1119" s="45"/>
      <c r="I1119" s="45"/>
      <c r="J1119" s="45"/>
      <c r="K1119" s="45"/>
      <c r="L1119" s="45"/>
      <c r="M1119" s="45"/>
      <c r="N1119" s="45"/>
      <c r="O1119" s="45"/>
      <c r="P1119" s="45"/>
      <c r="Q1119" s="45"/>
      <c r="R1119" s="45"/>
      <c r="S1119" s="45"/>
      <c r="T1119" s="45"/>
      <c r="U1119" s="45"/>
      <c r="V1119" s="45"/>
      <c r="W1119" s="45"/>
      <c r="X1119" s="45"/>
      <c r="Y1119" s="45"/>
      <c r="Z1119" s="45"/>
      <c r="AA1119" s="45"/>
      <c r="AB1119" s="45"/>
      <c r="AC1119" s="45"/>
      <c r="AD1119" s="45"/>
      <c r="AE1119" s="45"/>
      <c r="AF1119" s="45"/>
      <c r="AG1119" s="45"/>
      <c r="AH1119" s="45"/>
      <c r="AI1119" s="45"/>
      <c r="AJ1119" s="45"/>
      <c r="AK1119" s="45"/>
      <c r="AL1119" s="45"/>
      <c r="AM1119" s="45"/>
      <c r="AN1119" s="45"/>
      <c r="AO1119" s="45"/>
      <c r="AP1119" s="45"/>
      <c r="AQ1119" s="45"/>
      <c r="AR1119" s="45"/>
      <c r="AS1119" s="45"/>
      <c r="AT1119" s="45"/>
      <c r="AU1119" s="45"/>
      <c r="AV1119" s="45"/>
      <c r="AW1119" s="45"/>
      <c r="AX1119" s="45"/>
    </row>
    <row r="1120" ht="15.75" customHeight="1">
      <c r="A1120" s="45"/>
      <c r="B1120" s="45"/>
      <c r="C1120" s="46"/>
      <c r="D1120" s="45"/>
      <c r="E1120" s="47"/>
      <c r="F1120" s="45"/>
      <c r="G1120" s="45"/>
      <c r="H1120" s="45"/>
      <c r="I1120" s="45"/>
      <c r="J1120" s="45"/>
      <c r="K1120" s="45"/>
      <c r="L1120" s="45"/>
      <c r="M1120" s="45"/>
      <c r="N1120" s="45"/>
      <c r="O1120" s="45"/>
      <c r="P1120" s="45"/>
      <c r="Q1120" s="45"/>
      <c r="R1120" s="45"/>
      <c r="S1120" s="45"/>
      <c r="T1120" s="45"/>
      <c r="U1120" s="45"/>
      <c r="V1120" s="45"/>
      <c r="W1120" s="45"/>
      <c r="X1120" s="45"/>
      <c r="Y1120" s="45"/>
      <c r="Z1120" s="45"/>
      <c r="AA1120" s="45"/>
      <c r="AB1120" s="45"/>
      <c r="AC1120" s="45"/>
      <c r="AD1120" s="45"/>
      <c r="AE1120" s="45"/>
      <c r="AF1120" s="45"/>
      <c r="AG1120" s="45"/>
      <c r="AH1120" s="45"/>
      <c r="AI1120" s="45"/>
      <c r="AJ1120" s="45"/>
      <c r="AK1120" s="45"/>
      <c r="AL1120" s="45"/>
      <c r="AM1120" s="45"/>
      <c r="AN1120" s="45"/>
      <c r="AO1120" s="45"/>
      <c r="AP1120" s="45"/>
      <c r="AQ1120" s="45"/>
      <c r="AR1120" s="45"/>
      <c r="AS1120" s="45"/>
      <c r="AT1120" s="45"/>
      <c r="AU1120" s="45"/>
      <c r="AV1120" s="45"/>
      <c r="AW1120" s="45"/>
      <c r="AX1120" s="45"/>
    </row>
    <row r="1121" ht="15.75" customHeight="1">
      <c r="A1121" s="45"/>
      <c r="B1121" s="45"/>
      <c r="C1121" s="46"/>
      <c r="D1121" s="45"/>
      <c r="E1121" s="47"/>
      <c r="F1121" s="45"/>
      <c r="G1121" s="45"/>
      <c r="H1121" s="45"/>
      <c r="I1121" s="45"/>
      <c r="J1121" s="45"/>
      <c r="K1121" s="45"/>
      <c r="L1121" s="45"/>
      <c r="M1121" s="45"/>
      <c r="N1121" s="45"/>
      <c r="O1121" s="45"/>
      <c r="P1121" s="45"/>
      <c r="Q1121" s="45"/>
      <c r="R1121" s="45"/>
      <c r="S1121" s="45"/>
      <c r="T1121" s="45"/>
      <c r="U1121" s="45"/>
      <c r="V1121" s="45"/>
      <c r="W1121" s="45"/>
      <c r="X1121" s="45"/>
      <c r="Y1121" s="45"/>
      <c r="Z1121" s="45"/>
      <c r="AA1121" s="45"/>
      <c r="AB1121" s="45"/>
      <c r="AC1121" s="45"/>
      <c r="AD1121" s="45"/>
      <c r="AE1121" s="45"/>
      <c r="AF1121" s="45"/>
      <c r="AG1121" s="45"/>
      <c r="AH1121" s="45"/>
      <c r="AI1121" s="45"/>
      <c r="AJ1121" s="45"/>
      <c r="AK1121" s="45"/>
      <c r="AL1121" s="45"/>
      <c r="AM1121" s="45"/>
      <c r="AN1121" s="45"/>
      <c r="AO1121" s="45"/>
      <c r="AP1121" s="45"/>
      <c r="AQ1121" s="45"/>
      <c r="AR1121" s="45"/>
      <c r="AS1121" s="45"/>
      <c r="AT1121" s="45"/>
      <c r="AU1121" s="45"/>
      <c r="AV1121" s="45"/>
      <c r="AW1121" s="45"/>
      <c r="AX1121" s="45"/>
    </row>
    <row r="1122" ht="15.75" customHeight="1">
      <c r="A1122" s="45"/>
      <c r="B1122" s="45"/>
      <c r="C1122" s="46"/>
      <c r="D1122" s="45"/>
      <c r="E1122" s="47"/>
      <c r="F1122" s="45"/>
      <c r="G1122" s="45"/>
      <c r="H1122" s="45"/>
      <c r="I1122" s="45"/>
      <c r="J1122" s="45"/>
      <c r="K1122" s="45"/>
      <c r="L1122" s="45"/>
      <c r="M1122" s="45"/>
      <c r="N1122" s="45"/>
      <c r="O1122" s="45"/>
      <c r="P1122" s="45"/>
      <c r="Q1122" s="45"/>
      <c r="R1122" s="45"/>
      <c r="S1122" s="45"/>
      <c r="T1122" s="45"/>
      <c r="U1122" s="45"/>
      <c r="V1122" s="45"/>
      <c r="W1122" s="45"/>
      <c r="X1122" s="45"/>
      <c r="Y1122" s="45"/>
      <c r="Z1122" s="45"/>
      <c r="AA1122" s="45"/>
      <c r="AB1122" s="45"/>
      <c r="AC1122" s="45"/>
      <c r="AD1122" s="45"/>
      <c r="AE1122" s="45"/>
      <c r="AF1122" s="45"/>
      <c r="AG1122" s="45"/>
      <c r="AH1122" s="45"/>
      <c r="AI1122" s="45"/>
      <c r="AJ1122" s="45"/>
      <c r="AK1122" s="45"/>
      <c r="AL1122" s="45"/>
      <c r="AM1122" s="45"/>
      <c r="AN1122" s="45"/>
      <c r="AO1122" s="45"/>
      <c r="AP1122" s="45"/>
      <c r="AQ1122" s="45"/>
      <c r="AR1122" s="45"/>
      <c r="AS1122" s="45"/>
      <c r="AT1122" s="45"/>
      <c r="AU1122" s="45"/>
      <c r="AV1122" s="45"/>
      <c r="AW1122" s="45"/>
      <c r="AX1122" s="45"/>
    </row>
    <row r="1123" ht="15.75" customHeight="1">
      <c r="A1123" s="45"/>
      <c r="B1123" s="45"/>
      <c r="C1123" s="46"/>
      <c r="D1123" s="45"/>
      <c r="E1123" s="47"/>
      <c r="F1123" s="45"/>
      <c r="G1123" s="45"/>
      <c r="H1123" s="45"/>
      <c r="I1123" s="45"/>
      <c r="J1123" s="45"/>
      <c r="K1123" s="45"/>
      <c r="L1123" s="45"/>
      <c r="M1123" s="45"/>
      <c r="N1123" s="45"/>
      <c r="O1123" s="45"/>
      <c r="P1123" s="45"/>
      <c r="Q1123" s="45"/>
      <c r="R1123" s="45"/>
      <c r="S1123" s="45"/>
      <c r="T1123" s="45"/>
      <c r="U1123" s="45"/>
      <c r="V1123" s="45"/>
      <c r="W1123" s="45"/>
      <c r="X1123" s="45"/>
      <c r="Y1123" s="45"/>
      <c r="Z1123" s="45"/>
      <c r="AA1123" s="45"/>
      <c r="AB1123" s="45"/>
      <c r="AC1123" s="45"/>
      <c r="AD1123" s="45"/>
      <c r="AE1123" s="45"/>
      <c r="AF1123" s="45"/>
      <c r="AG1123" s="45"/>
      <c r="AH1123" s="45"/>
      <c r="AI1123" s="45"/>
      <c r="AJ1123" s="45"/>
      <c r="AK1123" s="45"/>
      <c r="AL1123" s="45"/>
      <c r="AM1123" s="45"/>
      <c r="AN1123" s="45"/>
      <c r="AO1123" s="45"/>
      <c r="AP1123" s="45"/>
      <c r="AQ1123" s="45"/>
      <c r="AR1123" s="45"/>
      <c r="AS1123" s="45"/>
      <c r="AT1123" s="45"/>
      <c r="AU1123" s="45"/>
      <c r="AV1123" s="45"/>
      <c r="AW1123" s="45"/>
      <c r="AX1123" s="45"/>
    </row>
    <row r="1124" ht="15.75" customHeight="1">
      <c r="A1124" s="45"/>
      <c r="B1124" s="45"/>
      <c r="C1124" s="46"/>
      <c r="D1124" s="45"/>
      <c r="E1124" s="47"/>
      <c r="F1124" s="45"/>
      <c r="G1124" s="45"/>
      <c r="H1124" s="45"/>
      <c r="I1124" s="45"/>
      <c r="J1124" s="45"/>
      <c r="K1124" s="45"/>
      <c r="L1124" s="45"/>
      <c r="M1124" s="45"/>
      <c r="N1124" s="45"/>
      <c r="O1124" s="45"/>
      <c r="P1124" s="45"/>
      <c r="Q1124" s="45"/>
      <c r="R1124" s="45"/>
      <c r="S1124" s="45"/>
      <c r="T1124" s="45"/>
      <c r="U1124" s="45"/>
      <c r="V1124" s="45"/>
      <c r="W1124" s="45"/>
      <c r="X1124" s="45"/>
      <c r="Y1124" s="45"/>
      <c r="Z1124" s="45"/>
      <c r="AA1124" s="45"/>
      <c r="AB1124" s="45"/>
      <c r="AC1124" s="45"/>
      <c r="AD1124" s="45"/>
      <c r="AE1124" s="45"/>
      <c r="AF1124" s="45"/>
      <c r="AG1124" s="45"/>
      <c r="AH1124" s="45"/>
      <c r="AI1124" s="45"/>
      <c r="AJ1124" s="45"/>
      <c r="AK1124" s="45"/>
      <c r="AL1124" s="45"/>
      <c r="AM1124" s="45"/>
      <c r="AN1124" s="45"/>
      <c r="AO1124" s="45"/>
      <c r="AP1124" s="45"/>
      <c r="AQ1124" s="45"/>
      <c r="AR1124" s="45"/>
      <c r="AS1124" s="45"/>
      <c r="AT1124" s="45"/>
      <c r="AU1124" s="45"/>
      <c r="AV1124" s="45"/>
      <c r="AW1124" s="45"/>
      <c r="AX1124" s="45"/>
    </row>
    <row r="1125" ht="15.75" customHeight="1">
      <c r="A1125" s="45"/>
      <c r="B1125" s="45"/>
      <c r="C1125" s="46"/>
      <c r="D1125" s="45"/>
      <c r="E1125" s="47"/>
      <c r="F1125" s="45"/>
      <c r="G1125" s="45"/>
      <c r="H1125" s="45"/>
      <c r="I1125" s="45"/>
      <c r="J1125" s="45"/>
      <c r="K1125" s="45"/>
      <c r="L1125" s="45"/>
      <c r="M1125" s="45"/>
      <c r="N1125" s="45"/>
      <c r="O1125" s="45"/>
      <c r="P1125" s="45"/>
      <c r="Q1125" s="45"/>
      <c r="R1125" s="45"/>
      <c r="S1125" s="45"/>
      <c r="T1125" s="45"/>
      <c r="U1125" s="45"/>
      <c r="V1125" s="45"/>
      <c r="W1125" s="45"/>
      <c r="X1125" s="45"/>
      <c r="Y1125" s="45"/>
      <c r="Z1125" s="45"/>
      <c r="AA1125" s="45"/>
      <c r="AB1125" s="45"/>
      <c r="AC1125" s="45"/>
      <c r="AD1125" s="45"/>
      <c r="AE1125" s="45"/>
      <c r="AF1125" s="45"/>
      <c r="AG1125" s="45"/>
      <c r="AH1125" s="45"/>
      <c r="AI1125" s="45"/>
      <c r="AJ1125" s="45"/>
      <c r="AK1125" s="45"/>
      <c r="AL1125" s="45"/>
      <c r="AM1125" s="45"/>
      <c r="AN1125" s="45"/>
      <c r="AO1125" s="45"/>
      <c r="AP1125" s="45"/>
      <c r="AQ1125" s="45"/>
      <c r="AR1125" s="45"/>
      <c r="AS1125" s="45"/>
      <c r="AT1125" s="45"/>
      <c r="AU1125" s="45"/>
      <c r="AV1125" s="45"/>
      <c r="AW1125" s="45"/>
      <c r="AX1125" s="45"/>
    </row>
    <row r="1126" ht="15.75" customHeight="1">
      <c r="A1126" s="45"/>
      <c r="B1126" s="45"/>
      <c r="C1126" s="46"/>
      <c r="D1126" s="45"/>
      <c r="E1126" s="47"/>
      <c r="F1126" s="45"/>
      <c r="G1126" s="45"/>
      <c r="H1126" s="45"/>
      <c r="I1126" s="45"/>
      <c r="J1126" s="45"/>
      <c r="K1126" s="45"/>
      <c r="L1126" s="45"/>
      <c r="M1126" s="45"/>
      <c r="N1126" s="45"/>
      <c r="O1126" s="45"/>
      <c r="P1126" s="45"/>
      <c r="Q1126" s="45"/>
      <c r="R1126" s="45"/>
      <c r="S1126" s="45"/>
      <c r="T1126" s="45"/>
      <c r="U1126" s="45"/>
      <c r="V1126" s="45"/>
      <c r="W1126" s="45"/>
      <c r="X1126" s="45"/>
      <c r="Y1126" s="45"/>
      <c r="Z1126" s="45"/>
      <c r="AA1126" s="45"/>
      <c r="AB1126" s="45"/>
      <c r="AC1126" s="45"/>
      <c r="AD1126" s="45"/>
      <c r="AE1126" s="45"/>
      <c r="AF1126" s="45"/>
      <c r="AG1126" s="45"/>
      <c r="AH1126" s="45"/>
      <c r="AI1126" s="45"/>
      <c r="AJ1126" s="45"/>
      <c r="AK1126" s="45"/>
      <c r="AL1126" s="45"/>
      <c r="AM1126" s="45"/>
      <c r="AN1126" s="45"/>
      <c r="AO1126" s="45"/>
      <c r="AP1126" s="45"/>
      <c r="AQ1126" s="45"/>
      <c r="AR1126" s="45"/>
      <c r="AS1126" s="45"/>
      <c r="AT1126" s="45"/>
      <c r="AU1126" s="45"/>
      <c r="AV1126" s="45"/>
      <c r="AW1126" s="45"/>
      <c r="AX1126" s="45"/>
    </row>
    <row r="1127" ht="15.75" customHeight="1">
      <c r="A1127" s="45"/>
      <c r="B1127" s="45"/>
      <c r="C1127" s="46"/>
      <c r="D1127" s="45"/>
      <c r="E1127" s="47"/>
      <c r="F1127" s="45"/>
      <c r="G1127" s="45"/>
      <c r="H1127" s="45"/>
      <c r="I1127" s="45"/>
      <c r="J1127" s="45"/>
      <c r="K1127" s="45"/>
      <c r="L1127" s="45"/>
      <c r="M1127" s="45"/>
      <c r="N1127" s="45"/>
      <c r="O1127" s="45"/>
      <c r="P1127" s="45"/>
      <c r="Q1127" s="45"/>
      <c r="R1127" s="45"/>
      <c r="S1127" s="45"/>
      <c r="T1127" s="45"/>
      <c r="U1127" s="45"/>
      <c r="V1127" s="45"/>
      <c r="W1127" s="45"/>
      <c r="X1127" s="45"/>
      <c r="Y1127" s="45"/>
      <c r="Z1127" s="45"/>
      <c r="AA1127" s="45"/>
      <c r="AB1127" s="45"/>
      <c r="AC1127" s="45"/>
      <c r="AD1127" s="45"/>
      <c r="AE1127" s="45"/>
      <c r="AF1127" s="45"/>
      <c r="AG1127" s="45"/>
      <c r="AH1127" s="45"/>
      <c r="AI1127" s="45"/>
      <c r="AJ1127" s="45"/>
      <c r="AK1127" s="45"/>
      <c r="AL1127" s="45"/>
      <c r="AM1127" s="45"/>
      <c r="AN1127" s="45"/>
      <c r="AO1127" s="45"/>
      <c r="AP1127" s="45"/>
      <c r="AQ1127" s="45"/>
      <c r="AR1127" s="45"/>
      <c r="AS1127" s="45"/>
      <c r="AT1127" s="45"/>
      <c r="AU1127" s="45"/>
      <c r="AV1127" s="45"/>
      <c r="AW1127" s="45"/>
      <c r="AX1127" s="45"/>
    </row>
    <row r="1128" ht="15.75" customHeight="1">
      <c r="A1128" s="45"/>
      <c r="B1128" s="45"/>
      <c r="C1128" s="46"/>
      <c r="D1128" s="45"/>
      <c r="E1128" s="47"/>
      <c r="F1128" s="45"/>
      <c r="G1128" s="45"/>
      <c r="H1128" s="45"/>
      <c r="I1128" s="45"/>
      <c r="J1128" s="45"/>
      <c r="K1128" s="45"/>
      <c r="L1128" s="45"/>
      <c r="M1128" s="45"/>
      <c r="N1128" s="45"/>
      <c r="O1128" s="45"/>
      <c r="P1128" s="45"/>
      <c r="Q1128" s="45"/>
      <c r="R1128" s="45"/>
      <c r="S1128" s="45"/>
      <c r="T1128" s="45"/>
      <c r="U1128" s="45"/>
      <c r="V1128" s="45"/>
      <c r="W1128" s="45"/>
      <c r="X1128" s="45"/>
      <c r="Y1128" s="45"/>
      <c r="Z1128" s="45"/>
      <c r="AA1128" s="45"/>
      <c r="AB1128" s="45"/>
      <c r="AC1128" s="45"/>
      <c r="AD1128" s="45"/>
      <c r="AE1128" s="45"/>
      <c r="AF1128" s="45"/>
      <c r="AG1128" s="45"/>
      <c r="AH1128" s="45"/>
      <c r="AI1128" s="45"/>
      <c r="AJ1128" s="45"/>
      <c r="AK1128" s="45"/>
      <c r="AL1128" s="45"/>
      <c r="AM1128" s="45"/>
      <c r="AN1128" s="45"/>
      <c r="AO1128" s="45"/>
      <c r="AP1128" s="45"/>
      <c r="AQ1128" s="45"/>
      <c r="AR1128" s="45"/>
      <c r="AS1128" s="45"/>
      <c r="AT1128" s="45"/>
      <c r="AU1128" s="45"/>
      <c r="AV1128" s="45"/>
      <c r="AW1128" s="45"/>
      <c r="AX1128" s="45"/>
    </row>
    <row r="1129" ht="15.75" customHeight="1">
      <c r="A1129" s="45"/>
      <c r="B1129" s="45"/>
      <c r="C1129" s="46"/>
      <c r="D1129" s="45"/>
      <c r="E1129" s="47"/>
      <c r="F1129" s="45"/>
      <c r="G1129" s="45"/>
      <c r="H1129" s="45"/>
      <c r="I1129" s="45"/>
      <c r="J1129" s="45"/>
      <c r="K1129" s="45"/>
      <c r="L1129" s="45"/>
      <c r="M1129" s="45"/>
      <c r="N1129" s="45"/>
      <c r="O1129" s="45"/>
      <c r="P1129" s="45"/>
      <c r="Q1129" s="45"/>
      <c r="R1129" s="45"/>
      <c r="S1129" s="45"/>
      <c r="T1129" s="45"/>
      <c r="U1129" s="45"/>
      <c r="V1129" s="45"/>
      <c r="W1129" s="45"/>
      <c r="X1129" s="45"/>
      <c r="Y1129" s="45"/>
      <c r="Z1129" s="45"/>
      <c r="AA1129" s="45"/>
      <c r="AB1129" s="45"/>
      <c r="AC1129" s="45"/>
      <c r="AD1129" s="45"/>
      <c r="AE1129" s="45"/>
      <c r="AF1129" s="45"/>
      <c r="AG1129" s="45"/>
      <c r="AH1129" s="45"/>
      <c r="AI1129" s="45"/>
      <c r="AJ1129" s="45"/>
      <c r="AK1129" s="45"/>
      <c r="AL1129" s="45"/>
      <c r="AM1129" s="45"/>
      <c r="AN1129" s="45"/>
      <c r="AO1129" s="45"/>
      <c r="AP1129" s="45"/>
      <c r="AQ1129" s="45"/>
      <c r="AR1129" s="45"/>
      <c r="AS1129" s="45"/>
      <c r="AT1129" s="45"/>
      <c r="AU1129" s="45"/>
      <c r="AV1129" s="45"/>
      <c r="AW1129" s="45"/>
      <c r="AX1129" s="45"/>
    </row>
    <row r="1130" ht="15.75" customHeight="1">
      <c r="A1130" s="45"/>
      <c r="B1130" s="45"/>
      <c r="C1130" s="46"/>
      <c r="D1130" s="45"/>
      <c r="E1130" s="47"/>
      <c r="F1130" s="45"/>
      <c r="G1130" s="45"/>
      <c r="H1130" s="45"/>
      <c r="I1130" s="45"/>
      <c r="J1130" s="45"/>
      <c r="K1130" s="45"/>
      <c r="L1130" s="45"/>
      <c r="M1130" s="45"/>
      <c r="N1130" s="45"/>
      <c r="O1130" s="45"/>
      <c r="P1130" s="45"/>
      <c r="Q1130" s="45"/>
      <c r="R1130" s="45"/>
      <c r="S1130" s="45"/>
      <c r="T1130" s="45"/>
      <c r="U1130" s="45"/>
      <c r="V1130" s="45"/>
      <c r="W1130" s="45"/>
      <c r="X1130" s="45"/>
      <c r="Y1130" s="45"/>
      <c r="Z1130" s="45"/>
      <c r="AA1130" s="45"/>
      <c r="AB1130" s="45"/>
      <c r="AC1130" s="45"/>
      <c r="AD1130" s="45"/>
      <c r="AE1130" s="45"/>
      <c r="AF1130" s="45"/>
      <c r="AG1130" s="45"/>
      <c r="AH1130" s="45"/>
      <c r="AI1130" s="45"/>
      <c r="AJ1130" s="45"/>
      <c r="AK1130" s="45"/>
      <c r="AL1130" s="45"/>
      <c r="AM1130" s="45"/>
      <c r="AN1130" s="45"/>
      <c r="AO1130" s="45"/>
      <c r="AP1130" s="45"/>
      <c r="AQ1130" s="45"/>
      <c r="AR1130" s="45"/>
      <c r="AS1130" s="45"/>
      <c r="AT1130" s="45"/>
      <c r="AU1130" s="45"/>
      <c r="AV1130" s="45"/>
      <c r="AW1130" s="45"/>
      <c r="AX1130" s="45"/>
    </row>
    <row r="1131" ht="15.75" customHeight="1">
      <c r="A1131" s="45"/>
      <c r="B1131" s="45"/>
      <c r="C1131" s="46"/>
      <c r="D1131" s="45"/>
      <c r="E1131" s="47"/>
      <c r="F1131" s="45"/>
      <c r="G1131" s="45"/>
      <c r="H1131" s="45"/>
      <c r="I1131" s="45"/>
      <c r="J1131" s="45"/>
      <c r="K1131" s="45"/>
      <c r="L1131" s="45"/>
      <c r="M1131" s="45"/>
      <c r="N1131" s="45"/>
      <c r="O1131" s="45"/>
      <c r="P1131" s="45"/>
      <c r="Q1131" s="45"/>
      <c r="R1131" s="45"/>
      <c r="S1131" s="45"/>
      <c r="T1131" s="45"/>
      <c r="U1131" s="45"/>
      <c r="V1131" s="45"/>
      <c r="W1131" s="45"/>
      <c r="X1131" s="45"/>
      <c r="Y1131" s="45"/>
      <c r="Z1131" s="45"/>
      <c r="AA1131" s="45"/>
      <c r="AB1131" s="45"/>
      <c r="AC1131" s="45"/>
      <c r="AD1131" s="45"/>
      <c r="AE1131" s="45"/>
      <c r="AF1131" s="45"/>
      <c r="AG1131" s="45"/>
      <c r="AH1131" s="45"/>
      <c r="AI1131" s="45"/>
      <c r="AJ1131" s="45"/>
      <c r="AK1131" s="45"/>
      <c r="AL1131" s="45"/>
      <c r="AM1131" s="45"/>
      <c r="AN1131" s="45"/>
      <c r="AO1131" s="45"/>
      <c r="AP1131" s="45"/>
      <c r="AQ1131" s="45"/>
      <c r="AR1131" s="45"/>
      <c r="AS1131" s="45"/>
      <c r="AT1131" s="45"/>
      <c r="AU1131" s="45"/>
      <c r="AV1131" s="45"/>
      <c r="AW1131" s="45"/>
      <c r="AX1131" s="45"/>
    </row>
    <row r="1132" ht="15.75" customHeight="1">
      <c r="A1132" s="45"/>
      <c r="B1132" s="45"/>
      <c r="C1132" s="46"/>
      <c r="D1132" s="45"/>
      <c r="E1132" s="47"/>
      <c r="F1132" s="45"/>
      <c r="G1132" s="45"/>
      <c r="H1132" s="45"/>
      <c r="I1132" s="45"/>
      <c r="J1132" s="45"/>
      <c r="K1132" s="45"/>
      <c r="L1132" s="45"/>
      <c r="M1132" s="45"/>
      <c r="N1132" s="45"/>
      <c r="O1132" s="45"/>
      <c r="P1132" s="45"/>
      <c r="Q1132" s="45"/>
      <c r="R1132" s="45"/>
      <c r="S1132" s="45"/>
      <c r="T1132" s="45"/>
      <c r="U1132" s="45"/>
      <c r="V1132" s="45"/>
      <c r="W1132" s="45"/>
      <c r="X1132" s="45"/>
      <c r="Y1132" s="45"/>
      <c r="Z1132" s="45"/>
      <c r="AA1132" s="45"/>
      <c r="AB1132" s="45"/>
      <c r="AC1132" s="45"/>
      <c r="AD1132" s="45"/>
      <c r="AE1132" s="45"/>
      <c r="AF1132" s="45"/>
      <c r="AG1132" s="45"/>
      <c r="AH1132" s="45"/>
      <c r="AI1132" s="45"/>
      <c r="AJ1132" s="45"/>
      <c r="AK1132" s="45"/>
      <c r="AL1132" s="45"/>
      <c r="AM1132" s="45"/>
      <c r="AN1132" s="45"/>
      <c r="AO1132" s="45"/>
      <c r="AP1132" s="45"/>
      <c r="AQ1132" s="45"/>
      <c r="AR1132" s="45"/>
      <c r="AS1132" s="45"/>
      <c r="AT1132" s="45"/>
      <c r="AU1132" s="45"/>
      <c r="AV1132" s="45"/>
      <c r="AW1132" s="45"/>
      <c r="AX1132" s="45"/>
    </row>
    <row r="1133" ht="15.75" customHeight="1">
      <c r="A1133" s="45"/>
      <c r="B1133" s="45"/>
      <c r="C1133" s="46"/>
      <c r="D1133" s="45"/>
      <c r="E1133" s="47"/>
      <c r="F1133" s="45"/>
      <c r="G1133" s="45"/>
      <c r="H1133" s="45"/>
      <c r="I1133" s="45"/>
      <c r="J1133" s="45"/>
      <c r="K1133" s="45"/>
      <c r="L1133" s="45"/>
      <c r="M1133" s="45"/>
      <c r="N1133" s="45"/>
      <c r="O1133" s="45"/>
      <c r="P1133" s="45"/>
      <c r="Q1133" s="45"/>
      <c r="R1133" s="45"/>
      <c r="S1133" s="45"/>
      <c r="T1133" s="45"/>
      <c r="U1133" s="45"/>
      <c r="V1133" s="45"/>
      <c r="W1133" s="45"/>
      <c r="X1133" s="45"/>
      <c r="Y1133" s="45"/>
      <c r="Z1133" s="45"/>
      <c r="AA1133" s="45"/>
      <c r="AB1133" s="45"/>
      <c r="AC1133" s="45"/>
      <c r="AD1133" s="45"/>
      <c r="AE1133" s="45"/>
      <c r="AF1133" s="45"/>
      <c r="AG1133" s="45"/>
      <c r="AH1133" s="45"/>
      <c r="AI1133" s="45"/>
      <c r="AJ1133" s="45"/>
      <c r="AK1133" s="45"/>
      <c r="AL1133" s="45"/>
      <c r="AM1133" s="45"/>
      <c r="AN1133" s="45"/>
      <c r="AO1133" s="45"/>
      <c r="AP1133" s="45"/>
      <c r="AQ1133" s="45"/>
      <c r="AR1133" s="45"/>
      <c r="AS1133" s="45"/>
      <c r="AT1133" s="45"/>
      <c r="AU1133" s="45"/>
      <c r="AV1133" s="45"/>
      <c r="AW1133" s="45"/>
      <c r="AX1133" s="45"/>
    </row>
    <row r="1134" ht="15.75" customHeight="1">
      <c r="A1134" s="45"/>
      <c r="B1134" s="45"/>
      <c r="C1134" s="46"/>
      <c r="D1134" s="45"/>
      <c r="E1134" s="47"/>
      <c r="F1134" s="45"/>
      <c r="G1134" s="45"/>
      <c r="H1134" s="45"/>
      <c r="I1134" s="45"/>
      <c r="J1134" s="45"/>
      <c r="K1134" s="45"/>
      <c r="L1134" s="45"/>
      <c r="M1134" s="45"/>
      <c r="N1134" s="45"/>
      <c r="O1134" s="45"/>
      <c r="P1134" s="45"/>
      <c r="Q1134" s="45"/>
      <c r="R1134" s="45"/>
      <c r="S1134" s="45"/>
      <c r="T1134" s="45"/>
      <c r="U1134" s="45"/>
      <c r="V1134" s="45"/>
      <c r="W1134" s="45"/>
      <c r="X1134" s="45"/>
      <c r="Y1134" s="45"/>
      <c r="Z1134" s="45"/>
      <c r="AA1134" s="45"/>
      <c r="AB1134" s="45"/>
      <c r="AC1134" s="45"/>
      <c r="AD1134" s="45"/>
      <c r="AE1134" s="45"/>
      <c r="AF1134" s="45"/>
      <c r="AG1134" s="45"/>
      <c r="AH1134" s="45"/>
      <c r="AI1134" s="45"/>
      <c r="AJ1134" s="45"/>
      <c r="AK1134" s="45"/>
      <c r="AL1134" s="45"/>
      <c r="AM1134" s="45"/>
      <c r="AN1134" s="45"/>
      <c r="AO1134" s="45"/>
      <c r="AP1134" s="45"/>
      <c r="AQ1134" s="45"/>
      <c r="AR1134" s="45"/>
      <c r="AS1134" s="45"/>
      <c r="AT1134" s="45"/>
      <c r="AU1134" s="45"/>
      <c r="AV1134" s="45"/>
      <c r="AW1134" s="45"/>
      <c r="AX1134" s="45"/>
    </row>
    <row r="1135" ht="15.75" customHeight="1">
      <c r="A1135" s="45"/>
      <c r="B1135" s="45"/>
      <c r="C1135" s="46"/>
      <c r="D1135" s="45"/>
      <c r="E1135" s="47"/>
      <c r="F1135" s="45"/>
      <c r="G1135" s="45"/>
      <c r="H1135" s="45"/>
      <c r="I1135" s="45"/>
      <c r="J1135" s="45"/>
      <c r="K1135" s="45"/>
      <c r="L1135" s="45"/>
      <c r="M1135" s="45"/>
      <c r="N1135" s="45"/>
      <c r="O1135" s="45"/>
      <c r="P1135" s="45"/>
      <c r="Q1135" s="45"/>
      <c r="R1135" s="45"/>
      <c r="S1135" s="45"/>
      <c r="T1135" s="45"/>
      <c r="U1135" s="45"/>
      <c r="V1135" s="45"/>
      <c r="W1135" s="45"/>
      <c r="X1135" s="45"/>
      <c r="Y1135" s="45"/>
      <c r="Z1135" s="45"/>
      <c r="AA1135" s="45"/>
      <c r="AB1135" s="45"/>
      <c r="AC1135" s="45"/>
      <c r="AD1135" s="45"/>
      <c r="AE1135" s="45"/>
      <c r="AF1135" s="45"/>
      <c r="AG1135" s="45"/>
      <c r="AH1135" s="45"/>
      <c r="AI1135" s="45"/>
      <c r="AJ1135" s="45"/>
      <c r="AK1135" s="45"/>
      <c r="AL1135" s="45"/>
      <c r="AM1135" s="45"/>
      <c r="AN1135" s="45"/>
      <c r="AO1135" s="45"/>
      <c r="AP1135" s="45"/>
      <c r="AQ1135" s="45"/>
      <c r="AR1135" s="45"/>
      <c r="AS1135" s="45"/>
      <c r="AT1135" s="45"/>
      <c r="AU1135" s="45"/>
      <c r="AV1135" s="45"/>
      <c r="AW1135" s="45"/>
      <c r="AX1135" s="45"/>
    </row>
    <row r="1136" ht="15.75" customHeight="1">
      <c r="A1136" s="45"/>
      <c r="B1136" s="45"/>
      <c r="C1136" s="46"/>
      <c r="D1136" s="45"/>
      <c r="E1136" s="47"/>
      <c r="F1136" s="45"/>
      <c r="G1136" s="45"/>
      <c r="H1136" s="45"/>
      <c r="I1136" s="45"/>
      <c r="J1136" s="45"/>
      <c r="K1136" s="45"/>
      <c r="L1136" s="45"/>
      <c r="M1136" s="45"/>
      <c r="N1136" s="45"/>
      <c r="O1136" s="45"/>
      <c r="P1136" s="45"/>
      <c r="Q1136" s="45"/>
      <c r="R1136" s="45"/>
      <c r="S1136" s="45"/>
      <c r="T1136" s="45"/>
      <c r="U1136" s="45"/>
      <c r="V1136" s="45"/>
      <c r="W1136" s="45"/>
      <c r="X1136" s="45"/>
      <c r="Y1136" s="45"/>
      <c r="Z1136" s="45"/>
      <c r="AA1136" s="45"/>
      <c r="AB1136" s="45"/>
      <c r="AC1136" s="45"/>
      <c r="AD1136" s="45"/>
      <c r="AE1136" s="45"/>
      <c r="AF1136" s="45"/>
      <c r="AG1136" s="45"/>
      <c r="AH1136" s="45"/>
      <c r="AI1136" s="45"/>
      <c r="AJ1136" s="45"/>
      <c r="AK1136" s="45"/>
      <c r="AL1136" s="45"/>
      <c r="AM1136" s="45"/>
      <c r="AN1136" s="45"/>
      <c r="AO1136" s="45"/>
      <c r="AP1136" s="45"/>
      <c r="AQ1136" s="45"/>
      <c r="AR1136" s="45"/>
      <c r="AS1136" s="45"/>
      <c r="AT1136" s="45"/>
      <c r="AU1136" s="45"/>
      <c r="AV1136" s="45"/>
      <c r="AW1136" s="45"/>
      <c r="AX1136" s="45"/>
    </row>
    <row r="1137" ht="15.75" customHeight="1">
      <c r="A1137" s="45"/>
      <c r="B1137" s="45"/>
      <c r="C1137" s="46"/>
      <c r="D1137" s="45"/>
      <c r="E1137" s="47"/>
      <c r="F1137" s="45"/>
      <c r="G1137" s="45"/>
      <c r="H1137" s="45"/>
      <c r="I1137" s="45"/>
      <c r="J1137" s="45"/>
      <c r="K1137" s="45"/>
      <c r="L1137" s="45"/>
      <c r="M1137" s="45"/>
      <c r="N1137" s="45"/>
      <c r="O1137" s="45"/>
      <c r="P1137" s="45"/>
      <c r="Q1137" s="45"/>
      <c r="R1137" s="45"/>
      <c r="S1137" s="45"/>
      <c r="T1137" s="45"/>
      <c r="U1137" s="45"/>
      <c r="V1137" s="45"/>
      <c r="W1137" s="45"/>
      <c r="X1137" s="45"/>
      <c r="Y1137" s="45"/>
      <c r="Z1137" s="45"/>
      <c r="AA1137" s="45"/>
      <c r="AB1137" s="45"/>
      <c r="AC1137" s="45"/>
      <c r="AD1137" s="45"/>
      <c r="AE1137" s="45"/>
      <c r="AF1137" s="45"/>
      <c r="AG1137" s="45"/>
      <c r="AH1137" s="45"/>
      <c r="AI1137" s="45"/>
      <c r="AJ1137" s="45"/>
      <c r="AK1137" s="45"/>
      <c r="AL1137" s="45"/>
      <c r="AM1137" s="45"/>
      <c r="AN1137" s="45"/>
      <c r="AO1137" s="45"/>
      <c r="AP1137" s="45"/>
      <c r="AQ1137" s="45"/>
      <c r="AR1137" s="45"/>
      <c r="AS1137" s="45"/>
      <c r="AT1137" s="45"/>
      <c r="AU1137" s="45"/>
      <c r="AV1137" s="45"/>
      <c r="AW1137" s="45"/>
      <c r="AX1137" s="45"/>
    </row>
    <row r="1138" ht="15.75" customHeight="1">
      <c r="A1138" s="45"/>
      <c r="B1138" s="45"/>
      <c r="C1138" s="46"/>
      <c r="D1138" s="45"/>
      <c r="E1138" s="47"/>
      <c r="F1138" s="45"/>
      <c r="G1138" s="45"/>
      <c r="H1138" s="45"/>
      <c r="I1138" s="45"/>
      <c r="J1138" s="45"/>
      <c r="K1138" s="45"/>
      <c r="L1138" s="45"/>
      <c r="M1138" s="45"/>
      <c r="N1138" s="45"/>
      <c r="O1138" s="45"/>
      <c r="P1138" s="45"/>
      <c r="Q1138" s="45"/>
      <c r="R1138" s="45"/>
      <c r="S1138" s="45"/>
      <c r="T1138" s="45"/>
      <c r="U1138" s="45"/>
      <c r="V1138" s="45"/>
      <c r="W1138" s="45"/>
      <c r="X1138" s="45"/>
      <c r="Y1138" s="45"/>
      <c r="Z1138" s="45"/>
      <c r="AA1138" s="45"/>
      <c r="AB1138" s="45"/>
      <c r="AC1138" s="45"/>
      <c r="AD1138" s="45"/>
      <c r="AE1138" s="45"/>
      <c r="AF1138" s="45"/>
      <c r="AG1138" s="45"/>
      <c r="AH1138" s="45"/>
      <c r="AI1138" s="45"/>
      <c r="AJ1138" s="45"/>
      <c r="AK1138" s="45"/>
      <c r="AL1138" s="45"/>
      <c r="AM1138" s="45"/>
      <c r="AN1138" s="45"/>
      <c r="AO1138" s="45"/>
      <c r="AP1138" s="45"/>
      <c r="AQ1138" s="45"/>
      <c r="AR1138" s="45"/>
      <c r="AS1138" s="45"/>
      <c r="AT1138" s="45"/>
      <c r="AU1138" s="45"/>
      <c r="AV1138" s="45"/>
      <c r="AW1138" s="45"/>
      <c r="AX1138" s="45"/>
    </row>
    <row r="1139" ht="15.75" customHeight="1">
      <c r="A1139" s="45"/>
      <c r="B1139" s="45"/>
      <c r="C1139" s="46"/>
      <c r="D1139" s="45"/>
      <c r="E1139" s="47"/>
      <c r="F1139" s="45"/>
      <c r="G1139" s="45"/>
      <c r="H1139" s="45"/>
      <c r="I1139" s="45"/>
      <c r="J1139" s="45"/>
      <c r="K1139" s="45"/>
      <c r="L1139" s="45"/>
      <c r="M1139" s="45"/>
      <c r="N1139" s="45"/>
      <c r="O1139" s="45"/>
      <c r="P1139" s="45"/>
      <c r="Q1139" s="45"/>
      <c r="R1139" s="45"/>
      <c r="S1139" s="45"/>
      <c r="T1139" s="45"/>
      <c r="U1139" s="45"/>
      <c r="V1139" s="45"/>
      <c r="W1139" s="45"/>
      <c r="X1139" s="45"/>
      <c r="Y1139" s="45"/>
      <c r="Z1139" s="45"/>
      <c r="AA1139" s="45"/>
      <c r="AB1139" s="45"/>
      <c r="AC1139" s="45"/>
      <c r="AD1139" s="45"/>
      <c r="AE1139" s="45"/>
      <c r="AF1139" s="45"/>
      <c r="AG1139" s="45"/>
      <c r="AH1139" s="45"/>
      <c r="AI1139" s="45"/>
      <c r="AJ1139" s="45"/>
      <c r="AK1139" s="45"/>
      <c r="AL1139" s="45"/>
      <c r="AM1139" s="45"/>
      <c r="AN1139" s="45"/>
      <c r="AO1139" s="45"/>
      <c r="AP1139" s="45"/>
      <c r="AQ1139" s="45"/>
      <c r="AR1139" s="45"/>
      <c r="AS1139" s="45"/>
      <c r="AT1139" s="45"/>
      <c r="AU1139" s="45"/>
      <c r="AV1139" s="45"/>
      <c r="AW1139" s="45"/>
      <c r="AX1139" s="45"/>
    </row>
    <row r="1140" ht="15.75" customHeight="1">
      <c r="A1140" s="45"/>
      <c r="B1140" s="45"/>
      <c r="C1140" s="46"/>
      <c r="D1140" s="45"/>
      <c r="E1140" s="47"/>
      <c r="F1140" s="45"/>
      <c r="G1140" s="45"/>
      <c r="H1140" s="45"/>
      <c r="I1140" s="45"/>
      <c r="J1140" s="45"/>
      <c r="K1140" s="45"/>
      <c r="L1140" s="45"/>
      <c r="M1140" s="45"/>
      <c r="N1140" s="45"/>
      <c r="O1140" s="45"/>
      <c r="P1140" s="45"/>
      <c r="Q1140" s="45"/>
      <c r="R1140" s="45"/>
      <c r="S1140" s="45"/>
      <c r="T1140" s="45"/>
      <c r="U1140" s="45"/>
      <c r="V1140" s="45"/>
      <c r="W1140" s="45"/>
      <c r="X1140" s="45"/>
      <c r="Y1140" s="45"/>
      <c r="Z1140" s="45"/>
      <c r="AA1140" s="45"/>
      <c r="AB1140" s="45"/>
      <c r="AC1140" s="45"/>
      <c r="AD1140" s="45"/>
      <c r="AE1140" s="45"/>
      <c r="AF1140" s="45"/>
      <c r="AG1140" s="45"/>
      <c r="AH1140" s="45"/>
      <c r="AI1140" s="45"/>
      <c r="AJ1140" s="45"/>
      <c r="AK1140" s="45"/>
      <c r="AL1140" s="45"/>
      <c r="AM1140" s="45"/>
      <c r="AN1140" s="45"/>
      <c r="AO1140" s="45"/>
      <c r="AP1140" s="45"/>
      <c r="AQ1140" s="45"/>
      <c r="AR1140" s="45"/>
      <c r="AS1140" s="45"/>
      <c r="AT1140" s="45"/>
      <c r="AU1140" s="45"/>
      <c r="AV1140" s="45"/>
      <c r="AW1140" s="45"/>
      <c r="AX1140" s="45"/>
    </row>
    <row r="1141" ht="15.75" customHeight="1">
      <c r="A1141" s="45"/>
      <c r="B1141" s="45"/>
      <c r="C1141" s="46"/>
      <c r="D1141" s="45"/>
      <c r="E1141" s="47"/>
      <c r="F1141" s="45"/>
      <c r="G1141" s="45"/>
      <c r="H1141" s="45"/>
      <c r="I1141" s="45"/>
      <c r="J1141" s="45"/>
      <c r="K1141" s="45"/>
      <c r="L1141" s="45"/>
      <c r="M1141" s="45"/>
      <c r="N1141" s="45"/>
      <c r="O1141" s="45"/>
      <c r="P1141" s="45"/>
      <c r="Q1141" s="45"/>
      <c r="R1141" s="45"/>
      <c r="S1141" s="45"/>
      <c r="T1141" s="45"/>
      <c r="U1141" s="45"/>
      <c r="V1141" s="45"/>
      <c r="W1141" s="45"/>
      <c r="X1141" s="45"/>
      <c r="Y1141" s="45"/>
      <c r="Z1141" s="45"/>
      <c r="AA1141" s="45"/>
      <c r="AB1141" s="45"/>
      <c r="AC1141" s="45"/>
      <c r="AD1141" s="45"/>
      <c r="AE1141" s="45"/>
      <c r="AF1141" s="45"/>
      <c r="AG1141" s="45"/>
      <c r="AH1141" s="45"/>
      <c r="AI1141" s="45"/>
      <c r="AJ1141" s="45"/>
      <c r="AK1141" s="45"/>
      <c r="AL1141" s="45"/>
      <c r="AM1141" s="45"/>
      <c r="AN1141" s="45"/>
      <c r="AO1141" s="45"/>
      <c r="AP1141" s="45"/>
      <c r="AQ1141" s="45"/>
      <c r="AR1141" s="45"/>
      <c r="AS1141" s="45"/>
      <c r="AT1141" s="45"/>
      <c r="AU1141" s="45"/>
      <c r="AV1141" s="45"/>
      <c r="AW1141" s="45"/>
      <c r="AX1141" s="45"/>
    </row>
    <row r="1142" ht="15.75" customHeight="1">
      <c r="A1142" s="45"/>
      <c r="B1142" s="45"/>
      <c r="C1142" s="46"/>
      <c r="D1142" s="45"/>
      <c r="E1142" s="47"/>
      <c r="F1142" s="45"/>
      <c r="G1142" s="45"/>
      <c r="H1142" s="45"/>
      <c r="I1142" s="45"/>
      <c r="J1142" s="45"/>
      <c r="K1142" s="45"/>
      <c r="L1142" s="45"/>
      <c r="M1142" s="45"/>
      <c r="N1142" s="45"/>
      <c r="O1142" s="45"/>
      <c r="P1142" s="45"/>
      <c r="Q1142" s="45"/>
      <c r="R1142" s="45"/>
      <c r="S1142" s="45"/>
      <c r="T1142" s="45"/>
      <c r="U1142" s="45"/>
      <c r="V1142" s="45"/>
      <c r="W1142" s="45"/>
      <c r="X1142" s="45"/>
      <c r="Y1142" s="45"/>
      <c r="Z1142" s="45"/>
      <c r="AA1142" s="45"/>
      <c r="AB1142" s="45"/>
      <c r="AC1142" s="45"/>
      <c r="AD1142" s="45"/>
      <c r="AE1142" s="45"/>
      <c r="AF1142" s="45"/>
      <c r="AG1142" s="45"/>
      <c r="AH1142" s="45"/>
      <c r="AI1142" s="45"/>
      <c r="AJ1142" s="45"/>
      <c r="AK1142" s="45"/>
      <c r="AL1142" s="45"/>
      <c r="AM1142" s="45"/>
      <c r="AN1142" s="45"/>
      <c r="AO1142" s="45"/>
      <c r="AP1142" s="45"/>
      <c r="AQ1142" s="45"/>
      <c r="AR1142" s="45"/>
      <c r="AS1142" s="45"/>
      <c r="AT1142" s="45"/>
      <c r="AU1142" s="45"/>
      <c r="AV1142" s="45"/>
      <c r="AW1142" s="45"/>
      <c r="AX1142" s="45"/>
    </row>
    <row r="1143" ht="15.75" customHeight="1">
      <c r="A1143" s="45"/>
      <c r="B1143" s="45"/>
      <c r="C1143" s="46"/>
      <c r="D1143" s="45"/>
      <c r="E1143" s="47"/>
      <c r="F1143" s="45"/>
      <c r="G1143" s="45"/>
      <c r="H1143" s="45"/>
      <c r="I1143" s="45"/>
      <c r="J1143" s="45"/>
      <c r="K1143" s="45"/>
      <c r="L1143" s="45"/>
      <c r="M1143" s="45"/>
      <c r="N1143" s="45"/>
      <c r="O1143" s="45"/>
      <c r="P1143" s="45"/>
      <c r="Q1143" s="45"/>
      <c r="R1143" s="45"/>
      <c r="S1143" s="45"/>
      <c r="T1143" s="45"/>
      <c r="U1143" s="45"/>
      <c r="V1143" s="45"/>
      <c r="W1143" s="45"/>
      <c r="X1143" s="45"/>
      <c r="Y1143" s="45"/>
      <c r="Z1143" s="45"/>
      <c r="AA1143" s="45"/>
      <c r="AB1143" s="45"/>
      <c r="AC1143" s="45"/>
      <c r="AD1143" s="45"/>
      <c r="AE1143" s="45"/>
      <c r="AF1143" s="45"/>
      <c r="AG1143" s="45"/>
      <c r="AH1143" s="45"/>
      <c r="AI1143" s="45"/>
      <c r="AJ1143" s="45"/>
      <c r="AK1143" s="45"/>
      <c r="AL1143" s="45"/>
      <c r="AM1143" s="45"/>
      <c r="AN1143" s="45"/>
      <c r="AO1143" s="45"/>
      <c r="AP1143" s="45"/>
      <c r="AQ1143" s="45"/>
      <c r="AR1143" s="45"/>
      <c r="AS1143" s="45"/>
      <c r="AT1143" s="45"/>
      <c r="AU1143" s="45"/>
      <c r="AV1143" s="45"/>
      <c r="AW1143" s="45"/>
      <c r="AX1143" s="45"/>
    </row>
    <row r="1144" ht="15.75" customHeight="1">
      <c r="A1144" s="45"/>
      <c r="B1144" s="45"/>
      <c r="C1144" s="46"/>
      <c r="D1144" s="45"/>
      <c r="E1144" s="47"/>
      <c r="F1144" s="45"/>
      <c r="G1144" s="45"/>
      <c r="H1144" s="45"/>
      <c r="I1144" s="45"/>
      <c r="J1144" s="45"/>
      <c r="K1144" s="45"/>
      <c r="L1144" s="45"/>
      <c r="M1144" s="45"/>
      <c r="N1144" s="45"/>
      <c r="O1144" s="45"/>
      <c r="P1144" s="45"/>
      <c r="Q1144" s="45"/>
      <c r="R1144" s="45"/>
      <c r="S1144" s="45"/>
      <c r="T1144" s="45"/>
      <c r="U1144" s="45"/>
      <c r="V1144" s="45"/>
      <c r="W1144" s="45"/>
      <c r="X1144" s="45"/>
      <c r="Y1144" s="45"/>
      <c r="Z1144" s="45"/>
      <c r="AA1144" s="45"/>
      <c r="AB1144" s="45"/>
      <c r="AC1144" s="45"/>
      <c r="AD1144" s="45"/>
      <c r="AE1144" s="45"/>
      <c r="AF1144" s="45"/>
      <c r="AG1144" s="45"/>
      <c r="AH1144" s="45"/>
      <c r="AI1144" s="45"/>
      <c r="AJ1144" s="45"/>
      <c r="AK1144" s="45"/>
      <c r="AL1144" s="45"/>
      <c r="AM1144" s="45"/>
      <c r="AN1144" s="45"/>
      <c r="AO1144" s="45"/>
      <c r="AP1144" s="45"/>
      <c r="AQ1144" s="45"/>
      <c r="AR1144" s="45"/>
      <c r="AS1144" s="45"/>
      <c r="AT1144" s="45"/>
      <c r="AU1144" s="45"/>
      <c r="AV1144" s="45"/>
      <c r="AW1144" s="45"/>
      <c r="AX1144" s="45"/>
    </row>
    <row r="1145" ht="15.75" customHeight="1">
      <c r="A1145" s="45"/>
      <c r="B1145" s="45"/>
      <c r="C1145" s="46"/>
      <c r="D1145" s="45"/>
      <c r="E1145" s="47"/>
      <c r="F1145" s="45"/>
      <c r="G1145" s="45"/>
      <c r="H1145" s="45"/>
      <c r="I1145" s="45"/>
      <c r="J1145" s="45"/>
      <c r="K1145" s="45"/>
      <c r="L1145" s="45"/>
      <c r="M1145" s="45"/>
      <c r="N1145" s="45"/>
      <c r="O1145" s="45"/>
      <c r="P1145" s="45"/>
      <c r="Q1145" s="45"/>
      <c r="R1145" s="45"/>
      <c r="S1145" s="45"/>
      <c r="T1145" s="45"/>
      <c r="U1145" s="45"/>
      <c r="V1145" s="45"/>
      <c r="W1145" s="45"/>
      <c r="X1145" s="45"/>
      <c r="Y1145" s="45"/>
      <c r="Z1145" s="45"/>
      <c r="AA1145" s="45"/>
      <c r="AB1145" s="45"/>
      <c r="AC1145" s="45"/>
      <c r="AD1145" s="45"/>
      <c r="AE1145" s="45"/>
      <c r="AF1145" s="45"/>
      <c r="AG1145" s="45"/>
      <c r="AH1145" s="45"/>
      <c r="AI1145" s="45"/>
      <c r="AJ1145" s="45"/>
      <c r="AK1145" s="45"/>
      <c r="AL1145" s="45"/>
      <c r="AM1145" s="45"/>
      <c r="AN1145" s="45"/>
      <c r="AO1145" s="45"/>
      <c r="AP1145" s="45"/>
      <c r="AQ1145" s="45"/>
      <c r="AR1145" s="45"/>
      <c r="AS1145" s="45"/>
      <c r="AT1145" s="45"/>
      <c r="AU1145" s="45"/>
      <c r="AV1145" s="45"/>
      <c r="AW1145" s="45"/>
      <c r="AX1145" s="45"/>
    </row>
    <row r="1146" ht="15.75" customHeight="1">
      <c r="A1146" s="45"/>
      <c r="B1146" s="45"/>
      <c r="C1146" s="46"/>
      <c r="D1146" s="45"/>
      <c r="E1146" s="47"/>
      <c r="F1146" s="45"/>
      <c r="G1146" s="45"/>
      <c r="H1146" s="45"/>
      <c r="I1146" s="45"/>
      <c r="J1146" s="45"/>
      <c r="K1146" s="45"/>
      <c r="L1146" s="45"/>
      <c r="M1146" s="45"/>
      <c r="N1146" s="45"/>
      <c r="O1146" s="45"/>
      <c r="P1146" s="45"/>
      <c r="Q1146" s="45"/>
      <c r="R1146" s="45"/>
      <c r="S1146" s="45"/>
      <c r="T1146" s="45"/>
      <c r="U1146" s="45"/>
      <c r="V1146" s="45"/>
      <c r="W1146" s="45"/>
      <c r="X1146" s="45"/>
      <c r="Y1146" s="45"/>
      <c r="Z1146" s="45"/>
      <c r="AA1146" s="45"/>
      <c r="AB1146" s="45"/>
      <c r="AC1146" s="45"/>
      <c r="AD1146" s="45"/>
      <c r="AE1146" s="45"/>
      <c r="AF1146" s="45"/>
      <c r="AG1146" s="45"/>
      <c r="AH1146" s="45"/>
      <c r="AI1146" s="45"/>
      <c r="AJ1146" s="45"/>
      <c r="AK1146" s="45"/>
      <c r="AL1146" s="45"/>
      <c r="AM1146" s="45"/>
      <c r="AN1146" s="45"/>
      <c r="AO1146" s="45"/>
      <c r="AP1146" s="45"/>
      <c r="AQ1146" s="45"/>
      <c r="AR1146" s="45"/>
      <c r="AS1146" s="45"/>
      <c r="AT1146" s="45"/>
      <c r="AU1146" s="45"/>
      <c r="AV1146" s="45"/>
      <c r="AW1146" s="45"/>
      <c r="AX1146" s="45"/>
    </row>
    <row r="1147" ht="15.75" customHeight="1">
      <c r="A1147" s="45"/>
      <c r="B1147" s="45"/>
      <c r="C1147" s="46"/>
      <c r="D1147" s="45"/>
      <c r="E1147" s="47"/>
      <c r="F1147" s="45"/>
      <c r="G1147" s="45"/>
      <c r="H1147" s="45"/>
      <c r="I1147" s="45"/>
      <c r="J1147" s="45"/>
      <c r="K1147" s="45"/>
      <c r="L1147" s="45"/>
      <c r="M1147" s="45"/>
      <c r="N1147" s="45"/>
      <c r="O1147" s="45"/>
      <c r="P1147" s="45"/>
      <c r="Q1147" s="45"/>
      <c r="R1147" s="45"/>
      <c r="S1147" s="45"/>
      <c r="T1147" s="45"/>
      <c r="U1147" s="45"/>
      <c r="V1147" s="45"/>
      <c r="W1147" s="45"/>
      <c r="X1147" s="45"/>
      <c r="Y1147" s="45"/>
      <c r="Z1147" s="45"/>
      <c r="AA1147" s="45"/>
      <c r="AB1147" s="45"/>
      <c r="AC1147" s="45"/>
      <c r="AD1147" s="45"/>
      <c r="AE1147" s="45"/>
      <c r="AF1147" s="45"/>
      <c r="AG1147" s="45"/>
      <c r="AH1147" s="45"/>
      <c r="AI1147" s="45"/>
      <c r="AJ1147" s="45"/>
      <c r="AK1147" s="45"/>
      <c r="AL1147" s="45"/>
      <c r="AM1147" s="45"/>
      <c r="AN1147" s="45"/>
      <c r="AO1147" s="45"/>
      <c r="AP1147" s="45"/>
      <c r="AQ1147" s="45"/>
      <c r="AR1147" s="45"/>
      <c r="AS1147" s="45"/>
      <c r="AT1147" s="45"/>
      <c r="AU1147" s="45"/>
      <c r="AV1147" s="45"/>
      <c r="AW1147" s="45"/>
      <c r="AX1147" s="45"/>
    </row>
    <row r="1148" ht="15.75" customHeight="1">
      <c r="A1148" s="45"/>
      <c r="B1148" s="45"/>
      <c r="C1148" s="46"/>
      <c r="D1148" s="45"/>
      <c r="E1148" s="47"/>
      <c r="F1148" s="45"/>
      <c r="G1148" s="45"/>
      <c r="H1148" s="45"/>
      <c r="I1148" s="45"/>
      <c r="J1148" s="45"/>
      <c r="K1148" s="45"/>
      <c r="L1148" s="45"/>
      <c r="M1148" s="45"/>
      <c r="N1148" s="45"/>
      <c r="O1148" s="45"/>
      <c r="P1148" s="45"/>
      <c r="Q1148" s="45"/>
      <c r="R1148" s="45"/>
      <c r="S1148" s="45"/>
      <c r="T1148" s="45"/>
      <c r="U1148" s="45"/>
      <c r="V1148" s="45"/>
      <c r="W1148" s="45"/>
      <c r="X1148" s="45"/>
      <c r="Y1148" s="45"/>
      <c r="Z1148" s="45"/>
      <c r="AA1148" s="45"/>
      <c r="AB1148" s="45"/>
      <c r="AC1148" s="45"/>
      <c r="AD1148" s="45"/>
      <c r="AE1148" s="45"/>
      <c r="AF1148" s="45"/>
      <c r="AG1148" s="45"/>
      <c r="AH1148" s="45"/>
      <c r="AI1148" s="45"/>
      <c r="AJ1148" s="45"/>
      <c r="AK1148" s="45"/>
      <c r="AL1148" s="45"/>
      <c r="AM1148" s="45"/>
      <c r="AN1148" s="45"/>
      <c r="AO1148" s="45"/>
      <c r="AP1148" s="45"/>
      <c r="AQ1148" s="45"/>
      <c r="AR1148" s="45"/>
      <c r="AS1148" s="45"/>
      <c r="AT1148" s="45"/>
      <c r="AU1148" s="45"/>
      <c r="AV1148" s="45"/>
      <c r="AW1148" s="45"/>
      <c r="AX1148" s="45"/>
    </row>
    <row r="1149" ht="15.75" customHeight="1">
      <c r="A1149" s="45"/>
      <c r="B1149" s="45"/>
      <c r="C1149" s="46"/>
      <c r="D1149" s="45"/>
      <c r="E1149" s="47"/>
      <c r="F1149" s="45"/>
      <c r="G1149" s="45"/>
      <c r="H1149" s="45"/>
      <c r="I1149" s="45"/>
      <c r="J1149" s="45"/>
      <c r="K1149" s="45"/>
      <c r="L1149" s="45"/>
      <c r="M1149" s="45"/>
      <c r="N1149" s="45"/>
      <c r="O1149" s="45"/>
      <c r="P1149" s="45"/>
      <c r="Q1149" s="45"/>
      <c r="R1149" s="45"/>
      <c r="S1149" s="45"/>
      <c r="T1149" s="45"/>
      <c r="U1149" s="45"/>
      <c r="V1149" s="45"/>
      <c r="W1149" s="45"/>
      <c r="X1149" s="45"/>
      <c r="Y1149" s="45"/>
      <c r="Z1149" s="45"/>
      <c r="AA1149" s="45"/>
      <c r="AB1149" s="45"/>
      <c r="AC1149" s="45"/>
      <c r="AD1149" s="45"/>
      <c r="AE1149" s="45"/>
      <c r="AF1149" s="45"/>
      <c r="AG1149" s="45"/>
      <c r="AH1149" s="45"/>
      <c r="AI1149" s="45"/>
      <c r="AJ1149" s="45"/>
      <c r="AK1149" s="45"/>
      <c r="AL1149" s="45"/>
      <c r="AM1149" s="45"/>
      <c r="AN1149" s="45"/>
      <c r="AO1149" s="45"/>
      <c r="AP1149" s="45"/>
      <c r="AQ1149" s="45"/>
      <c r="AR1149" s="45"/>
      <c r="AS1149" s="45"/>
      <c r="AT1149" s="45"/>
      <c r="AU1149" s="45"/>
      <c r="AV1149" s="45"/>
      <c r="AW1149" s="45"/>
      <c r="AX1149" s="45"/>
    </row>
    <row r="1150" ht="15.75" customHeight="1">
      <c r="A1150" s="45"/>
      <c r="B1150" s="45"/>
      <c r="C1150" s="46"/>
      <c r="D1150" s="45"/>
      <c r="E1150" s="47"/>
      <c r="F1150" s="45"/>
      <c r="G1150" s="45"/>
      <c r="H1150" s="45"/>
      <c r="I1150" s="45"/>
      <c r="J1150" s="45"/>
      <c r="K1150" s="45"/>
      <c r="L1150" s="45"/>
      <c r="M1150" s="45"/>
      <c r="N1150" s="45"/>
      <c r="O1150" s="45"/>
      <c r="P1150" s="45"/>
      <c r="Q1150" s="45"/>
      <c r="R1150" s="45"/>
      <c r="S1150" s="45"/>
      <c r="T1150" s="45"/>
      <c r="U1150" s="45"/>
      <c r="V1150" s="45"/>
      <c r="W1150" s="45"/>
      <c r="X1150" s="45"/>
      <c r="Y1150" s="45"/>
      <c r="Z1150" s="45"/>
      <c r="AA1150" s="45"/>
      <c r="AB1150" s="45"/>
      <c r="AC1150" s="45"/>
      <c r="AD1150" s="45"/>
      <c r="AE1150" s="45"/>
      <c r="AF1150" s="45"/>
      <c r="AG1150" s="45"/>
      <c r="AH1150" s="45"/>
      <c r="AI1150" s="45"/>
      <c r="AJ1150" s="45"/>
      <c r="AK1150" s="45"/>
      <c r="AL1150" s="45"/>
      <c r="AM1150" s="45"/>
      <c r="AN1150" s="45"/>
      <c r="AO1150" s="45"/>
      <c r="AP1150" s="45"/>
      <c r="AQ1150" s="45"/>
      <c r="AR1150" s="45"/>
      <c r="AS1150" s="45"/>
      <c r="AT1150" s="45"/>
      <c r="AU1150" s="45"/>
      <c r="AV1150" s="45"/>
      <c r="AW1150" s="45"/>
      <c r="AX1150" s="45"/>
    </row>
    <row r="1151" ht="15.75" customHeight="1">
      <c r="A1151" s="45"/>
      <c r="B1151" s="45"/>
      <c r="C1151" s="46"/>
      <c r="D1151" s="45"/>
      <c r="E1151" s="47"/>
      <c r="F1151" s="45"/>
      <c r="G1151" s="45"/>
      <c r="H1151" s="45"/>
      <c r="I1151" s="45"/>
      <c r="J1151" s="45"/>
      <c r="K1151" s="45"/>
      <c r="L1151" s="45"/>
      <c r="M1151" s="45"/>
      <c r="N1151" s="45"/>
      <c r="O1151" s="45"/>
      <c r="P1151" s="45"/>
      <c r="Q1151" s="45"/>
      <c r="R1151" s="45"/>
      <c r="S1151" s="45"/>
      <c r="T1151" s="45"/>
      <c r="U1151" s="45"/>
      <c r="V1151" s="45"/>
      <c r="W1151" s="45"/>
      <c r="X1151" s="45"/>
      <c r="Y1151" s="45"/>
      <c r="Z1151" s="45"/>
      <c r="AA1151" s="45"/>
      <c r="AB1151" s="45"/>
      <c r="AC1151" s="45"/>
      <c r="AD1151" s="45"/>
      <c r="AE1151" s="45"/>
      <c r="AF1151" s="45"/>
      <c r="AG1151" s="45"/>
      <c r="AH1151" s="45"/>
      <c r="AI1151" s="45"/>
      <c r="AJ1151" s="45"/>
      <c r="AK1151" s="45"/>
      <c r="AL1151" s="45"/>
      <c r="AM1151" s="45"/>
      <c r="AN1151" s="45"/>
      <c r="AO1151" s="45"/>
      <c r="AP1151" s="45"/>
      <c r="AQ1151" s="45"/>
      <c r="AR1151" s="45"/>
      <c r="AS1151" s="45"/>
      <c r="AT1151" s="45"/>
      <c r="AU1151" s="45"/>
      <c r="AV1151" s="45"/>
      <c r="AW1151" s="45"/>
      <c r="AX1151" s="45"/>
    </row>
    <row r="1152" ht="15.75" customHeight="1">
      <c r="A1152" s="45"/>
      <c r="B1152" s="45"/>
      <c r="C1152" s="46"/>
      <c r="D1152" s="45"/>
      <c r="E1152" s="47"/>
      <c r="F1152" s="45"/>
      <c r="G1152" s="45"/>
      <c r="H1152" s="45"/>
      <c r="I1152" s="45"/>
      <c r="J1152" s="45"/>
      <c r="K1152" s="45"/>
      <c r="L1152" s="45"/>
      <c r="M1152" s="45"/>
      <c r="N1152" s="45"/>
      <c r="O1152" s="45"/>
      <c r="P1152" s="45"/>
      <c r="Q1152" s="45"/>
      <c r="R1152" s="45"/>
      <c r="S1152" s="45"/>
      <c r="T1152" s="45"/>
      <c r="U1152" s="45"/>
      <c r="V1152" s="45"/>
      <c r="W1152" s="45"/>
      <c r="X1152" s="45"/>
      <c r="Y1152" s="45"/>
      <c r="Z1152" s="45"/>
      <c r="AA1152" s="45"/>
      <c r="AB1152" s="45"/>
      <c r="AC1152" s="45"/>
      <c r="AD1152" s="45"/>
      <c r="AE1152" s="45"/>
      <c r="AF1152" s="45"/>
      <c r="AG1152" s="45"/>
      <c r="AH1152" s="45"/>
      <c r="AI1152" s="45"/>
      <c r="AJ1152" s="45"/>
      <c r="AK1152" s="45"/>
      <c r="AL1152" s="45"/>
      <c r="AM1152" s="45"/>
      <c r="AN1152" s="45"/>
      <c r="AO1152" s="45"/>
      <c r="AP1152" s="45"/>
      <c r="AQ1152" s="45"/>
      <c r="AR1152" s="45"/>
      <c r="AS1152" s="45"/>
      <c r="AT1152" s="45"/>
      <c r="AU1152" s="45"/>
      <c r="AV1152" s="45"/>
      <c r="AW1152" s="45"/>
      <c r="AX1152" s="45"/>
    </row>
    <row r="1153" ht="15.75" customHeight="1">
      <c r="A1153" s="45"/>
      <c r="B1153" s="45"/>
      <c r="C1153" s="46"/>
      <c r="D1153" s="45"/>
      <c r="E1153" s="47"/>
      <c r="F1153" s="45"/>
      <c r="G1153" s="45"/>
      <c r="H1153" s="45"/>
      <c r="I1153" s="45"/>
      <c r="J1153" s="45"/>
      <c r="K1153" s="45"/>
      <c r="L1153" s="45"/>
      <c r="M1153" s="45"/>
      <c r="N1153" s="45"/>
      <c r="O1153" s="45"/>
      <c r="P1153" s="45"/>
      <c r="Q1153" s="45"/>
      <c r="R1153" s="45"/>
      <c r="S1153" s="45"/>
      <c r="T1153" s="45"/>
      <c r="U1153" s="45"/>
      <c r="V1153" s="45"/>
      <c r="W1153" s="45"/>
      <c r="X1153" s="45"/>
      <c r="Y1153" s="45"/>
      <c r="Z1153" s="45"/>
      <c r="AA1153" s="45"/>
      <c r="AB1153" s="45"/>
      <c r="AC1153" s="45"/>
      <c r="AD1153" s="45"/>
      <c r="AE1153" s="45"/>
      <c r="AF1153" s="45"/>
      <c r="AG1153" s="45"/>
      <c r="AH1153" s="45"/>
      <c r="AI1153" s="45"/>
      <c r="AJ1153" s="45"/>
      <c r="AK1153" s="45"/>
      <c r="AL1153" s="45"/>
      <c r="AM1153" s="45"/>
      <c r="AN1153" s="45"/>
      <c r="AO1153" s="45"/>
      <c r="AP1153" s="45"/>
      <c r="AQ1153" s="45"/>
      <c r="AR1153" s="45"/>
      <c r="AS1153" s="45"/>
      <c r="AT1153" s="45"/>
      <c r="AU1153" s="45"/>
      <c r="AV1153" s="45"/>
      <c r="AW1153" s="45"/>
      <c r="AX1153" s="45"/>
    </row>
    <row r="1154" ht="15.75" customHeight="1">
      <c r="A1154" s="45"/>
      <c r="B1154" s="45"/>
      <c r="C1154" s="46"/>
      <c r="D1154" s="45"/>
      <c r="E1154" s="47"/>
      <c r="F1154" s="45"/>
      <c r="G1154" s="45"/>
      <c r="H1154" s="45"/>
      <c r="I1154" s="45"/>
      <c r="J1154" s="45"/>
      <c r="K1154" s="45"/>
      <c r="L1154" s="45"/>
      <c r="M1154" s="45"/>
      <c r="N1154" s="45"/>
      <c r="O1154" s="45"/>
      <c r="P1154" s="45"/>
      <c r="Q1154" s="45"/>
      <c r="R1154" s="45"/>
      <c r="S1154" s="45"/>
      <c r="T1154" s="45"/>
      <c r="U1154" s="45"/>
      <c r="V1154" s="45"/>
      <c r="W1154" s="45"/>
      <c r="X1154" s="45"/>
      <c r="Y1154" s="45"/>
      <c r="Z1154" s="45"/>
      <c r="AA1154" s="45"/>
      <c r="AB1154" s="45"/>
      <c r="AC1154" s="45"/>
      <c r="AD1154" s="45"/>
      <c r="AE1154" s="45"/>
      <c r="AF1154" s="45"/>
      <c r="AG1154" s="45"/>
      <c r="AH1154" s="45"/>
      <c r="AI1154" s="45"/>
      <c r="AJ1154" s="45"/>
      <c r="AK1154" s="45"/>
      <c r="AL1154" s="45"/>
      <c r="AM1154" s="45"/>
      <c r="AN1154" s="45"/>
      <c r="AO1154" s="45"/>
      <c r="AP1154" s="45"/>
      <c r="AQ1154" s="45"/>
      <c r="AR1154" s="45"/>
      <c r="AS1154" s="45"/>
      <c r="AT1154" s="45"/>
      <c r="AU1154" s="45"/>
      <c r="AV1154" s="45"/>
      <c r="AW1154" s="45"/>
      <c r="AX1154" s="45"/>
    </row>
    <row r="1155" ht="15.75" customHeight="1">
      <c r="A1155" s="45"/>
      <c r="B1155" s="45"/>
      <c r="C1155" s="46"/>
      <c r="D1155" s="45"/>
      <c r="E1155" s="47"/>
      <c r="F1155" s="45"/>
      <c r="G1155" s="45"/>
      <c r="H1155" s="45"/>
      <c r="I1155" s="45"/>
      <c r="J1155" s="45"/>
      <c r="K1155" s="45"/>
      <c r="L1155" s="45"/>
      <c r="M1155" s="45"/>
      <c r="N1155" s="45"/>
      <c r="O1155" s="45"/>
      <c r="P1155" s="45"/>
      <c r="Q1155" s="45"/>
      <c r="R1155" s="45"/>
      <c r="S1155" s="45"/>
      <c r="T1155" s="45"/>
      <c r="U1155" s="45"/>
      <c r="V1155" s="45"/>
      <c r="W1155" s="45"/>
      <c r="X1155" s="45"/>
      <c r="Y1155" s="45"/>
      <c r="Z1155" s="45"/>
      <c r="AA1155" s="45"/>
      <c r="AB1155" s="45"/>
      <c r="AC1155" s="45"/>
      <c r="AD1155" s="45"/>
      <c r="AE1155" s="45"/>
      <c r="AF1155" s="45"/>
      <c r="AG1155" s="45"/>
      <c r="AH1155" s="45"/>
      <c r="AI1155" s="45"/>
      <c r="AJ1155" s="45"/>
      <c r="AK1155" s="45"/>
      <c r="AL1155" s="45"/>
      <c r="AM1155" s="45"/>
      <c r="AN1155" s="45"/>
      <c r="AO1155" s="45"/>
      <c r="AP1155" s="45"/>
      <c r="AQ1155" s="45"/>
      <c r="AR1155" s="45"/>
      <c r="AS1155" s="45"/>
      <c r="AT1155" s="45"/>
      <c r="AU1155" s="45"/>
      <c r="AV1155" s="45"/>
      <c r="AW1155" s="45"/>
      <c r="AX1155" s="45"/>
    </row>
    <row r="1156" ht="15.75" customHeight="1">
      <c r="A1156" s="45"/>
      <c r="B1156" s="45"/>
      <c r="C1156" s="46"/>
      <c r="D1156" s="45"/>
      <c r="E1156" s="47"/>
      <c r="F1156" s="45"/>
      <c r="G1156" s="45"/>
      <c r="H1156" s="45"/>
      <c r="I1156" s="45"/>
      <c r="J1156" s="45"/>
      <c r="K1156" s="45"/>
      <c r="L1156" s="45"/>
      <c r="M1156" s="45"/>
      <c r="N1156" s="45"/>
      <c r="O1156" s="45"/>
      <c r="P1156" s="45"/>
      <c r="Q1156" s="45"/>
      <c r="R1156" s="45"/>
      <c r="S1156" s="45"/>
      <c r="T1156" s="45"/>
      <c r="U1156" s="45"/>
      <c r="V1156" s="45"/>
      <c r="W1156" s="45"/>
      <c r="X1156" s="45"/>
      <c r="Y1156" s="45"/>
      <c r="Z1156" s="45"/>
      <c r="AA1156" s="45"/>
      <c r="AB1156" s="45"/>
      <c r="AC1156" s="45"/>
      <c r="AD1156" s="45"/>
      <c r="AE1156" s="45"/>
      <c r="AF1156" s="45"/>
      <c r="AG1156" s="45"/>
      <c r="AH1156" s="45"/>
      <c r="AI1156" s="45"/>
      <c r="AJ1156" s="45"/>
      <c r="AK1156" s="45"/>
      <c r="AL1156" s="45"/>
      <c r="AM1156" s="45"/>
      <c r="AN1156" s="45"/>
      <c r="AO1156" s="45"/>
      <c r="AP1156" s="45"/>
      <c r="AQ1156" s="45"/>
      <c r="AR1156" s="45"/>
      <c r="AS1156" s="45"/>
      <c r="AT1156" s="45"/>
      <c r="AU1156" s="45"/>
      <c r="AV1156" s="45"/>
      <c r="AW1156" s="45"/>
      <c r="AX1156" s="45"/>
    </row>
    <row r="1157" ht="15.75" customHeight="1">
      <c r="A1157" s="45"/>
      <c r="B1157" s="45"/>
      <c r="C1157" s="46"/>
      <c r="D1157" s="45"/>
      <c r="E1157" s="47"/>
      <c r="F1157" s="45"/>
      <c r="G1157" s="45"/>
      <c r="H1157" s="45"/>
      <c r="I1157" s="45"/>
      <c r="J1157" s="45"/>
      <c r="K1157" s="45"/>
      <c r="L1157" s="45"/>
      <c r="M1157" s="45"/>
      <c r="N1157" s="45"/>
      <c r="O1157" s="45"/>
      <c r="P1157" s="45"/>
      <c r="Q1157" s="45"/>
      <c r="R1157" s="45"/>
      <c r="S1157" s="45"/>
      <c r="T1157" s="45"/>
      <c r="U1157" s="45"/>
      <c r="V1157" s="45"/>
      <c r="W1157" s="45"/>
      <c r="X1157" s="45"/>
      <c r="Y1157" s="45"/>
      <c r="Z1157" s="45"/>
      <c r="AA1157" s="45"/>
      <c r="AB1157" s="45"/>
      <c r="AC1157" s="45"/>
      <c r="AD1157" s="45"/>
      <c r="AE1157" s="45"/>
      <c r="AF1157" s="45"/>
      <c r="AG1157" s="45"/>
      <c r="AH1157" s="45"/>
      <c r="AI1157" s="45"/>
      <c r="AJ1157" s="45"/>
      <c r="AK1157" s="45"/>
      <c r="AL1157" s="45"/>
      <c r="AM1157" s="45"/>
      <c r="AN1157" s="45"/>
      <c r="AO1157" s="45"/>
      <c r="AP1157" s="45"/>
      <c r="AQ1157" s="45"/>
      <c r="AR1157" s="45"/>
      <c r="AS1157" s="45"/>
      <c r="AT1157" s="45"/>
      <c r="AU1157" s="45"/>
      <c r="AV1157" s="45"/>
      <c r="AW1157" s="45"/>
      <c r="AX1157" s="45"/>
    </row>
    <row r="1158" ht="15.75" customHeight="1">
      <c r="A1158" s="45"/>
      <c r="B1158" s="45"/>
      <c r="C1158" s="46"/>
      <c r="D1158" s="45"/>
      <c r="E1158" s="47"/>
      <c r="F1158" s="45"/>
      <c r="G1158" s="45"/>
      <c r="H1158" s="45"/>
      <c r="I1158" s="45"/>
      <c r="J1158" s="45"/>
      <c r="K1158" s="45"/>
      <c r="L1158" s="45"/>
      <c r="M1158" s="45"/>
      <c r="N1158" s="45"/>
      <c r="O1158" s="45"/>
      <c r="P1158" s="45"/>
      <c r="Q1158" s="45"/>
      <c r="R1158" s="45"/>
      <c r="S1158" s="45"/>
      <c r="T1158" s="45"/>
      <c r="U1158" s="45"/>
      <c r="V1158" s="45"/>
      <c r="W1158" s="45"/>
      <c r="X1158" s="45"/>
      <c r="Y1158" s="45"/>
      <c r="Z1158" s="45"/>
      <c r="AA1158" s="45"/>
      <c r="AB1158" s="45"/>
      <c r="AC1158" s="45"/>
      <c r="AD1158" s="45"/>
      <c r="AE1158" s="45"/>
      <c r="AF1158" s="45"/>
      <c r="AG1158" s="45"/>
      <c r="AH1158" s="45"/>
      <c r="AI1158" s="45"/>
      <c r="AJ1158" s="45"/>
      <c r="AK1158" s="45"/>
      <c r="AL1158" s="45"/>
      <c r="AM1158" s="45"/>
      <c r="AN1158" s="45"/>
      <c r="AO1158" s="45"/>
      <c r="AP1158" s="45"/>
      <c r="AQ1158" s="45"/>
      <c r="AR1158" s="45"/>
      <c r="AS1158" s="45"/>
      <c r="AT1158" s="45"/>
      <c r="AU1158" s="45"/>
      <c r="AV1158" s="45"/>
      <c r="AW1158" s="45"/>
      <c r="AX1158" s="45"/>
    </row>
    <row r="1159" ht="15.75" customHeight="1">
      <c r="A1159" s="45"/>
      <c r="B1159" s="45"/>
      <c r="C1159" s="46"/>
      <c r="D1159" s="45"/>
      <c r="E1159" s="47"/>
      <c r="F1159" s="45"/>
      <c r="G1159" s="45"/>
      <c r="H1159" s="45"/>
      <c r="I1159" s="45"/>
      <c r="J1159" s="45"/>
      <c r="K1159" s="45"/>
      <c r="L1159" s="45"/>
      <c r="M1159" s="45"/>
      <c r="N1159" s="45"/>
      <c r="O1159" s="45"/>
      <c r="P1159" s="45"/>
      <c r="Q1159" s="45"/>
      <c r="R1159" s="45"/>
      <c r="S1159" s="45"/>
      <c r="T1159" s="45"/>
      <c r="U1159" s="45"/>
      <c r="V1159" s="45"/>
      <c r="W1159" s="45"/>
      <c r="X1159" s="45"/>
      <c r="Y1159" s="45"/>
      <c r="Z1159" s="45"/>
      <c r="AA1159" s="45"/>
      <c r="AB1159" s="45"/>
      <c r="AC1159" s="45"/>
      <c r="AD1159" s="45"/>
      <c r="AE1159" s="45"/>
      <c r="AF1159" s="45"/>
      <c r="AG1159" s="45"/>
      <c r="AH1159" s="45"/>
      <c r="AI1159" s="45"/>
      <c r="AJ1159" s="45"/>
      <c r="AK1159" s="45"/>
      <c r="AL1159" s="45"/>
      <c r="AM1159" s="45"/>
      <c r="AN1159" s="45"/>
      <c r="AO1159" s="45"/>
      <c r="AP1159" s="45"/>
      <c r="AQ1159" s="45"/>
      <c r="AR1159" s="45"/>
      <c r="AS1159" s="45"/>
      <c r="AT1159" s="45"/>
      <c r="AU1159" s="45"/>
      <c r="AV1159" s="45"/>
      <c r="AW1159" s="45"/>
      <c r="AX1159" s="45"/>
    </row>
    <row r="1160" ht="15.75" customHeight="1">
      <c r="A1160" s="45"/>
      <c r="B1160" s="45"/>
      <c r="C1160" s="46"/>
      <c r="D1160" s="45"/>
      <c r="E1160" s="47"/>
      <c r="F1160" s="45"/>
      <c r="G1160" s="45"/>
      <c r="H1160" s="45"/>
      <c r="I1160" s="45"/>
      <c r="J1160" s="45"/>
      <c r="K1160" s="45"/>
      <c r="L1160" s="45"/>
      <c r="M1160" s="45"/>
      <c r="N1160" s="45"/>
      <c r="O1160" s="45"/>
      <c r="P1160" s="45"/>
      <c r="Q1160" s="45"/>
      <c r="R1160" s="45"/>
      <c r="S1160" s="45"/>
      <c r="T1160" s="45"/>
      <c r="U1160" s="45"/>
      <c r="V1160" s="45"/>
      <c r="W1160" s="45"/>
      <c r="X1160" s="45"/>
      <c r="Y1160" s="45"/>
      <c r="Z1160" s="45"/>
      <c r="AA1160" s="45"/>
      <c r="AB1160" s="45"/>
      <c r="AC1160" s="45"/>
      <c r="AD1160" s="45"/>
      <c r="AE1160" s="45"/>
      <c r="AF1160" s="45"/>
      <c r="AG1160" s="45"/>
      <c r="AH1160" s="45"/>
      <c r="AI1160" s="45"/>
      <c r="AJ1160" s="45"/>
      <c r="AK1160" s="45"/>
      <c r="AL1160" s="45"/>
      <c r="AM1160" s="45"/>
      <c r="AN1160" s="45"/>
      <c r="AO1160" s="45"/>
      <c r="AP1160" s="45"/>
      <c r="AQ1160" s="45"/>
      <c r="AR1160" s="45"/>
      <c r="AS1160" s="45"/>
      <c r="AT1160" s="45"/>
      <c r="AU1160" s="45"/>
      <c r="AV1160" s="45"/>
      <c r="AW1160" s="45"/>
      <c r="AX1160" s="45"/>
    </row>
    <row r="1161" ht="15.75" customHeight="1">
      <c r="A1161" s="45"/>
      <c r="B1161" s="45"/>
      <c r="C1161" s="46"/>
      <c r="D1161" s="45"/>
      <c r="E1161" s="47"/>
      <c r="F1161" s="45"/>
      <c r="G1161" s="45"/>
      <c r="H1161" s="45"/>
      <c r="I1161" s="45"/>
      <c r="J1161" s="45"/>
      <c r="K1161" s="45"/>
      <c r="L1161" s="45"/>
      <c r="M1161" s="45"/>
      <c r="N1161" s="45"/>
      <c r="O1161" s="45"/>
      <c r="P1161" s="45"/>
      <c r="Q1161" s="45"/>
      <c r="R1161" s="45"/>
      <c r="S1161" s="45"/>
      <c r="T1161" s="45"/>
      <c r="U1161" s="45"/>
      <c r="V1161" s="45"/>
      <c r="W1161" s="45"/>
      <c r="X1161" s="45"/>
      <c r="Y1161" s="45"/>
      <c r="Z1161" s="45"/>
      <c r="AA1161" s="45"/>
      <c r="AB1161" s="45"/>
      <c r="AC1161" s="45"/>
      <c r="AD1161" s="45"/>
      <c r="AE1161" s="45"/>
      <c r="AF1161" s="45"/>
      <c r="AG1161" s="45"/>
      <c r="AH1161" s="45"/>
      <c r="AI1161" s="45"/>
      <c r="AJ1161" s="45"/>
      <c r="AK1161" s="45"/>
      <c r="AL1161" s="45"/>
      <c r="AM1161" s="45"/>
      <c r="AN1161" s="45"/>
      <c r="AO1161" s="45"/>
      <c r="AP1161" s="45"/>
      <c r="AQ1161" s="45"/>
      <c r="AR1161" s="45"/>
      <c r="AS1161" s="45"/>
      <c r="AT1161" s="45"/>
      <c r="AU1161" s="45"/>
      <c r="AV1161" s="45"/>
      <c r="AW1161" s="45"/>
      <c r="AX1161" s="45"/>
    </row>
    <row r="1162" ht="15.75" customHeight="1">
      <c r="A1162" s="45"/>
      <c r="B1162" s="45"/>
      <c r="C1162" s="46"/>
      <c r="D1162" s="45"/>
      <c r="E1162" s="47"/>
      <c r="F1162" s="45"/>
      <c r="G1162" s="45"/>
      <c r="H1162" s="45"/>
      <c r="I1162" s="45"/>
      <c r="J1162" s="45"/>
      <c r="K1162" s="45"/>
      <c r="L1162" s="45"/>
      <c r="M1162" s="45"/>
      <c r="N1162" s="45"/>
      <c r="O1162" s="45"/>
      <c r="P1162" s="45"/>
      <c r="Q1162" s="45"/>
      <c r="R1162" s="45"/>
      <c r="S1162" s="45"/>
      <c r="T1162" s="45"/>
      <c r="U1162" s="45"/>
      <c r="V1162" s="45"/>
      <c r="W1162" s="45"/>
      <c r="X1162" s="45"/>
      <c r="Y1162" s="45"/>
      <c r="Z1162" s="45"/>
      <c r="AA1162" s="45"/>
      <c r="AB1162" s="45"/>
      <c r="AC1162" s="45"/>
      <c r="AD1162" s="45"/>
      <c r="AE1162" s="45"/>
      <c r="AF1162" s="45"/>
      <c r="AG1162" s="45"/>
      <c r="AH1162" s="45"/>
      <c r="AI1162" s="45"/>
      <c r="AJ1162" s="45"/>
      <c r="AK1162" s="45"/>
      <c r="AL1162" s="45"/>
      <c r="AM1162" s="45"/>
      <c r="AN1162" s="45"/>
      <c r="AO1162" s="45"/>
      <c r="AP1162" s="45"/>
      <c r="AQ1162" s="45"/>
      <c r="AR1162" s="45"/>
      <c r="AS1162" s="45"/>
      <c r="AT1162" s="45"/>
      <c r="AU1162" s="45"/>
      <c r="AV1162" s="45"/>
      <c r="AW1162" s="45"/>
      <c r="AX1162" s="45"/>
    </row>
    <row r="1163" ht="15.75" customHeight="1">
      <c r="A1163" s="45"/>
      <c r="B1163" s="45"/>
      <c r="C1163" s="46"/>
      <c r="D1163" s="45"/>
      <c r="E1163" s="47"/>
      <c r="F1163" s="45"/>
      <c r="G1163" s="45"/>
      <c r="H1163" s="45"/>
      <c r="I1163" s="45"/>
      <c r="J1163" s="45"/>
      <c r="K1163" s="45"/>
      <c r="L1163" s="45"/>
      <c r="M1163" s="45"/>
      <c r="N1163" s="45"/>
      <c r="O1163" s="45"/>
      <c r="P1163" s="45"/>
      <c r="Q1163" s="45"/>
      <c r="R1163" s="45"/>
      <c r="S1163" s="45"/>
      <c r="T1163" s="45"/>
      <c r="U1163" s="45"/>
      <c r="V1163" s="45"/>
      <c r="W1163" s="45"/>
      <c r="X1163" s="45"/>
      <c r="Y1163" s="45"/>
      <c r="Z1163" s="45"/>
      <c r="AA1163" s="45"/>
      <c r="AB1163" s="45"/>
      <c r="AC1163" s="45"/>
      <c r="AD1163" s="45"/>
      <c r="AE1163" s="45"/>
      <c r="AF1163" s="45"/>
      <c r="AG1163" s="45"/>
      <c r="AH1163" s="45"/>
      <c r="AI1163" s="45"/>
      <c r="AJ1163" s="45"/>
      <c r="AK1163" s="45"/>
      <c r="AL1163" s="45"/>
      <c r="AM1163" s="45"/>
      <c r="AN1163" s="45"/>
      <c r="AO1163" s="45"/>
      <c r="AP1163" s="45"/>
      <c r="AQ1163" s="45"/>
      <c r="AR1163" s="45"/>
      <c r="AS1163" s="45"/>
      <c r="AT1163" s="45"/>
      <c r="AU1163" s="45"/>
      <c r="AV1163" s="45"/>
      <c r="AW1163" s="45"/>
      <c r="AX1163" s="45"/>
    </row>
    <row r="1164" ht="15.75" customHeight="1">
      <c r="A1164" s="45"/>
      <c r="B1164" s="45"/>
      <c r="C1164" s="46"/>
      <c r="D1164" s="45"/>
      <c r="E1164" s="47"/>
      <c r="F1164" s="45"/>
      <c r="G1164" s="45"/>
      <c r="H1164" s="45"/>
      <c r="I1164" s="45"/>
      <c r="J1164" s="45"/>
      <c r="K1164" s="45"/>
      <c r="L1164" s="45"/>
      <c r="M1164" s="45"/>
      <c r="N1164" s="45"/>
      <c r="O1164" s="45"/>
      <c r="P1164" s="45"/>
      <c r="Q1164" s="45"/>
      <c r="R1164" s="45"/>
      <c r="S1164" s="45"/>
      <c r="T1164" s="45"/>
      <c r="U1164" s="45"/>
      <c r="V1164" s="45"/>
      <c r="W1164" s="45"/>
      <c r="X1164" s="45"/>
      <c r="Y1164" s="45"/>
      <c r="Z1164" s="45"/>
      <c r="AA1164" s="45"/>
      <c r="AB1164" s="45"/>
      <c r="AC1164" s="45"/>
      <c r="AD1164" s="45"/>
      <c r="AE1164" s="45"/>
      <c r="AF1164" s="45"/>
      <c r="AG1164" s="45"/>
      <c r="AH1164" s="45"/>
      <c r="AI1164" s="45"/>
      <c r="AJ1164" s="45"/>
      <c r="AK1164" s="45"/>
      <c r="AL1164" s="45"/>
      <c r="AM1164" s="45"/>
      <c r="AN1164" s="45"/>
      <c r="AO1164" s="45"/>
      <c r="AP1164" s="45"/>
      <c r="AQ1164" s="45"/>
      <c r="AR1164" s="45"/>
      <c r="AS1164" s="45"/>
      <c r="AT1164" s="45"/>
      <c r="AU1164" s="45"/>
      <c r="AV1164" s="45"/>
      <c r="AW1164" s="45"/>
      <c r="AX1164" s="45"/>
    </row>
    <row r="1165" ht="15.75" customHeight="1">
      <c r="A1165" s="45"/>
      <c r="B1165" s="45"/>
      <c r="C1165" s="46"/>
      <c r="D1165" s="45"/>
      <c r="E1165" s="47"/>
      <c r="F1165" s="45"/>
      <c r="G1165" s="45"/>
      <c r="H1165" s="45"/>
      <c r="I1165" s="45"/>
      <c r="J1165" s="45"/>
      <c r="K1165" s="45"/>
      <c r="L1165" s="45"/>
      <c r="M1165" s="45"/>
      <c r="N1165" s="45"/>
      <c r="O1165" s="45"/>
      <c r="P1165" s="45"/>
      <c r="Q1165" s="45"/>
      <c r="R1165" s="45"/>
      <c r="S1165" s="45"/>
      <c r="T1165" s="45"/>
      <c r="U1165" s="45"/>
      <c r="V1165" s="45"/>
      <c r="W1165" s="45"/>
      <c r="X1165" s="45"/>
      <c r="Y1165" s="45"/>
      <c r="Z1165" s="45"/>
      <c r="AA1165" s="45"/>
      <c r="AB1165" s="45"/>
      <c r="AC1165" s="45"/>
      <c r="AD1165" s="45"/>
      <c r="AE1165" s="45"/>
      <c r="AF1165" s="45"/>
      <c r="AG1165" s="45"/>
      <c r="AH1165" s="45"/>
      <c r="AI1165" s="45"/>
      <c r="AJ1165" s="45"/>
      <c r="AK1165" s="45"/>
      <c r="AL1165" s="45"/>
      <c r="AM1165" s="45"/>
      <c r="AN1165" s="45"/>
      <c r="AO1165" s="45"/>
      <c r="AP1165" s="45"/>
      <c r="AQ1165" s="45"/>
      <c r="AR1165" s="45"/>
      <c r="AS1165" s="45"/>
      <c r="AT1165" s="45"/>
      <c r="AU1165" s="45"/>
      <c r="AV1165" s="45"/>
      <c r="AW1165" s="45"/>
      <c r="AX1165" s="45"/>
    </row>
    <row r="1166" ht="15.75" customHeight="1">
      <c r="A1166" s="45"/>
      <c r="B1166" s="45"/>
      <c r="C1166" s="46"/>
      <c r="D1166" s="45"/>
      <c r="E1166" s="47"/>
      <c r="F1166" s="45"/>
      <c r="G1166" s="45"/>
      <c r="H1166" s="45"/>
      <c r="I1166" s="45"/>
      <c r="J1166" s="45"/>
      <c r="K1166" s="45"/>
      <c r="L1166" s="45"/>
      <c r="M1166" s="45"/>
      <c r="N1166" s="45"/>
      <c r="O1166" s="45"/>
      <c r="P1166" s="45"/>
      <c r="Q1166" s="45"/>
      <c r="R1166" s="45"/>
      <c r="S1166" s="45"/>
      <c r="T1166" s="45"/>
      <c r="U1166" s="45"/>
      <c r="V1166" s="45"/>
      <c r="W1166" s="45"/>
      <c r="X1166" s="45"/>
      <c r="Y1166" s="45"/>
      <c r="Z1166" s="45"/>
      <c r="AA1166" s="45"/>
      <c r="AB1166" s="45"/>
      <c r="AC1166" s="45"/>
      <c r="AD1166" s="45"/>
      <c r="AE1166" s="45"/>
      <c r="AF1166" s="45"/>
      <c r="AG1166" s="45"/>
      <c r="AH1166" s="45"/>
      <c r="AI1166" s="45"/>
      <c r="AJ1166" s="45"/>
      <c r="AK1166" s="45"/>
      <c r="AL1166" s="45"/>
      <c r="AM1166" s="45"/>
      <c r="AN1166" s="45"/>
      <c r="AO1166" s="45"/>
      <c r="AP1166" s="45"/>
      <c r="AQ1166" s="45"/>
      <c r="AR1166" s="45"/>
      <c r="AS1166" s="45"/>
      <c r="AT1166" s="45"/>
      <c r="AU1166" s="45"/>
      <c r="AV1166" s="45"/>
      <c r="AW1166" s="45"/>
      <c r="AX1166" s="45"/>
    </row>
    <row r="1167" ht="15.75" customHeight="1">
      <c r="A1167" s="45"/>
      <c r="B1167" s="45"/>
      <c r="C1167" s="46"/>
      <c r="D1167" s="45"/>
      <c r="E1167" s="47"/>
      <c r="F1167" s="45"/>
      <c r="G1167" s="45"/>
      <c r="H1167" s="45"/>
      <c r="I1167" s="45"/>
      <c r="J1167" s="45"/>
      <c r="K1167" s="45"/>
      <c r="L1167" s="45"/>
      <c r="M1167" s="45"/>
      <c r="N1167" s="45"/>
      <c r="O1167" s="45"/>
      <c r="P1167" s="45"/>
      <c r="Q1167" s="45"/>
      <c r="R1167" s="45"/>
      <c r="S1167" s="45"/>
      <c r="T1167" s="45"/>
      <c r="U1167" s="45"/>
      <c r="V1167" s="45"/>
      <c r="W1167" s="45"/>
      <c r="X1167" s="45"/>
      <c r="Y1167" s="45"/>
      <c r="Z1167" s="45"/>
      <c r="AA1167" s="45"/>
      <c r="AB1167" s="45"/>
      <c r="AC1167" s="45"/>
      <c r="AD1167" s="45"/>
      <c r="AE1167" s="45"/>
      <c r="AF1167" s="45"/>
      <c r="AG1167" s="45"/>
      <c r="AH1167" s="45"/>
      <c r="AI1167" s="45"/>
      <c r="AJ1167" s="45"/>
      <c r="AK1167" s="45"/>
      <c r="AL1167" s="45"/>
      <c r="AM1167" s="45"/>
      <c r="AN1167" s="45"/>
      <c r="AO1167" s="45"/>
      <c r="AP1167" s="45"/>
      <c r="AQ1167" s="45"/>
      <c r="AR1167" s="45"/>
      <c r="AS1167" s="45"/>
      <c r="AT1167" s="45"/>
      <c r="AU1167" s="45"/>
      <c r="AV1167" s="45"/>
      <c r="AW1167" s="45"/>
      <c r="AX1167" s="45"/>
    </row>
    <row r="1168" ht="15.75" customHeight="1">
      <c r="A1168" s="45"/>
      <c r="B1168" s="45"/>
      <c r="C1168" s="46"/>
      <c r="D1168" s="45"/>
      <c r="E1168" s="47"/>
      <c r="F1168" s="45"/>
      <c r="G1168" s="45"/>
      <c r="H1168" s="45"/>
      <c r="I1168" s="45"/>
      <c r="J1168" s="45"/>
      <c r="K1168" s="45"/>
      <c r="L1168" s="45"/>
      <c r="M1168" s="45"/>
      <c r="N1168" s="45"/>
      <c r="O1168" s="45"/>
      <c r="P1168" s="45"/>
      <c r="Q1168" s="45"/>
      <c r="R1168" s="45"/>
      <c r="S1168" s="45"/>
      <c r="T1168" s="45"/>
      <c r="U1168" s="45"/>
      <c r="V1168" s="45"/>
      <c r="W1168" s="45"/>
      <c r="X1168" s="45"/>
      <c r="Y1168" s="45"/>
      <c r="Z1168" s="45"/>
      <c r="AA1168" s="45"/>
      <c r="AB1168" s="45"/>
      <c r="AC1168" s="45"/>
      <c r="AD1168" s="45"/>
      <c r="AE1168" s="45"/>
      <c r="AF1168" s="45"/>
      <c r="AG1168" s="45"/>
      <c r="AH1168" s="45"/>
      <c r="AI1168" s="45"/>
      <c r="AJ1168" s="45"/>
      <c r="AK1168" s="45"/>
      <c r="AL1168" s="45"/>
      <c r="AM1168" s="45"/>
      <c r="AN1168" s="45"/>
      <c r="AO1168" s="45"/>
      <c r="AP1168" s="45"/>
      <c r="AQ1168" s="45"/>
      <c r="AR1168" s="45"/>
      <c r="AS1168" s="45"/>
      <c r="AT1168" s="45"/>
      <c r="AU1168" s="45"/>
      <c r="AV1168" s="45"/>
      <c r="AW1168" s="45"/>
      <c r="AX1168" s="45"/>
    </row>
    <row r="1169" ht="15.75" customHeight="1">
      <c r="A1169" s="45"/>
      <c r="B1169" s="45"/>
      <c r="C1169" s="46"/>
      <c r="D1169" s="45"/>
      <c r="E1169" s="47"/>
      <c r="F1169" s="45"/>
      <c r="G1169" s="45"/>
      <c r="H1169" s="45"/>
      <c r="I1169" s="45"/>
      <c r="J1169" s="45"/>
      <c r="K1169" s="45"/>
      <c r="L1169" s="45"/>
      <c r="M1169" s="45"/>
      <c r="N1169" s="45"/>
      <c r="O1169" s="45"/>
      <c r="P1169" s="45"/>
      <c r="Q1169" s="45"/>
      <c r="R1169" s="45"/>
      <c r="S1169" s="45"/>
      <c r="T1169" s="45"/>
      <c r="U1169" s="45"/>
      <c r="V1169" s="45"/>
      <c r="W1169" s="45"/>
      <c r="X1169" s="45"/>
      <c r="Y1169" s="45"/>
      <c r="Z1169" s="45"/>
      <c r="AA1169" s="45"/>
      <c r="AB1169" s="45"/>
      <c r="AC1169" s="45"/>
      <c r="AD1169" s="45"/>
      <c r="AE1169" s="45"/>
      <c r="AF1169" s="45"/>
      <c r="AG1169" s="45"/>
      <c r="AH1169" s="45"/>
      <c r="AI1169" s="45"/>
      <c r="AJ1169" s="45"/>
      <c r="AK1169" s="45"/>
      <c r="AL1169" s="45"/>
      <c r="AM1169" s="45"/>
      <c r="AN1169" s="45"/>
      <c r="AO1169" s="45"/>
      <c r="AP1169" s="45"/>
      <c r="AQ1169" s="45"/>
      <c r="AR1169" s="45"/>
      <c r="AS1169" s="45"/>
      <c r="AT1169" s="45"/>
      <c r="AU1169" s="45"/>
      <c r="AV1169" s="45"/>
      <c r="AW1169" s="45"/>
      <c r="AX1169" s="45"/>
    </row>
    <row r="1170" ht="15.75" customHeight="1">
      <c r="A1170" s="45"/>
      <c r="B1170" s="45"/>
      <c r="C1170" s="46"/>
      <c r="D1170" s="45"/>
      <c r="E1170" s="47"/>
      <c r="F1170" s="45"/>
      <c r="G1170" s="45"/>
      <c r="H1170" s="45"/>
      <c r="I1170" s="45"/>
      <c r="J1170" s="45"/>
      <c r="K1170" s="45"/>
      <c r="L1170" s="45"/>
      <c r="M1170" s="45"/>
      <c r="N1170" s="45"/>
      <c r="O1170" s="45"/>
      <c r="P1170" s="45"/>
      <c r="Q1170" s="45"/>
      <c r="R1170" s="45"/>
      <c r="S1170" s="45"/>
      <c r="T1170" s="45"/>
      <c r="U1170" s="45"/>
      <c r="V1170" s="45"/>
      <c r="W1170" s="45"/>
      <c r="X1170" s="45"/>
      <c r="Y1170" s="45"/>
      <c r="Z1170" s="45"/>
      <c r="AA1170" s="45"/>
      <c r="AB1170" s="45"/>
      <c r="AC1170" s="45"/>
      <c r="AD1170" s="45"/>
      <c r="AE1170" s="45"/>
      <c r="AF1170" s="45"/>
      <c r="AG1170" s="45"/>
      <c r="AH1170" s="45"/>
      <c r="AI1170" s="45"/>
      <c r="AJ1170" s="45"/>
      <c r="AK1170" s="45"/>
      <c r="AL1170" s="45"/>
      <c r="AM1170" s="45"/>
      <c r="AN1170" s="45"/>
      <c r="AO1170" s="45"/>
      <c r="AP1170" s="45"/>
      <c r="AQ1170" s="45"/>
      <c r="AR1170" s="45"/>
      <c r="AS1170" s="45"/>
      <c r="AT1170" s="45"/>
      <c r="AU1170" s="45"/>
      <c r="AV1170" s="45"/>
      <c r="AW1170" s="45"/>
      <c r="AX1170" s="45"/>
    </row>
    <row r="1171" ht="15.75" customHeight="1">
      <c r="A1171" s="45"/>
      <c r="B1171" s="45"/>
      <c r="C1171" s="46"/>
      <c r="D1171" s="45"/>
      <c r="E1171" s="47"/>
      <c r="F1171" s="45"/>
      <c r="G1171" s="45"/>
      <c r="H1171" s="45"/>
      <c r="I1171" s="45"/>
      <c r="J1171" s="45"/>
      <c r="K1171" s="45"/>
      <c r="L1171" s="45"/>
      <c r="M1171" s="45"/>
      <c r="N1171" s="45"/>
      <c r="O1171" s="45"/>
      <c r="P1171" s="45"/>
      <c r="Q1171" s="45"/>
      <c r="R1171" s="45"/>
      <c r="S1171" s="45"/>
      <c r="T1171" s="45"/>
      <c r="U1171" s="45"/>
      <c r="V1171" s="45"/>
      <c r="W1171" s="45"/>
      <c r="X1171" s="45"/>
      <c r="Y1171" s="45"/>
      <c r="Z1171" s="45"/>
      <c r="AA1171" s="45"/>
      <c r="AB1171" s="45"/>
      <c r="AC1171" s="45"/>
      <c r="AD1171" s="45"/>
      <c r="AE1171" s="45"/>
      <c r="AF1171" s="45"/>
      <c r="AG1171" s="45"/>
      <c r="AH1171" s="45"/>
      <c r="AI1171" s="45"/>
      <c r="AJ1171" s="45"/>
      <c r="AK1171" s="45"/>
      <c r="AL1171" s="45"/>
      <c r="AM1171" s="45"/>
      <c r="AN1171" s="45"/>
      <c r="AO1171" s="45"/>
      <c r="AP1171" s="45"/>
      <c r="AQ1171" s="45"/>
      <c r="AR1171" s="45"/>
      <c r="AS1171" s="45"/>
      <c r="AT1171" s="45"/>
      <c r="AU1171" s="45"/>
      <c r="AV1171" s="45"/>
      <c r="AW1171" s="45"/>
      <c r="AX1171" s="45"/>
    </row>
    <row r="1172" ht="15.75" customHeight="1">
      <c r="A1172" s="45"/>
      <c r="B1172" s="45"/>
      <c r="C1172" s="46"/>
      <c r="D1172" s="45"/>
      <c r="E1172" s="47"/>
      <c r="F1172" s="45"/>
      <c r="G1172" s="45"/>
      <c r="H1172" s="45"/>
      <c r="I1172" s="45"/>
      <c r="J1172" s="45"/>
      <c r="K1172" s="45"/>
      <c r="L1172" s="45"/>
      <c r="M1172" s="45"/>
      <c r="N1172" s="45"/>
      <c r="O1172" s="45"/>
      <c r="P1172" s="45"/>
      <c r="Q1172" s="45"/>
      <c r="R1172" s="45"/>
      <c r="S1172" s="45"/>
      <c r="T1172" s="45"/>
      <c r="U1172" s="45"/>
      <c r="V1172" s="45"/>
      <c r="W1172" s="45"/>
      <c r="X1172" s="45"/>
      <c r="Y1172" s="45"/>
      <c r="Z1172" s="45"/>
      <c r="AA1172" s="45"/>
      <c r="AB1172" s="45"/>
      <c r="AC1172" s="45"/>
      <c r="AD1172" s="45"/>
      <c r="AE1172" s="45"/>
      <c r="AF1172" s="45"/>
      <c r="AG1172" s="45"/>
      <c r="AH1172" s="45"/>
      <c r="AI1172" s="45"/>
      <c r="AJ1172" s="45"/>
      <c r="AK1172" s="45"/>
      <c r="AL1172" s="45"/>
      <c r="AM1172" s="45"/>
      <c r="AN1172" s="45"/>
      <c r="AO1172" s="45"/>
      <c r="AP1172" s="45"/>
      <c r="AQ1172" s="45"/>
      <c r="AR1172" s="45"/>
      <c r="AS1172" s="45"/>
      <c r="AT1172" s="45"/>
      <c r="AU1172" s="45"/>
      <c r="AV1172" s="45"/>
      <c r="AW1172" s="45"/>
      <c r="AX1172" s="45"/>
    </row>
    <row r="1173" ht="15.75" customHeight="1">
      <c r="A1173" s="45"/>
      <c r="B1173" s="45"/>
      <c r="C1173" s="46"/>
      <c r="D1173" s="45"/>
      <c r="E1173" s="47"/>
      <c r="F1173" s="45"/>
      <c r="G1173" s="45"/>
      <c r="H1173" s="45"/>
      <c r="I1173" s="45"/>
      <c r="J1173" s="45"/>
      <c r="K1173" s="45"/>
      <c r="L1173" s="45"/>
      <c r="M1173" s="45"/>
      <c r="N1173" s="45"/>
      <c r="O1173" s="45"/>
      <c r="P1173" s="45"/>
      <c r="Q1173" s="45"/>
      <c r="R1173" s="45"/>
      <c r="S1173" s="45"/>
      <c r="T1173" s="45"/>
      <c r="U1173" s="45"/>
      <c r="V1173" s="45"/>
      <c r="W1173" s="45"/>
      <c r="X1173" s="45"/>
      <c r="Y1173" s="45"/>
      <c r="Z1173" s="45"/>
      <c r="AA1173" s="45"/>
      <c r="AB1173" s="45"/>
      <c r="AC1173" s="45"/>
      <c r="AD1173" s="45"/>
      <c r="AE1173" s="45"/>
      <c r="AF1173" s="45"/>
      <c r="AG1173" s="45"/>
      <c r="AH1173" s="45"/>
      <c r="AI1173" s="45"/>
      <c r="AJ1173" s="45"/>
      <c r="AK1173" s="45"/>
      <c r="AL1173" s="45"/>
      <c r="AM1173" s="45"/>
      <c r="AN1173" s="45"/>
      <c r="AO1173" s="45"/>
      <c r="AP1173" s="45"/>
      <c r="AQ1173" s="45"/>
      <c r="AR1173" s="45"/>
      <c r="AS1173" s="45"/>
      <c r="AT1173" s="45"/>
      <c r="AU1173" s="45"/>
      <c r="AV1173" s="45"/>
      <c r="AW1173" s="45"/>
      <c r="AX1173" s="45"/>
    </row>
    <row r="1174" ht="15.75" customHeight="1">
      <c r="A1174" s="45"/>
      <c r="B1174" s="45"/>
      <c r="C1174" s="46"/>
      <c r="D1174" s="45"/>
      <c r="E1174" s="47"/>
      <c r="F1174" s="45"/>
      <c r="G1174" s="45"/>
      <c r="H1174" s="45"/>
      <c r="I1174" s="45"/>
      <c r="J1174" s="45"/>
      <c r="K1174" s="45"/>
      <c r="L1174" s="45"/>
      <c r="M1174" s="45"/>
      <c r="N1174" s="45"/>
      <c r="O1174" s="45"/>
      <c r="P1174" s="45"/>
      <c r="Q1174" s="45"/>
      <c r="R1174" s="45"/>
      <c r="S1174" s="45"/>
      <c r="T1174" s="45"/>
      <c r="U1174" s="45"/>
      <c r="V1174" s="45"/>
      <c r="W1174" s="45"/>
      <c r="X1174" s="45"/>
      <c r="Y1174" s="45"/>
      <c r="Z1174" s="45"/>
      <c r="AA1174" s="45"/>
      <c r="AB1174" s="45"/>
      <c r="AC1174" s="45"/>
      <c r="AD1174" s="45"/>
      <c r="AE1174" s="45"/>
      <c r="AF1174" s="45"/>
      <c r="AG1174" s="45"/>
      <c r="AH1174" s="45"/>
      <c r="AI1174" s="45"/>
      <c r="AJ1174" s="45"/>
      <c r="AK1174" s="45"/>
      <c r="AL1174" s="45"/>
      <c r="AM1174" s="45"/>
      <c r="AN1174" s="45"/>
      <c r="AO1174" s="45"/>
      <c r="AP1174" s="45"/>
      <c r="AQ1174" s="45"/>
      <c r="AR1174" s="45"/>
      <c r="AS1174" s="45"/>
      <c r="AT1174" s="45"/>
      <c r="AU1174" s="45"/>
      <c r="AV1174" s="45"/>
      <c r="AW1174" s="45"/>
      <c r="AX1174" s="45"/>
    </row>
    <row r="1175" ht="15.75" customHeight="1">
      <c r="A1175" s="45"/>
      <c r="B1175" s="45"/>
      <c r="C1175" s="46"/>
      <c r="D1175" s="45"/>
      <c r="E1175" s="47"/>
      <c r="F1175" s="45"/>
      <c r="G1175" s="45"/>
      <c r="H1175" s="45"/>
      <c r="I1175" s="45"/>
      <c r="J1175" s="45"/>
      <c r="K1175" s="45"/>
      <c r="L1175" s="45"/>
      <c r="M1175" s="45"/>
      <c r="N1175" s="45"/>
      <c r="O1175" s="45"/>
      <c r="P1175" s="45"/>
      <c r="Q1175" s="45"/>
      <c r="R1175" s="45"/>
      <c r="S1175" s="45"/>
      <c r="T1175" s="45"/>
      <c r="U1175" s="45"/>
      <c r="V1175" s="45"/>
      <c r="W1175" s="45"/>
      <c r="X1175" s="45"/>
      <c r="Y1175" s="45"/>
      <c r="Z1175" s="45"/>
      <c r="AA1175" s="45"/>
      <c r="AB1175" s="45"/>
      <c r="AC1175" s="45"/>
      <c r="AD1175" s="45"/>
      <c r="AE1175" s="45"/>
      <c r="AF1175" s="45"/>
      <c r="AG1175" s="45"/>
      <c r="AH1175" s="45"/>
      <c r="AI1175" s="45"/>
      <c r="AJ1175" s="45"/>
      <c r="AK1175" s="45"/>
      <c r="AL1175" s="45"/>
      <c r="AM1175" s="45"/>
      <c r="AN1175" s="45"/>
      <c r="AO1175" s="45"/>
      <c r="AP1175" s="45"/>
      <c r="AQ1175" s="45"/>
      <c r="AR1175" s="45"/>
      <c r="AS1175" s="45"/>
      <c r="AT1175" s="45"/>
      <c r="AU1175" s="45"/>
      <c r="AV1175" s="45"/>
      <c r="AW1175" s="45"/>
      <c r="AX1175" s="45"/>
    </row>
    <row r="1176" ht="15.75" customHeight="1">
      <c r="A1176" s="45"/>
      <c r="B1176" s="45"/>
      <c r="C1176" s="46"/>
      <c r="D1176" s="45"/>
      <c r="E1176" s="47"/>
      <c r="F1176" s="45"/>
      <c r="G1176" s="45"/>
      <c r="H1176" s="45"/>
      <c r="I1176" s="45"/>
      <c r="J1176" s="45"/>
      <c r="K1176" s="45"/>
      <c r="L1176" s="45"/>
      <c r="M1176" s="45"/>
      <c r="N1176" s="45"/>
      <c r="O1176" s="45"/>
      <c r="P1176" s="45"/>
      <c r="Q1176" s="45"/>
      <c r="R1176" s="45"/>
      <c r="S1176" s="45"/>
      <c r="T1176" s="45"/>
      <c r="U1176" s="45"/>
      <c r="V1176" s="45"/>
      <c r="W1176" s="45"/>
      <c r="X1176" s="45"/>
      <c r="Y1176" s="45"/>
      <c r="Z1176" s="45"/>
      <c r="AA1176" s="45"/>
      <c r="AB1176" s="45"/>
      <c r="AC1176" s="45"/>
      <c r="AD1176" s="45"/>
      <c r="AE1176" s="45"/>
      <c r="AF1176" s="45"/>
      <c r="AG1176" s="45"/>
      <c r="AH1176" s="45"/>
      <c r="AI1176" s="45"/>
      <c r="AJ1176" s="45"/>
      <c r="AK1176" s="45"/>
      <c r="AL1176" s="45"/>
      <c r="AM1176" s="45"/>
      <c r="AN1176" s="45"/>
      <c r="AO1176" s="45"/>
      <c r="AP1176" s="45"/>
      <c r="AQ1176" s="45"/>
      <c r="AR1176" s="45"/>
      <c r="AS1176" s="45"/>
      <c r="AT1176" s="45"/>
      <c r="AU1176" s="45"/>
      <c r="AV1176" s="45"/>
      <c r="AW1176" s="45"/>
      <c r="AX1176" s="45"/>
    </row>
    <row r="1177" ht="15.75" customHeight="1">
      <c r="A1177" s="45"/>
      <c r="B1177" s="45"/>
      <c r="C1177" s="46"/>
      <c r="D1177" s="45"/>
      <c r="E1177" s="47"/>
      <c r="F1177" s="45"/>
      <c r="G1177" s="45"/>
      <c r="H1177" s="45"/>
      <c r="I1177" s="45"/>
      <c r="J1177" s="45"/>
      <c r="K1177" s="45"/>
      <c r="L1177" s="45"/>
      <c r="M1177" s="45"/>
      <c r="N1177" s="45"/>
      <c r="O1177" s="45"/>
      <c r="P1177" s="45"/>
      <c r="Q1177" s="45"/>
      <c r="R1177" s="45"/>
      <c r="S1177" s="45"/>
      <c r="T1177" s="45"/>
      <c r="U1177" s="45"/>
      <c r="V1177" s="45"/>
      <c r="W1177" s="45"/>
      <c r="X1177" s="45"/>
      <c r="Y1177" s="45"/>
      <c r="Z1177" s="45"/>
      <c r="AA1177" s="45"/>
      <c r="AB1177" s="45"/>
      <c r="AC1177" s="45"/>
      <c r="AD1177" s="45"/>
      <c r="AE1177" s="45"/>
      <c r="AF1177" s="45"/>
      <c r="AG1177" s="45"/>
      <c r="AH1177" s="45"/>
      <c r="AI1177" s="45"/>
      <c r="AJ1177" s="45"/>
      <c r="AK1177" s="45"/>
      <c r="AL1177" s="45"/>
      <c r="AM1177" s="45"/>
      <c r="AN1177" s="45"/>
      <c r="AO1177" s="45"/>
      <c r="AP1177" s="45"/>
      <c r="AQ1177" s="45"/>
      <c r="AR1177" s="45"/>
      <c r="AS1177" s="45"/>
      <c r="AT1177" s="45"/>
      <c r="AU1177" s="45"/>
      <c r="AV1177" s="45"/>
      <c r="AW1177" s="45"/>
      <c r="AX1177" s="45"/>
    </row>
    <row r="1178" ht="15.75" customHeight="1">
      <c r="A1178" s="45"/>
      <c r="B1178" s="45"/>
      <c r="C1178" s="46"/>
      <c r="D1178" s="45"/>
      <c r="E1178" s="47"/>
      <c r="F1178" s="45"/>
      <c r="G1178" s="45"/>
      <c r="H1178" s="45"/>
      <c r="I1178" s="45"/>
      <c r="J1178" s="45"/>
      <c r="K1178" s="45"/>
      <c r="L1178" s="45"/>
      <c r="M1178" s="45"/>
      <c r="N1178" s="45"/>
      <c r="O1178" s="45"/>
      <c r="P1178" s="45"/>
      <c r="Q1178" s="45"/>
      <c r="R1178" s="45"/>
      <c r="S1178" s="45"/>
      <c r="T1178" s="45"/>
      <c r="U1178" s="45"/>
      <c r="V1178" s="45"/>
      <c r="W1178" s="45"/>
      <c r="X1178" s="45"/>
      <c r="Y1178" s="45"/>
      <c r="Z1178" s="45"/>
      <c r="AA1178" s="45"/>
      <c r="AB1178" s="45"/>
      <c r="AC1178" s="45"/>
      <c r="AD1178" s="45"/>
      <c r="AE1178" s="45"/>
      <c r="AF1178" s="45"/>
      <c r="AG1178" s="45"/>
      <c r="AH1178" s="45"/>
      <c r="AI1178" s="45"/>
      <c r="AJ1178" s="45"/>
      <c r="AK1178" s="45"/>
      <c r="AL1178" s="45"/>
      <c r="AM1178" s="45"/>
      <c r="AN1178" s="45"/>
      <c r="AO1178" s="45"/>
      <c r="AP1178" s="45"/>
      <c r="AQ1178" s="45"/>
      <c r="AR1178" s="45"/>
      <c r="AS1178" s="45"/>
      <c r="AT1178" s="45"/>
      <c r="AU1178" s="45"/>
      <c r="AV1178" s="45"/>
      <c r="AW1178" s="45"/>
      <c r="AX1178" s="45"/>
    </row>
    <row r="1179" ht="15.75" customHeight="1">
      <c r="A1179" s="45"/>
      <c r="B1179" s="45"/>
      <c r="C1179" s="46"/>
      <c r="D1179" s="45"/>
      <c r="E1179" s="47"/>
      <c r="F1179" s="45"/>
      <c r="G1179" s="45"/>
      <c r="H1179" s="45"/>
      <c r="I1179" s="45"/>
      <c r="J1179" s="45"/>
      <c r="K1179" s="45"/>
      <c r="L1179" s="45"/>
      <c r="M1179" s="45"/>
      <c r="N1179" s="45"/>
      <c r="O1179" s="45"/>
      <c r="P1179" s="45"/>
      <c r="Q1179" s="45"/>
      <c r="R1179" s="45"/>
      <c r="S1179" s="45"/>
      <c r="T1179" s="45"/>
      <c r="U1179" s="45"/>
      <c r="V1179" s="45"/>
      <c r="W1179" s="45"/>
      <c r="X1179" s="45"/>
      <c r="Y1179" s="45"/>
      <c r="Z1179" s="45"/>
      <c r="AA1179" s="45"/>
      <c r="AB1179" s="45"/>
      <c r="AC1179" s="45"/>
      <c r="AD1179" s="45"/>
      <c r="AE1179" s="45"/>
      <c r="AF1179" s="45"/>
      <c r="AG1179" s="45"/>
      <c r="AH1179" s="45"/>
      <c r="AI1179" s="45"/>
      <c r="AJ1179" s="45"/>
      <c r="AK1179" s="45"/>
      <c r="AL1179" s="45"/>
      <c r="AM1179" s="45"/>
      <c r="AN1179" s="45"/>
      <c r="AO1179" s="45"/>
      <c r="AP1179" s="45"/>
      <c r="AQ1179" s="45"/>
      <c r="AR1179" s="45"/>
      <c r="AS1179" s="45"/>
      <c r="AT1179" s="45"/>
      <c r="AU1179" s="45"/>
      <c r="AV1179" s="45"/>
      <c r="AW1179" s="45"/>
      <c r="AX1179" s="45"/>
    </row>
    <row r="1180" ht="15.75" customHeight="1">
      <c r="A1180" s="45"/>
      <c r="B1180" s="45"/>
      <c r="C1180" s="46"/>
      <c r="D1180" s="45"/>
      <c r="E1180" s="47"/>
      <c r="F1180" s="45"/>
      <c r="G1180" s="45"/>
      <c r="H1180" s="45"/>
      <c r="I1180" s="45"/>
      <c r="J1180" s="45"/>
      <c r="K1180" s="45"/>
      <c r="L1180" s="45"/>
      <c r="M1180" s="45"/>
      <c r="N1180" s="45"/>
      <c r="O1180" s="45"/>
      <c r="P1180" s="45"/>
      <c r="Q1180" s="45"/>
      <c r="R1180" s="45"/>
      <c r="S1180" s="45"/>
      <c r="T1180" s="45"/>
      <c r="U1180" s="45"/>
      <c r="V1180" s="45"/>
      <c r="W1180" s="45"/>
      <c r="X1180" s="45"/>
      <c r="Y1180" s="45"/>
      <c r="Z1180" s="45"/>
      <c r="AA1180" s="45"/>
      <c r="AB1180" s="45"/>
      <c r="AC1180" s="45"/>
      <c r="AD1180" s="45"/>
      <c r="AE1180" s="45"/>
      <c r="AF1180" s="45"/>
      <c r="AG1180" s="45"/>
      <c r="AH1180" s="45"/>
      <c r="AI1180" s="45"/>
      <c r="AJ1180" s="45"/>
      <c r="AK1180" s="45"/>
      <c r="AL1180" s="45"/>
      <c r="AM1180" s="45"/>
      <c r="AN1180" s="45"/>
      <c r="AO1180" s="45"/>
      <c r="AP1180" s="45"/>
      <c r="AQ1180" s="45"/>
      <c r="AR1180" s="45"/>
      <c r="AS1180" s="45"/>
      <c r="AT1180" s="45"/>
      <c r="AU1180" s="45"/>
      <c r="AV1180" s="45"/>
      <c r="AW1180" s="45"/>
      <c r="AX1180" s="45"/>
    </row>
    <row r="1181" ht="15.75" customHeight="1">
      <c r="A1181" s="45"/>
      <c r="B1181" s="45"/>
      <c r="C1181" s="46"/>
      <c r="D1181" s="45"/>
      <c r="E1181" s="47"/>
      <c r="F1181" s="45"/>
      <c r="G1181" s="45"/>
      <c r="H1181" s="45"/>
      <c r="I1181" s="45"/>
      <c r="J1181" s="45"/>
      <c r="K1181" s="45"/>
      <c r="L1181" s="45"/>
      <c r="M1181" s="45"/>
      <c r="N1181" s="45"/>
      <c r="O1181" s="45"/>
      <c r="P1181" s="45"/>
      <c r="Q1181" s="45"/>
      <c r="R1181" s="45"/>
      <c r="S1181" s="45"/>
      <c r="T1181" s="45"/>
      <c r="U1181" s="45"/>
      <c r="V1181" s="45"/>
      <c r="W1181" s="45"/>
      <c r="X1181" s="45"/>
      <c r="Y1181" s="45"/>
      <c r="Z1181" s="45"/>
      <c r="AA1181" s="45"/>
      <c r="AB1181" s="45"/>
      <c r="AC1181" s="45"/>
      <c r="AD1181" s="45"/>
      <c r="AE1181" s="45"/>
      <c r="AF1181" s="45"/>
      <c r="AG1181" s="45"/>
      <c r="AH1181" s="45"/>
      <c r="AI1181" s="45"/>
      <c r="AJ1181" s="45"/>
      <c r="AK1181" s="45"/>
      <c r="AL1181" s="45"/>
      <c r="AM1181" s="45"/>
      <c r="AN1181" s="45"/>
      <c r="AO1181" s="45"/>
      <c r="AP1181" s="45"/>
      <c r="AQ1181" s="45"/>
      <c r="AR1181" s="45"/>
      <c r="AS1181" s="45"/>
      <c r="AT1181" s="45"/>
      <c r="AU1181" s="45"/>
      <c r="AV1181" s="45"/>
      <c r="AW1181" s="45"/>
      <c r="AX1181" s="45"/>
    </row>
    <row r="1182" ht="15.75" customHeight="1">
      <c r="A1182" s="45"/>
      <c r="B1182" s="45"/>
      <c r="C1182" s="46"/>
      <c r="D1182" s="45"/>
      <c r="E1182" s="47"/>
      <c r="F1182" s="45"/>
      <c r="G1182" s="45"/>
      <c r="H1182" s="45"/>
      <c r="I1182" s="45"/>
      <c r="J1182" s="45"/>
      <c r="K1182" s="45"/>
      <c r="L1182" s="45"/>
      <c r="M1182" s="45"/>
      <c r="N1182" s="45"/>
      <c r="O1182" s="45"/>
      <c r="P1182" s="45"/>
      <c r="Q1182" s="45"/>
      <c r="R1182" s="45"/>
      <c r="S1182" s="45"/>
      <c r="T1182" s="45"/>
      <c r="U1182" s="45"/>
      <c r="V1182" s="45"/>
      <c r="W1182" s="45"/>
      <c r="X1182" s="45"/>
      <c r="Y1182" s="45"/>
      <c r="Z1182" s="45"/>
      <c r="AA1182" s="45"/>
      <c r="AB1182" s="45"/>
      <c r="AC1182" s="45"/>
      <c r="AD1182" s="45"/>
      <c r="AE1182" s="45"/>
      <c r="AF1182" s="45"/>
      <c r="AG1182" s="45"/>
      <c r="AH1182" s="45"/>
      <c r="AI1182" s="45"/>
      <c r="AJ1182" s="45"/>
      <c r="AK1182" s="45"/>
      <c r="AL1182" s="45"/>
      <c r="AM1182" s="45"/>
      <c r="AN1182" s="45"/>
      <c r="AO1182" s="45"/>
      <c r="AP1182" s="45"/>
      <c r="AQ1182" s="45"/>
      <c r="AR1182" s="45"/>
      <c r="AS1182" s="45"/>
      <c r="AT1182" s="45"/>
      <c r="AU1182" s="45"/>
      <c r="AV1182" s="45"/>
      <c r="AW1182" s="45"/>
      <c r="AX1182" s="45"/>
    </row>
    <row r="1183" ht="15.75" customHeight="1">
      <c r="A1183" s="45"/>
      <c r="B1183" s="45"/>
      <c r="C1183" s="46"/>
      <c r="D1183" s="45"/>
      <c r="E1183" s="47"/>
      <c r="F1183" s="45"/>
      <c r="G1183" s="45"/>
      <c r="H1183" s="45"/>
      <c r="I1183" s="45"/>
      <c r="J1183" s="45"/>
      <c r="K1183" s="45"/>
      <c r="L1183" s="45"/>
      <c r="M1183" s="45"/>
      <c r="N1183" s="45"/>
      <c r="O1183" s="45"/>
      <c r="P1183" s="45"/>
      <c r="Q1183" s="45"/>
      <c r="R1183" s="45"/>
      <c r="S1183" s="45"/>
      <c r="T1183" s="45"/>
      <c r="U1183" s="45"/>
      <c r="V1183" s="45"/>
      <c r="W1183" s="45"/>
      <c r="X1183" s="45"/>
      <c r="Y1183" s="45"/>
      <c r="Z1183" s="45"/>
      <c r="AA1183" s="45"/>
      <c r="AB1183" s="45"/>
      <c r="AC1183" s="45"/>
      <c r="AD1183" s="45"/>
      <c r="AE1183" s="45"/>
      <c r="AF1183" s="45"/>
      <c r="AG1183" s="45"/>
      <c r="AH1183" s="45"/>
      <c r="AI1183" s="45"/>
      <c r="AJ1183" s="45"/>
      <c r="AK1183" s="45"/>
      <c r="AL1183" s="45"/>
      <c r="AM1183" s="45"/>
      <c r="AN1183" s="45"/>
      <c r="AO1183" s="45"/>
      <c r="AP1183" s="45"/>
      <c r="AQ1183" s="45"/>
      <c r="AR1183" s="45"/>
      <c r="AS1183" s="45"/>
      <c r="AT1183" s="45"/>
      <c r="AU1183" s="45"/>
      <c r="AV1183" s="45"/>
      <c r="AW1183" s="45"/>
      <c r="AX1183" s="45"/>
    </row>
    <row r="1184" ht="15.75" customHeight="1">
      <c r="A1184" s="45"/>
      <c r="B1184" s="45"/>
      <c r="C1184" s="46"/>
      <c r="D1184" s="45"/>
      <c r="E1184" s="47"/>
      <c r="F1184" s="45"/>
      <c r="G1184" s="45"/>
      <c r="H1184" s="45"/>
      <c r="I1184" s="45"/>
      <c r="J1184" s="45"/>
      <c r="K1184" s="45"/>
      <c r="L1184" s="45"/>
      <c r="M1184" s="45"/>
      <c r="N1184" s="45"/>
      <c r="O1184" s="45"/>
      <c r="P1184" s="45"/>
      <c r="Q1184" s="45"/>
      <c r="R1184" s="45"/>
      <c r="S1184" s="45"/>
      <c r="T1184" s="45"/>
      <c r="U1184" s="45"/>
      <c r="V1184" s="45"/>
      <c r="W1184" s="45"/>
      <c r="X1184" s="45"/>
      <c r="Y1184" s="45"/>
      <c r="Z1184" s="45"/>
      <c r="AA1184" s="45"/>
      <c r="AB1184" s="45"/>
      <c r="AC1184" s="45"/>
      <c r="AD1184" s="45"/>
      <c r="AE1184" s="45"/>
      <c r="AF1184" s="45"/>
      <c r="AG1184" s="45"/>
      <c r="AH1184" s="45"/>
      <c r="AI1184" s="45"/>
      <c r="AJ1184" s="45"/>
      <c r="AK1184" s="45"/>
      <c r="AL1184" s="45"/>
      <c r="AM1184" s="45"/>
      <c r="AN1184" s="45"/>
      <c r="AO1184" s="45"/>
      <c r="AP1184" s="45"/>
      <c r="AQ1184" s="45"/>
      <c r="AR1184" s="45"/>
      <c r="AS1184" s="45"/>
      <c r="AT1184" s="45"/>
      <c r="AU1184" s="45"/>
      <c r="AV1184" s="45"/>
      <c r="AW1184" s="45"/>
      <c r="AX1184" s="45"/>
    </row>
    <row r="1185" ht="15.75" customHeight="1">
      <c r="A1185" s="45"/>
      <c r="B1185" s="45"/>
      <c r="C1185" s="46"/>
      <c r="D1185" s="45"/>
      <c r="E1185" s="47"/>
      <c r="F1185" s="45"/>
      <c r="G1185" s="45"/>
      <c r="H1185" s="45"/>
      <c r="I1185" s="45"/>
      <c r="J1185" s="45"/>
      <c r="K1185" s="45"/>
      <c r="L1185" s="45"/>
      <c r="M1185" s="45"/>
      <c r="N1185" s="45"/>
      <c r="O1185" s="45"/>
      <c r="P1185" s="45"/>
      <c r="Q1185" s="45"/>
      <c r="R1185" s="45"/>
      <c r="S1185" s="45"/>
      <c r="T1185" s="45"/>
      <c r="U1185" s="45"/>
      <c r="V1185" s="45"/>
      <c r="W1185" s="45"/>
      <c r="X1185" s="45"/>
      <c r="Y1185" s="45"/>
      <c r="Z1185" s="45"/>
      <c r="AA1185" s="45"/>
      <c r="AB1185" s="45"/>
      <c r="AC1185" s="45"/>
      <c r="AD1185" s="45"/>
      <c r="AE1185" s="45"/>
      <c r="AF1185" s="45"/>
      <c r="AG1185" s="45"/>
      <c r="AH1185" s="45"/>
      <c r="AI1185" s="45"/>
      <c r="AJ1185" s="45"/>
      <c r="AK1185" s="45"/>
      <c r="AL1185" s="45"/>
      <c r="AM1185" s="45"/>
      <c r="AN1185" s="45"/>
      <c r="AO1185" s="45"/>
      <c r="AP1185" s="45"/>
      <c r="AQ1185" s="45"/>
      <c r="AR1185" s="45"/>
      <c r="AS1185" s="45"/>
      <c r="AT1185" s="45"/>
      <c r="AU1185" s="45"/>
      <c r="AV1185" s="45"/>
      <c r="AW1185" s="45"/>
      <c r="AX1185" s="45"/>
    </row>
    <row r="1186" ht="15.75" customHeight="1">
      <c r="A1186" s="45"/>
      <c r="B1186" s="45"/>
      <c r="C1186" s="46"/>
      <c r="D1186" s="45"/>
      <c r="E1186" s="47"/>
      <c r="F1186" s="45"/>
      <c r="G1186" s="45"/>
      <c r="H1186" s="45"/>
      <c r="I1186" s="45"/>
      <c r="J1186" s="45"/>
      <c r="K1186" s="45"/>
      <c r="L1186" s="45"/>
      <c r="M1186" s="45"/>
      <c r="N1186" s="45"/>
      <c r="O1186" s="45"/>
      <c r="P1186" s="45"/>
      <c r="Q1186" s="45"/>
      <c r="R1186" s="45"/>
      <c r="S1186" s="45"/>
      <c r="T1186" s="45"/>
      <c r="U1186" s="45"/>
      <c r="V1186" s="45"/>
      <c r="W1186" s="45"/>
      <c r="X1186" s="45"/>
      <c r="Y1186" s="45"/>
      <c r="Z1186" s="45"/>
      <c r="AA1186" s="45"/>
      <c r="AB1186" s="45"/>
      <c r="AC1186" s="45"/>
      <c r="AD1186" s="45"/>
      <c r="AE1186" s="45"/>
      <c r="AF1186" s="45"/>
      <c r="AG1186" s="45"/>
      <c r="AH1186" s="45"/>
      <c r="AI1186" s="45"/>
      <c r="AJ1186" s="45"/>
      <c r="AK1186" s="45"/>
      <c r="AL1186" s="45"/>
      <c r="AM1186" s="45"/>
      <c r="AN1186" s="45"/>
      <c r="AO1186" s="45"/>
      <c r="AP1186" s="45"/>
      <c r="AQ1186" s="45"/>
      <c r="AR1186" s="45"/>
      <c r="AS1186" s="45"/>
      <c r="AT1186" s="45"/>
      <c r="AU1186" s="45"/>
      <c r="AV1186" s="45"/>
      <c r="AW1186" s="45"/>
      <c r="AX1186" s="45"/>
    </row>
    <row r="1187" ht="15.75" customHeight="1">
      <c r="A1187" s="45"/>
      <c r="B1187" s="45"/>
      <c r="C1187" s="46"/>
      <c r="D1187" s="45"/>
      <c r="E1187" s="47"/>
      <c r="F1187" s="45"/>
      <c r="G1187" s="45"/>
      <c r="H1187" s="45"/>
      <c r="I1187" s="45"/>
      <c r="J1187" s="45"/>
      <c r="K1187" s="45"/>
      <c r="L1187" s="45"/>
      <c r="M1187" s="45"/>
      <c r="N1187" s="45"/>
      <c r="O1187" s="45"/>
      <c r="P1187" s="45"/>
      <c r="Q1187" s="45"/>
      <c r="R1187" s="45"/>
      <c r="S1187" s="45"/>
      <c r="T1187" s="45"/>
      <c r="U1187" s="45"/>
      <c r="V1187" s="45"/>
      <c r="W1187" s="45"/>
      <c r="X1187" s="45"/>
      <c r="Y1187" s="45"/>
      <c r="Z1187" s="45"/>
      <c r="AA1187" s="45"/>
      <c r="AB1187" s="45"/>
      <c r="AC1187" s="45"/>
      <c r="AD1187" s="45"/>
      <c r="AE1187" s="45"/>
      <c r="AF1187" s="45"/>
      <c r="AG1187" s="45"/>
      <c r="AH1187" s="45"/>
      <c r="AI1187" s="45"/>
      <c r="AJ1187" s="45"/>
      <c r="AK1187" s="45"/>
      <c r="AL1187" s="45"/>
      <c r="AM1187" s="45"/>
      <c r="AN1187" s="45"/>
      <c r="AO1187" s="45"/>
      <c r="AP1187" s="45"/>
      <c r="AQ1187" s="45"/>
      <c r="AR1187" s="45"/>
      <c r="AS1187" s="45"/>
      <c r="AT1187" s="45"/>
      <c r="AU1187" s="45"/>
      <c r="AV1187" s="45"/>
      <c r="AW1187" s="45"/>
      <c r="AX1187" s="45"/>
    </row>
    <row r="1188" ht="15.75" customHeight="1">
      <c r="A1188" s="45"/>
      <c r="B1188" s="45"/>
      <c r="C1188" s="46"/>
      <c r="D1188" s="45"/>
      <c r="E1188" s="47"/>
      <c r="F1188" s="45"/>
      <c r="G1188" s="45"/>
      <c r="H1188" s="45"/>
      <c r="I1188" s="45"/>
      <c r="J1188" s="45"/>
      <c r="K1188" s="45"/>
      <c r="L1188" s="45"/>
      <c r="M1188" s="45"/>
      <c r="N1188" s="45"/>
      <c r="O1188" s="45"/>
      <c r="P1188" s="45"/>
      <c r="Q1188" s="45"/>
      <c r="R1188" s="45"/>
      <c r="S1188" s="45"/>
      <c r="T1188" s="45"/>
      <c r="U1188" s="45"/>
      <c r="V1188" s="45"/>
      <c r="W1188" s="45"/>
      <c r="X1188" s="45"/>
      <c r="Y1188" s="45"/>
      <c r="Z1188" s="45"/>
      <c r="AA1188" s="45"/>
      <c r="AB1188" s="45"/>
      <c r="AC1188" s="45"/>
      <c r="AD1188" s="45"/>
      <c r="AE1188" s="45"/>
      <c r="AF1188" s="45"/>
      <c r="AG1188" s="45"/>
      <c r="AH1188" s="45"/>
      <c r="AI1188" s="45"/>
      <c r="AJ1188" s="45"/>
      <c r="AK1188" s="45"/>
      <c r="AL1188" s="45"/>
      <c r="AM1188" s="45"/>
      <c r="AN1188" s="45"/>
      <c r="AO1188" s="45"/>
      <c r="AP1188" s="45"/>
      <c r="AQ1188" s="45"/>
      <c r="AR1188" s="45"/>
      <c r="AS1188" s="45"/>
      <c r="AT1188" s="45"/>
      <c r="AU1188" s="45"/>
      <c r="AV1188" s="45"/>
      <c r="AW1188" s="45"/>
      <c r="AX1188" s="45"/>
    </row>
    <row r="1189" ht="15.75" customHeight="1">
      <c r="A1189" s="45"/>
      <c r="B1189" s="45"/>
      <c r="C1189" s="46"/>
      <c r="D1189" s="45"/>
      <c r="E1189" s="47"/>
      <c r="F1189" s="45"/>
      <c r="G1189" s="45"/>
      <c r="H1189" s="45"/>
      <c r="I1189" s="45"/>
      <c r="J1189" s="45"/>
      <c r="K1189" s="45"/>
      <c r="L1189" s="45"/>
      <c r="M1189" s="45"/>
      <c r="N1189" s="45"/>
      <c r="O1189" s="45"/>
      <c r="P1189" s="45"/>
      <c r="Q1189" s="45"/>
      <c r="R1189" s="45"/>
      <c r="S1189" s="45"/>
      <c r="T1189" s="45"/>
      <c r="U1189" s="45"/>
      <c r="V1189" s="45"/>
      <c r="W1189" s="45"/>
      <c r="X1189" s="45"/>
      <c r="Y1189" s="45"/>
      <c r="Z1189" s="45"/>
      <c r="AA1189" s="45"/>
      <c r="AB1189" s="45"/>
      <c r="AC1189" s="45"/>
      <c r="AD1189" s="45"/>
      <c r="AE1189" s="45"/>
      <c r="AF1189" s="45"/>
      <c r="AG1189" s="45"/>
      <c r="AH1189" s="45"/>
      <c r="AI1189" s="45"/>
      <c r="AJ1189" s="45"/>
      <c r="AK1189" s="45"/>
      <c r="AL1189" s="45"/>
      <c r="AM1189" s="45"/>
      <c r="AN1189" s="45"/>
      <c r="AO1189" s="45"/>
      <c r="AP1189" s="45"/>
      <c r="AQ1189" s="45"/>
      <c r="AR1189" s="45"/>
      <c r="AS1189" s="45"/>
      <c r="AT1189" s="45"/>
      <c r="AU1189" s="45"/>
      <c r="AV1189" s="45"/>
      <c r="AW1189" s="45"/>
      <c r="AX1189" s="45"/>
    </row>
    <row r="1190" ht="15.75" customHeight="1">
      <c r="A1190" s="45"/>
      <c r="B1190" s="45"/>
      <c r="C1190" s="46"/>
      <c r="D1190" s="45"/>
      <c r="E1190" s="47"/>
      <c r="F1190" s="45"/>
      <c r="G1190" s="45"/>
      <c r="H1190" s="45"/>
      <c r="I1190" s="45"/>
      <c r="J1190" s="45"/>
      <c r="K1190" s="45"/>
      <c r="L1190" s="45"/>
      <c r="M1190" s="45"/>
      <c r="N1190" s="45"/>
      <c r="O1190" s="45"/>
      <c r="P1190" s="45"/>
      <c r="Q1190" s="45"/>
      <c r="R1190" s="45"/>
      <c r="S1190" s="45"/>
      <c r="T1190" s="45"/>
      <c r="U1190" s="45"/>
      <c r="V1190" s="45"/>
      <c r="W1190" s="45"/>
      <c r="X1190" s="45"/>
      <c r="Y1190" s="45"/>
      <c r="Z1190" s="45"/>
      <c r="AA1190" s="45"/>
      <c r="AB1190" s="45"/>
      <c r="AC1190" s="45"/>
      <c r="AD1190" s="45"/>
      <c r="AE1190" s="45"/>
      <c r="AF1190" s="45"/>
      <c r="AG1190" s="45"/>
      <c r="AH1190" s="45"/>
      <c r="AI1190" s="45"/>
      <c r="AJ1190" s="45"/>
      <c r="AK1190" s="45"/>
      <c r="AL1190" s="45"/>
      <c r="AM1190" s="45"/>
      <c r="AN1190" s="45"/>
      <c r="AO1190" s="45"/>
      <c r="AP1190" s="45"/>
      <c r="AQ1190" s="45"/>
      <c r="AR1190" s="45"/>
      <c r="AS1190" s="45"/>
      <c r="AT1190" s="45"/>
      <c r="AU1190" s="45"/>
      <c r="AV1190" s="45"/>
      <c r="AW1190" s="45"/>
      <c r="AX1190" s="45"/>
    </row>
    <row r="1191" ht="15.75" customHeight="1">
      <c r="A1191" s="45"/>
      <c r="B1191" s="45"/>
      <c r="C1191" s="46"/>
      <c r="D1191" s="45"/>
      <c r="E1191" s="47"/>
      <c r="F1191" s="45"/>
      <c r="G1191" s="45"/>
      <c r="H1191" s="45"/>
      <c r="I1191" s="45"/>
      <c r="J1191" s="45"/>
      <c r="K1191" s="45"/>
      <c r="L1191" s="45"/>
      <c r="M1191" s="45"/>
      <c r="N1191" s="45"/>
      <c r="O1191" s="45"/>
      <c r="P1191" s="45"/>
      <c r="Q1191" s="45"/>
      <c r="R1191" s="45"/>
      <c r="S1191" s="45"/>
      <c r="T1191" s="45"/>
      <c r="U1191" s="45"/>
      <c r="V1191" s="45"/>
      <c r="W1191" s="45"/>
      <c r="X1191" s="45"/>
      <c r="Y1191" s="45"/>
      <c r="Z1191" s="45"/>
      <c r="AA1191" s="45"/>
      <c r="AB1191" s="45"/>
      <c r="AC1191" s="45"/>
      <c r="AD1191" s="45"/>
      <c r="AE1191" s="45"/>
      <c r="AF1191" s="45"/>
      <c r="AG1191" s="45"/>
      <c r="AH1191" s="45"/>
      <c r="AI1191" s="45"/>
      <c r="AJ1191" s="45"/>
      <c r="AK1191" s="45"/>
      <c r="AL1191" s="45"/>
      <c r="AM1191" s="45"/>
      <c r="AN1191" s="45"/>
      <c r="AO1191" s="45"/>
      <c r="AP1191" s="45"/>
      <c r="AQ1191" s="45"/>
      <c r="AR1191" s="45"/>
      <c r="AS1191" s="45"/>
      <c r="AT1191" s="45"/>
      <c r="AU1191" s="45"/>
      <c r="AV1191" s="45"/>
      <c r="AW1191" s="45"/>
      <c r="AX1191" s="45"/>
    </row>
    <row r="1192" ht="15.75" customHeight="1">
      <c r="A1192" s="45"/>
      <c r="B1192" s="45"/>
      <c r="C1192" s="46"/>
      <c r="D1192" s="45"/>
      <c r="E1192" s="47"/>
      <c r="F1192" s="45"/>
      <c r="G1192" s="45"/>
      <c r="H1192" s="45"/>
      <c r="I1192" s="45"/>
      <c r="J1192" s="45"/>
      <c r="K1192" s="45"/>
      <c r="L1192" s="45"/>
      <c r="M1192" s="45"/>
      <c r="N1192" s="45"/>
      <c r="O1192" s="45"/>
      <c r="P1192" s="45"/>
      <c r="Q1192" s="45"/>
      <c r="R1192" s="45"/>
      <c r="S1192" s="45"/>
      <c r="T1192" s="45"/>
      <c r="U1192" s="45"/>
      <c r="V1192" s="45"/>
      <c r="W1192" s="45"/>
      <c r="X1192" s="45"/>
      <c r="Y1192" s="45"/>
      <c r="Z1192" s="45"/>
      <c r="AA1192" s="45"/>
      <c r="AB1192" s="45"/>
      <c r="AC1192" s="45"/>
      <c r="AD1192" s="45"/>
      <c r="AE1192" s="45"/>
      <c r="AF1192" s="45"/>
      <c r="AG1192" s="45"/>
      <c r="AH1192" s="45"/>
      <c r="AI1192" s="45"/>
      <c r="AJ1192" s="45"/>
      <c r="AK1192" s="45"/>
      <c r="AL1192" s="45"/>
      <c r="AM1192" s="45"/>
      <c r="AN1192" s="45"/>
      <c r="AO1192" s="45"/>
      <c r="AP1192" s="45"/>
      <c r="AQ1192" s="45"/>
      <c r="AR1192" s="45"/>
      <c r="AS1192" s="45"/>
      <c r="AT1192" s="45"/>
      <c r="AU1192" s="45"/>
      <c r="AV1192" s="45"/>
      <c r="AW1192" s="45"/>
      <c r="AX1192" s="45"/>
    </row>
    <row r="1193" ht="15.75" customHeight="1">
      <c r="A1193" s="45"/>
      <c r="B1193" s="45"/>
      <c r="C1193" s="46"/>
      <c r="D1193" s="45"/>
      <c r="E1193" s="47"/>
      <c r="F1193" s="45"/>
      <c r="G1193" s="45"/>
      <c r="H1193" s="45"/>
      <c r="I1193" s="45"/>
      <c r="J1193" s="45"/>
      <c r="K1193" s="45"/>
      <c r="L1193" s="45"/>
      <c r="M1193" s="45"/>
      <c r="N1193" s="45"/>
      <c r="O1193" s="45"/>
      <c r="P1193" s="45"/>
      <c r="Q1193" s="45"/>
      <c r="R1193" s="45"/>
      <c r="S1193" s="45"/>
      <c r="T1193" s="45"/>
      <c r="U1193" s="45"/>
      <c r="V1193" s="45"/>
      <c r="W1193" s="45"/>
      <c r="X1193" s="45"/>
      <c r="Y1193" s="45"/>
      <c r="Z1193" s="45"/>
      <c r="AA1193" s="45"/>
      <c r="AB1193" s="45"/>
      <c r="AC1193" s="45"/>
      <c r="AD1193" s="45"/>
      <c r="AE1193" s="45"/>
      <c r="AF1193" s="45"/>
      <c r="AG1193" s="45"/>
      <c r="AH1193" s="45"/>
      <c r="AI1193" s="45"/>
      <c r="AJ1193" s="45"/>
      <c r="AK1193" s="45"/>
      <c r="AL1193" s="45"/>
      <c r="AM1193" s="45"/>
      <c r="AN1193" s="45"/>
      <c r="AO1193" s="45"/>
      <c r="AP1193" s="45"/>
      <c r="AQ1193" s="45"/>
      <c r="AR1193" s="45"/>
      <c r="AS1193" s="45"/>
      <c r="AT1193" s="45"/>
      <c r="AU1193" s="45"/>
      <c r="AV1193" s="45"/>
      <c r="AW1193" s="45"/>
      <c r="AX1193" s="45"/>
    </row>
    <row r="1194" ht="15.75" customHeight="1">
      <c r="A1194" s="45"/>
      <c r="B1194" s="45"/>
      <c r="C1194" s="46"/>
      <c r="D1194" s="45"/>
      <c r="E1194" s="47"/>
      <c r="F1194" s="45"/>
      <c r="G1194" s="45"/>
      <c r="H1194" s="45"/>
      <c r="I1194" s="45"/>
      <c r="J1194" s="45"/>
      <c r="K1194" s="45"/>
      <c r="L1194" s="45"/>
      <c r="M1194" s="45"/>
      <c r="N1194" s="45"/>
      <c r="O1194" s="45"/>
      <c r="P1194" s="45"/>
      <c r="Q1194" s="45"/>
      <c r="R1194" s="45"/>
      <c r="S1194" s="45"/>
      <c r="T1194" s="45"/>
      <c r="U1194" s="45"/>
      <c r="V1194" s="45"/>
      <c r="W1194" s="45"/>
      <c r="X1194" s="45"/>
      <c r="Y1194" s="45"/>
      <c r="Z1194" s="45"/>
      <c r="AA1194" s="45"/>
      <c r="AB1194" s="45"/>
      <c r="AC1194" s="45"/>
      <c r="AD1194" s="45"/>
      <c r="AE1194" s="45"/>
      <c r="AF1194" s="45"/>
      <c r="AG1194" s="45"/>
      <c r="AH1194" s="45"/>
      <c r="AI1194" s="45"/>
      <c r="AJ1194" s="45"/>
      <c r="AK1194" s="45"/>
      <c r="AL1194" s="45"/>
      <c r="AM1194" s="45"/>
      <c r="AN1194" s="45"/>
      <c r="AO1194" s="45"/>
      <c r="AP1194" s="45"/>
      <c r="AQ1194" s="45"/>
      <c r="AR1194" s="45"/>
      <c r="AS1194" s="45"/>
      <c r="AT1194" s="45"/>
      <c r="AU1194" s="45"/>
      <c r="AV1194" s="45"/>
      <c r="AW1194" s="45"/>
      <c r="AX1194" s="45"/>
    </row>
    <row r="1195" ht="15.75" customHeight="1">
      <c r="A1195" s="45"/>
      <c r="B1195" s="45"/>
      <c r="C1195" s="46"/>
      <c r="D1195" s="45"/>
      <c r="E1195" s="47"/>
      <c r="F1195" s="45"/>
      <c r="G1195" s="45"/>
      <c r="H1195" s="45"/>
      <c r="I1195" s="45"/>
      <c r="J1195" s="45"/>
      <c r="K1195" s="45"/>
      <c r="L1195" s="45"/>
      <c r="M1195" s="45"/>
      <c r="N1195" s="45"/>
      <c r="O1195" s="45"/>
      <c r="P1195" s="45"/>
      <c r="Q1195" s="45"/>
      <c r="R1195" s="45"/>
      <c r="S1195" s="45"/>
      <c r="T1195" s="45"/>
      <c r="U1195" s="45"/>
      <c r="V1195" s="45"/>
      <c r="W1195" s="45"/>
      <c r="X1195" s="45"/>
      <c r="Y1195" s="45"/>
      <c r="Z1195" s="45"/>
      <c r="AA1195" s="45"/>
      <c r="AB1195" s="45"/>
      <c r="AC1195" s="45"/>
      <c r="AD1195" s="45"/>
      <c r="AE1195" s="45"/>
      <c r="AF1195" s="45"/>
      <c r="AG1195" s="45"/>
      <c r="AH1195" s="45"/>
      <c r="AI1195" s="45"/>
      <c r="AJ1195" s="45"/>
      <c r="AK1195" s="45"/>
      <c r="AL1195" s="45"/>
      <c r="AM1195" s="45"/>
      <c r="AN1195" s="45"/>
      <c r="AO1195" s="45"/>
      <c r="AP1195" s="45"/>
      <c r="AQ1195" s="45"/>
      <c r="AR1195" s="45"/>
      <c r="AS1195" s="45"/>
      <c r="AT1195" s="45"/>
      <c r="AU1195" s="45"/>
      <c r="AV1195" s="45"/>
      <c r="AW1195" s="45"/>
      <c r="AX1195" s="45"/>
    </row>
    <row r="1196" ht="15.75" customHeight="1">
      <c r="A1196" s="45"/>
      <c r="B1196" s="45"/>
      <c r="C1196" s="46"/>
      <c r="D1196" s="45"/>
      <c r="E1196" s="47"/>
      <c r="F1196" s="45"/>
      <c r="G1196" s="45"/>
      <c r="H1196" s="45"/>
      <c r="I1196" s="45"/>
      <c r="J1196" s="45"/>
      <c r="K1196" s="45"/>
      <c r="L1196" s="45"/>
      <c r="M1196" s="45"/>
      <c r="N1196" s="45"/>
      <c r="O1196" s="45"/>
      <c r="P1196" s="45"/>
      <c r="Q1196" s="45"/>
      <c r="R1196" s="45"/>
      <c r="S1196" s="45"/>
      <c r="T1196" s="45"/>
      <c r="U1196" s="45"/>
      <c r="V1196" s="45"/>
      <c r="W1196" s="45"/>
      <c r="X1196" s="45"/>
      <c r="Y1196" s="45"/>
      <c r="Z1196" s="45"/>
      <c r="AA1196" s="45"/>
      <c r="AB1196" s="45"/>
      <c r="AC1196" s="45"/>
      <c r="AD1196" s="45"/>
      <c r="AE1196" s="45"/>
      <c r="AF1196" s="45"/>
      <c r="AG1196" s="45"/>
      <c r="AH1196" s="45"/>
      <c r="AI1196" s="45"/>
      <c r="AJ1196" s="45"/>
      <c r="AK1196" s="45"/>
      <c r="AL1196" s="45"/>
      <c r="AM1196" s="45"/>
      <c r="AN1196" s="45"/>
      <c r="AO1196" s="45"/>
      <c r="AP1196" s="45"/>
      <c r="AQ1196" s="45"/>
      <c r="AR1196" s="45"/>
      <c r="AS1196" s="45"/>
      <c r="AT1196" s="45"/>
      <c r="AU1196" s="45"/>
      <c r="AV1196" s="45"/>
      <c r="AW1196" s="45"/>
      <c r="AX1196" s="45"/>
    </row>
    <row r="1197" ht="15.75" customHeight="1">
      <c r="A1197" s="45"/>
      <c r="B1197" s="45"/>
      <c r="C1197" s="46"/>
      <c r="D1197" s="45"/>
      <c r="E1197" s="47"/>
      <c r="F1197" s="45"/>
      <c r="G1197" s="45"/>
      <c r="H1197" s="45"/>
      <c r="I1197" s="45"/>
      <c r="J1197" s="45"/>
      <c r="K1197" s="45"/>
      <c r="L1197" s="45"/>
      <c r="M1197" s="45"/>
      <c r="N1197" s="45"/>
      <c r="O1197" s="45"/>
      <c r="P1197" s="45"/>
      <c r="Q1197" s="45"/>
      <c r="R1197" s="45"/>
      <c r="S1197" s="45"/>
      <c r="T1197" s="45"/>
      <c r="U1197" s="45"/>
      <c r="V1197" s="45"/>
      <c r="W1197" s="45"/>
      <c r="X1197" s="45"/>
      <c r="Y1197" s="45"/>
      <c r="Z1197" s="45"/>
      <c r="AA1197" s="45"/>
      <c r="AB1197" s="45"/>
      <c r="AC1197" s="45"/>
      <c r="AD1197" s="45"/>
      <c r="AE1197" s="45"/>
      <c r="AF1197" s="45"/>
      <c r="AG1197" s="45"/>
      <c r="AH1197" s="45"/>
      <c r="AI1197" s="45"/>
      <c r="AJ1197" s="45"/>
      <c r="AK1197" s="45"/>
      <c r="AL1197" s="45"/>
      <c r="AM1197" s="45"/>
      <c r="AN1197" s="45"/>
      <c r="AO1197" s="45"/>
      <c r="AP1197" s="45"/>
      <c r="AQ1197" s="45"/>
      <c r="AR1197" s="45"/>
      <c r="AS1197" s="45"/>
      <c r="AT1197" s="45"/>
      <c r="AU1197" s="45"/>
      <c r="AV1197" s="45"/>
      <c r="AW1197" s="45"/>
      <c r="AX1197" s="45"/>
    </row>
    <row r="1198" ht="15.75" customHeight="1">
      <c r="A1198" s="45"/>
      <c r="B1198" s="45"/>
      <c r="C1198" s="46"/>
      <c r="D1198" s="45"/>
      <c r="E1198" s="47"/>
      <c r="F1198" s="45"/>
      <c r="G1198" s="45"/>
      <c r="H1198" s="45"/>
      <c r="I1198" s="45"/>
      <c r="J1198" s="45"/>
      <c r="K1198" s="45"/>
      <c r="L1198" s="45"/>
      <c r="M1198" s="45"/>
      <c r="N1198" s="45"/>
      <c r="O1198" s="45"/>
      <c r="P1198" s="45"/>
      <c r="Q1198" s="45"/>
      <c r="R1198" s="45"/>
      <c r="S1198" s="45"/>
      <c r="T1198" s="45"/>
      <c r="U1198" s="45"/>
      <c r="V1198" s="45"/>
      <c r="W1198" s="45"/>
      <c r="X1198" s="45"/>
      <c r="Y1198" s="45"/>
      <c r="Z1198" s="45"/>
      <c r="AA1198" s="45"/>
      <c r="AB1198" s="45"/>
      <c r="AC1198" s="45"/>
      <c r="AD1198" s="45"/>
      <c r="AE1198" s="45"/>
      <c r="AF1198" s="45"/>
      <c r="AG1198" s="45"/>
      <c r="AH1198" s="45"/>
      <c r="AI1198" s="45"/>
      <c r="AJ1198" s="45"/>
      <c r="AK1198" s="45"/>
      <c r="AL1198" s="45"/>
      <c r="AM1198" s="45"/>
      <c r="AN1198" s="45"/>
      <c r="AO1198" s="45"/>
      <c r="AP1198" s="45"/>
      <c r="AQ1198" s="45"/>
      <c r="AR1198" s="45"/>
      <c r="AS1198" s="45"/>
      <c r="AT1198" s="45"/>
      <c r="AU1198" s="45"/>
      <c r="AV1198" s="45"/>
      <c r="AW1198" s="45"/>
      <c r="AX1198" s="45"/>
    </row>
    <row r="1199" ht="15.75" customHeight="1">
      <c r="A1199" s="45"/>
      <c r="B1199" s="45"/>
      <c r="C1199" s="46"/>
      <c r="D1199" s="45"/>
      <c r="E1199" s="47"/>
      <c r="F1199" s="45"/>
      <c r="G1199" s="45"/>
      <c r="H1199" s="45"/>
      <c r="I1199" s="45"/>
      <c r="J1199" s="45"/>
      <c r="K1199" s="45"/>
      <c r="L1199" s="45"/>
      <c r="M1199" s="45"/>
      <c r="N1199" s="45"/>
      <c r="O1199" s="45"/>
      <c r="P1199" s="45"/>
      <c r="Q1199" s="45"/>
      <c r="R1199" s="45"/>
      <c r="S1199" s="45"/>
      <c r="T1199" s="45"/>
      <c r="U1199" s="45"/>
      <c r="V1199" s="45"/>
      <c r="W1199" s="45"/>
      <c r="X1199" s="45"/>
      <c r="Y1199" s="45"/>
      <c r="Z1199" s="45"/>
      <c r="AA1199" s="45"/>
      <c r="AB1199" s="45"/>
      <c r="AC1199" s="45"/>
      <c r="AD1199" s="45"/>
      <c r="AE1199" s="45"/>
      <c r="AF1199" s="45"/>
      <c r="AG1199" s="45"/>
      <c r="AH1199" s="45"/>
      <c r="AI1199" s="45"/>
      <c r="AJ1199" s="45"/>
      <c r="AK1199" s="45"/>
      <c r="AL1199" s="45"/>
      <c r="AM1199" s="45"/>
      <c r="AN1199" s="45"/>
      <c r="AO1199" s="45"/>
      <c r="AP1199" s="45"/>
      <c r="AQ1199" s="45"/>
      <c r="AR1199" s="45"/>
      <c r="AS1199" s="45"/>
      <c r="AT1199" s="45"/>
      <c r="AU1199" s="45"/>
      <c r="AV1199" s="45"/>
      <c r="AW1199" s="45"/>
      <c r="AX1199" s="45"/>
    </row>
    <row r="1200" ht="15.75" customHeight="1">
      <c r="A1200" s="45"/>
      <c r="B1200" s="45"/>
      <c r="C1200" s="46"/>
      <c r="D1200" s="45"/>
      <c r="E1200" s="47"/>
      <c r="F1200" s="45"/>
      <c r="G1200" s="45"/>
      <c r="H1200" s="45"/>
      <c r="I1200" s="45"/>
      <c r="J1200" s="45"/>
      <c r="K1200" s="45"/>
      <c r="L1200" s="45"/>
      <c r="M1200" s="45"/>
      <c r="N1200" s="45"/>
      <c r="O1200" s="45"/>
      <c r="P1200" s="45"/>
      <c r="Q1200" s="45"/>
      <c r="R1200" s="45"/>
      <c r="S1200" s="45"/>
      <c r="T1200" s="45"/>
      <c r="U1200" s="45"/>
      <c r="V1200" s="45"/>
      <c r="W1200" s="45"/>
      <c r="X1200" s="45"/>
      <c r="Y1200" s="45"/>
      <c r="Z1200" s="45"/>
      <c r="AA1200" s="45"/>
      <c r="AB1200" s="45"/>
      <c r="AC1200" s="45"/>
      <c r="AD1200" s="45"/>
      <c r="AE1200" s="45"/>
      <c r="AF1200" s="45"/>
      <c r="AG1200" s="45"/>
      <c r="AH1200" s="45"/>
      <c r="AI1200" s="45"/>
      <c r="AJ1200" s="45"/>
      <c r="AK1200" s="45"/>
      <c r="AL1200" s="45"/>
      <c r="AM1200" s="45"/>
      <c r="AN1200" s="45"/>
      <c r="AO1200" s="45"/>
      <c r="AP1200" s="45"/>
      <c r="AQ1200" s="45"/>
      <c r="AR1200" s="45"/>
      <c r="AS1200" s="45"/>
      <c r="AT1200" s="45"/>
      <c r="AU1200" s="45"/>
      <c r="AV1200" s="45"/>
      <c r="AW1200" s="45"/>
      <c r="AX1200" s="45"/>
    </row>
    <row r="1201" ht="15.75" customHeight="1">
      <c r="A1201" s="45"/>
      <c r="B1201" s="45"/>
      <c r="C1201" s="46"/>
      <c r="D1201" s="45"/>
      <c r="E1201" s="47"/>
      <c r="F1201" s="45"/>
      <c r="G1201" s="45"/>
      <c r="H1201" s="45"/>
      <c r="I1201" s="45"/>
      <c r="J1201" s="45"/>
      <c r="K1201" s="45"/>
      <c r="L1201" s="45"/>
      <c r="M1201" s="45"/>
      <c r="N1201" s="45"/>
      <c r="O1201" s="45"/>
      <c r="P1201" s="45"/>
      <c r="Q1201" s="45"/>
      <c r="R1201" s="45"/>
      <c r="S1201" s="45"/>
      <c r="T1201" s="45"/>
      <c r="U1201" s="45"/>
      <c r="V1201" s="45"/>
      <c r="W1201" s="45"/>
      <c r="X1201" s="45"/>
      <c r="Y1201" s="45"/>
      <c r="Z1201" s="45"/>
      <c r="AA1201" s="45"/>
      <c r="AB1201" s="45"/>
      <c r="AC1201" s="45"/>
      <c r="AD1201" s="45"/>
      <c r="AE1201" s="45"/>
      <c r="AF1201" s="45"/>
      <c r="AG1201" s="45"/>
      <c r="AH1201" s="45"/>
      <c r="AI1201" s="45"/>
      <c r="AJ1201" s="45"/>
      <c r="AK1201" s="45"/>
      <c r="AL1201" s="45"/>
      <c r="AM1201" s="45"/>
      <c r="AN1201" s="45"/>
      <c r="AO1201" s="45"/>
      <c r="AP1201" s="45"/>
      <c r="AQ1201" s="45"/>
      <c r="AR1201" s="45"/>
      <c r="AS1201" s="45"/>
      <c r="AT1201" s="45"/>
      <c r="AU1201" s="45"/>
      <c r="AV1201" s="45"/>
      <c r="AW1201" s="45"/>
      <c r="AX1201" s="45"/>
    </row>
    <row r="1202" ht="15.75" customHeight="1">
      <c r="A1202" s="45"/>
      <c r="B1202" s="45"/>
      <c r="C1202" s="46"/>
      <c r="D1202" s="45"/>
      <c r="E1202" s="47"/>
      <c r="F1202" s="45"/>
      <c r="G1202" s="45"/>
      <c r="H1202" s="45"/>
      <c r="I1202" s="45"/>
      <c r="J1202" s="45"/>
      <c r="K1202" s="45"/>
      <c r="L1202" s="45"/>
      <c r="M1202" s="45"/>
      <c r="N1202" s="45"/>
      <c r="O1202" s="45"/>
      <c r="P1202" s="45"/>
      <c r="Q1202" s="45"/>
      <c r="R1202" s="45"/>
      <c r="S1202" s="45"/>
      <c r="T1202" s="45"/>
      <c r="U1202" s="45"/>
      <c r="V1202" s="45"/>
      <c r="W1202" s="45"/>
      <c r="X1202" s="45"/>
      <c r="Y1202" s="45"/>
      <c r="Z1202" s="45"/>
      <c r="AA1202" s="45"/>
      <c r="AB1202" s="45"/>
      <c r="AC1202" s="45"/>
      <c r="AD1202" s="45"/>
      <c r="AE1202" s="45"/>
      <c r="AF1202" s="45"/>
      <c r="AG1202" s="45"/>
      <c r="AH1202" s="45"/>
      <c r="AI1202" s="45"/>
      <c r="AJ1202" s="45"/>
      <c r="AK1202" s="45"/>
      <c r="AL1202" s="45"/>
      <c r="AM1202" s="45"/>
      <c r="AN1202" s="45"/>
      <c r="AO1202" s="45"/>
      <c r="AP1202" s="45"/>
      <c r="AQ1202" s="45"/>
      <c r="AR1202" s="45"/>
      <c r="AS1202" s="45"/>
      <c r="AT1202" s="45"/>
      <c r="AU1202" s="45"/>
      <c r="AV1202" s="45"/>
      <c r="AW1202" s="45"/>
      <c r="AX1202" s="45"/>
    </row>
    <row r="1203" ht="15.75" customHeight="1">
      <c r="A1203" s="45"/>
      <c r="B1203" s="45"/>
      <c r="C1203" s="46"/>
      <c r="D1203" s="45"/>
      <c r="E1203" s="47"/>
      <c r="F1203" s="45"/>
      <c r="G1203" s="45"/>
      <c r="H1203" s="45"/>
      <c r="I1203" s="45"/>
      <c r="J1203" s="45"/>
      <c r="K1203" s="45"/>
      <c r="L1203" s="45"/>
      <c r="M1203" s="45"/>
      <c r="N1203" s="45"/>
      <c r="O1203" s="45"/>
      <c r="P1203" s="45"/>
      <c r="Q1203" s="45"/>
      <c r="R1203" s="45"/>
      <c r="S1203" s="45"/>
      <c r="T1203" s="45"/>
      <c r="U1203" s="45"/>
      <c r="V1203" s="45"/>
      <c r="W1203" s="45"/>
      <c r="X1203" s="45"/>
      <c r="Y1203" s="45"/>
      <c r="Z1203" s="45"/>
      <c r="AA1203" s="45"/>
      <c r="AB1203" s="45"/>
      <c r="AC1203" s="45"/>
      <c r="AD1203" s="45"/>
      <c r="AE1203" s="45"/>
      <c r="AF1203" s="45"/>
      <c r="AG1203" s="45"/>
      <c r="AH1203" s="45"/>
      <c r="AI1203" s="45"/>
      <c r="AJ1203" s="45"/>
      <c r="AK1203" s="45"/>
      <c r="AL1203" s="45"/>
      <c r="AM1203" s="45"/>
      <c r="AN1203" s="45"/>
      <c r="AO1203" s="45"/>
      <c r="AP1203" s="45"/>
      <c r="AQ1203" s="45"/>
      <c r="AR1203" s="45"/>
      <c r="AS1203" s="45"/>
      <c r="AT1203" s="45"/>
      <c r="AU1203" s="45"/>
      <c r="AV1203" s="45"/>
      <c r="AW1203" s="45"/>
      <c r="AX1203" s="45"/>
    </row>
    <row r="1204" ht="15.75" customHeight="1">
      <c r="A1204" s="45"/>
      <c r="B1204" s="45"/>
      <c r="C1204" s="46"/>
      <c r="D1204" s="45"/>
      <c r="E1204" s="47"/>
      <c r="F1204" s="45"/>
      <c r="G1204" s="45"/>
      <c r="H1204" s="45"/>
      <c r="I1204" s="45"/>
      <c r="J1204" s="45"/>
      <c r="K1204" s="45"/>
      <c r="L1204" s="45"/>
      <c r="M1204" s="45"/>
      <c r="N1204" s="45"/>
      <c r="O1204" s="45"/>
      <c r="P1204" s="45"/>
      <c r="Q1204" s="45"/>
      <c r="R1204" s="45"/>
      <c r="S1204" s="45"/>
      <c r="T1204" s="45"/>
      <c r="U1204" s="45"/>
      <c r="V1204" s="45"/>
      <c r="W1204" s="45"/>
      <c r="X1204" s="45"/>
      <c r="Y1204" s="45"/>
      <c r="Z1204" s="45"/>
      <c r="AA1204" s="45"/>
      <c r="AB1204" s="45"/>
      <c r="AC1204" s="45"/>
      <c r="AD1204" s="45"/>
      <c r="AE1204" s="45"/>
      <c r="AF1204" s="45"/>
      <c r="AG1204" s="45"/>
      <c r="AH1204" s="45"/>
      <c r="AI1204" s="45"/>
      <c r="AJ1204" s="45"/>
      <c r="AK1204" s="45"/>
      <c r="AL1204" s="45"/>
      <c r="AM1204" s="45"/>
      <c r="AN1204" s="45"/>
      <c r="AO1204" s="45"/>
      <c r="AP1204" s="45"/>
      <c r="AQ1204" s="45"/>
      <c r="AR1204" s="45"/>
      <c r="AS1204" s="45"/>
      <c r="AT1204" s="45"/>
      <c r="AU1204" s="45"/>
      <c r="AV1204" s="45"/>
      <c r="AW1204" s="45"/>
      <c r="AX1204" s="45"/>
    </row>
    <row r="1205" ht="15.75" customHeight="1">
      <c r="A1205" s="45"/>
      <c r="B1205" s="45"/>
      <c r="C1205" s="46"/>
      <c r="D1205" s="45"/>
      <c r="E1205" s="47"/>
      <c r="F1205" s="45"/>
      <c r="G1205" s="45"/>
      <c r="H1205" s="45"/>
      <c r="I1205" s="45"/>
      <c r="J1205" s="45"/>
      <c r="K1205" s="45"/>
      <c r="L1205" s="45"/>
      <c r="M1205" s="45"/>
      <c r="N1205" s="45"/>
      <c r="O1205" s="45"/>
      <c r="P1205" s="45"/>
      <c r="Q1205" s="45"/>
      <c r="R1205" s="45"/>
      <c r="S1205" s="45"/>
      <c r="T1205" s="45"/>
      <c r="U1205" s="45"/>
      <c r="V1205" s="45"/>
      <c r="W1205" s="45"/>
      <c r="X1205" s="45"/>
      <c r="Y1205" s="45"/>
      <c r="Z1205" s="45"/>
      <c r="AA1205" s="45"/>
      <c r="AB1205" s="45"/>
      <c r="AC1205" s="45"/>
      <c r="AD1205" s="45"/>
      <c r="AE1205" s="45"/>
      <c r="AF1205" s="45"/>
      <c r="AG1205" s="45"/>
      <c r="AH1205" s="45"/>
      <c r="AI1205" s="45"/>
      <c r="AJ1205" s="45"/>
      <c r="AK1205" s="45"/>
      <c r="AL1205" s="45"/>
      <c r="AM1205" s="45"/>
      <c r="AN1205" s="45"/>
      <c r="AO1205" s="45"/>
      <c r="AP1205" s="45"/>
      <c r="AQ1205" s="45"/>
      <c r="AR1205" s="45"/>
      <c r="AS1205" s="45"/>
      <c r="AT1205" s="45"/>
      <c r="AU1205" s="45"/>
      <c r="AV1205" s="45"/>
      <c r="AW1205" s="45"/>
      <c r="AX1205" s="45"/>
    </row>
    <row r="1206" ht="15.75" customHeight="1">
      <c r="A1206" s="45"/>
      <c r="B1206" s="45"/>
      <c r="C1206" s="46"/>
      <c r="D1206" s="45"/>
      <c r="E1206" s="47"/>
      <c r="F1206" s="45"/>
      <c r="G1206" s="45"/>
      <c r="H1206" s="45"/>
      <c r="I1206" s="45"/>
      <c r="J1206" s="45"/>
      <c r="K1206" s="45"/>
      <c r="L1206" s="45"/>
      <c r="M1206" s="45"/>
      <c r="N1206" s="45"/>
      <c r="O1206" s="45"/>
      <c r="P1206" s="45"/>
      <c r="Q1206" s="45"/>
      <c r="R1206" s="45"/>
      <c r="S1206" s="45"/>
      <c r="T1206" s="45"/>
      <c r="U1206" s="45"/>
      <c r="V1206" s="45"/>
      <c r="W1206" s="45"/>
      <c r="X1206" s="45"/>
      <c r="Y1206" s="45"/>
      <c r="Z1206" s="45"/>
      <c r="AA1206" s="45"/>
      <c r="AB1206" s="45"/>
      <c r="AC1206" s="45"/>
      <c r="AD1206" s="45"/>
      <c r="AE1206" s="45"/>
      <c r="AF1206" s="45"/>
      <c r="AG1206" s="45"/>
      <c r="AH1206" s="45"/>
      <c r="AI1206" s="45"/>
      <c r="AJ1206" s="45"/>
      <c r="AK1206" s="45"/>
      <c r="AL1206" s="45"/>
      <c r="AM1206" s="45"/>
      <c r="AN1206" s="45"/>
      <c r="AO1206" s="45"/>
      <c r="AP1206" s="45"/>
      <c r="AQ1206" s="45"/>
      <c r="AR1206" s="45"/>
      <c r="AS1206" s="45"/>
      <c r="AT1206" s="45"/>
      <c r="AU1206" s="45"/>
      <c r="AV1206" s="45"/>
      <c r="AW1206" s="45"/>
      <c r="AX1206" s="45"/>
    </row>
    <row r="1207" ht="15.75" customHeight="1">
      <c r="A1207" s="45"/>
      <c r="B1207" s="45"/>
      <c r="C1207" s="46"/>
      <c r="D1207" s="45"/>
      <c r="E1207" s="47"/>
      <c r="F1207" s="45"/>
      <c r="G1207" s="45"/>
      <c r="H1207" s="45"/>
      <c r="I1207" s="45"/>
      <c r="J1207" s="45"/>
      <c r="K1207" s="45"/>
      <c r="L1207" s="45"/>
      <c r="M1207" s="45"/>
      <c r="N1207" s="45"/>
      <c r="O1207" s="45"/>
      <c r="P1207" s="45"/>
      <c r="Q1207" s="45"/>
      <c r="R1207" s="45"/>
      <c r="S1207" s="45"/>
      <c r="T1207" s="45"/>
      <c r="U1207" s="45"/>
      <c r="V1207" s="45"/>
      <c r="W1207" s="45"/>
      <c r="X1207" s="45"/>
      <c r="Y1207" s="45"/>
      <c r="Z1207" s="45"/>
      <c r="AA1207" s="45"/>
      <c r="AB1207" s="45"/>
      <c r="AC1207" s="45"/>
      <c r="AD1207" s="45"/>
      <c r="AE1207" s="45"/>
      <c r="AF1207" s="45"/>
      <c r="AG1207" s="45"/>
      <c r="AH1207" s="45"/>
      <c r="AI1207" s="45"/>
      <c r="AJ1207" s="45"/>
      <c r="AK1207" s="45"/>
      <c r="AL1207" s="45"/>
      <c r="AM1207" s="45"/>
      <c r="AN1207" s="45"/>
      <c r="AO1207" s="45"/>
      <c r="AP1207" s="45"/>
      <c r="AQ1207" s="45"/>
      <c r="AR1207" s="45"/>
      <c r="AS1207" s="45"/>
      <c r="AT1207" s="45"/>
      <c r="AU1207" s="45"/>
      <c r="AV1207" s="45"/>
      <c r="AW1207" s="45"/>
      <c r="AX1207" s="45"/>
    </row>
    <row r="1208" ht="15.75" customHeight="1">
      <c r="A1208" s="45"/>
      <c r="B1208" s="45"/>
      <c r="C1208" s="46"/>
      <c r="D1208" s="45"/>
      <c r="E1208" s="47"/>
      <c r="F1208" s="45"/>
      <c r="G1208" s="45"/>
      <c r="H1208" s="45"/>
      <c r="I1208" s="45"/>
      <c r="J1208" s="45"/>
      <c r="K1208" s="45"/>
      <c r="L1208" s="45"/>
      <c r="M1208" s="45"/>
      <c r="N1208" s="45"/>
      <c r="O1208" s="45"/>
      <c r="P1208" s="45"/>
      <c r="Q1208" s="45"/>
      <c r="R1208" s="45"/>
      <c r="S1208" s="45"/>
      <c r="T1208" s="45"/>
      <c r="U1208" s="45"/>
      <c r="V1208" s="45"/>
      <c r="W1208" s="45"/>
      <c r="X1208" s="45"/>
      <c r="Y1208" s="45"/>
      <c r="Z1208" s="45"/>
      <c r="AA1208" s="45"/>
      <c r="AB1208" s="45"/>
      <c r="AC1208" s="45"/>
      <c r="AD1208" s="45"/>
      <c r="AE1208" s="45"/>
      <c r="AF1208" s="45"/>
      <c r="AG1208" s="45"/>
      <c r="AH1208" s="45"/>
      <c r="AI1208" s="45"/>
      <c r="AJ1208" s="45"/>
      <c r="AK1208" s="45"/>
      <c r="AL1208" s="45"/>
      <c r="AM1208" s="45"/>
      <c r="AN1208" s="45"/>
      <c r="AO1208" s="45"/>
      <c r="AP1208" s="45"/>
      <c r="AQ1208" s="45"/>
      <c r="AR1208" s="45"/>
      <c r="AS1208" s="45"/>
      <c r="AT1208" s="45"/>
      <c r="AU1208" s="45"/>
      <c r="AV1208" s="45"/>
      <c r="AW1208" s="45"/>
      <c r="AX1208" s="45"/>
    </row>
    <row r="1209" ht="15.75" customHeight="1">
      <c r="A1209" s="45"/>
      <c r="B1209" s="45"/>
      <c r="C1209" s="46"/>
      <c r="D1209" s="45"/>
      <c r="E1209" s="47"/>
      <c r="F1209" s="45"/>
      <c r="G1209" s="45"/>
      <c r="H1209" s="45"/>
      <c r="I1209" s="45"/>
      <c r="J1209" s="45"/>
      <c r="K1209" s="45"/>
      <c r="L1209" s="45"/>
      <c r="M1209" s="45"/>
      <c r="N1209" s="45"/>
      <c r="O1209" s="45"/>
      <c r="P1209" s="45"/>
      <c r="Q1209" s="45"/>
      <c r="R1209" s="45"/>
      <c r="S1209" s="45"/>
      <c r="T1209" s="45"/>
      <c r="U1209" s="45"/>
      <c r="V1209" s="45"/>
      <c r="W1209" s="45"/>
      <c r="X1209" s="45"/>
      <c r="Y1209" s="45"/>
      <c r="Z1209" s="45"/>
      <c r="AA1209" s="45"/>
      <c r="AB1209" s="45"/>
      <c r="AC1209" s="45"/>
      <c r="AD1209" s="45"/>
      <c r="AE1209" s="45"/>
      <c r="AF1209" s="45"/>
      <c r="AG1209" s="45"/>
      <c r="AH1209" s="45"/>
      <c r="AI1209" s="45"/>
      <c r="AJ1209" s="45"/>
      <c r="AK1209" s="45"/>
      <c r="AL1209" s="45"/>
      <c r="AM1209" s="45"/>
      <c r="AN1209" s="45"/>
      <c r="AO1209" s="45"/>
      <c r="AP1209" s="45"/>
      <c r="AQ1209" s="45"/>
      <c r="AR1209" s="45"/>
      <c r="AS1209" s="45"/>
      <c r="AT1209" s="45"/>
      <c r="AU1209" s="45"/>
      <c r="AV1209" s="45"/>
      <c r="AW1209" s="45"/>
      <c r="AX1209" s="45"/>
    </row>
    <row r="1210" ht="15.75" customHeight="1">
      <c r="A1210" s="45"/>
      <c r="B1210" s="45"/>
      <c r="C1210" s="46"/>
      <c r="D1210" s="45"/>
      <c r="E1210" s="47"/>
      <c r="F1210" s="45"/>
      <c r="G1210" s="45"/>
      <c r="H1210" s="45"/>
      <c r="I1210" s="45"/>
      <c r="J1210" s="45"/>
      <c r="K1210" s="45"/>
      <c r="L1210" s="45"/>
      <c r="M1210" s="45"/>
      <c r="N1210" s="45"/>
      <c r="O1210" s="45"/>
      <c r="P1210" s="45"/>
      <c r="Q1210" s="45"/>
      <c r="R1210" s="45"/>
      <c r="S1210" s="45"/>
      <c r="T1210" s="45"/>
      <c r="U1210" s="45"/>
      <c r="V1210" s="45"/>
      <c r="W1210" s="45"/>
      <c r="X1210" s="45"/>
      <c r="Y1210" s="45"/>
      <c r="Z1210" s="45"/>
      <c r="AA1210" s="45"/>
      <c r="AB1210" s="45"/>
      <c r="AC1210" s="45"/>
      <c r="AD1210" s="45"/>
      <c r="AE1210" s="45"/>
      <c r="AF1210" s="45"/>
      <c r="AG1210" s="45"/>
      <c r="AH1210" s="45"/>
      <c r="AI1210" s="45"/>
      <c r="AJ1210" s="45"/>
      <c r="AK1210" s="45"/>
      <c r="AL1210" s="45"/>
      <c r="AM1210" s="45"/>
      <c r="AN1210" s="45"/>
      <c r="AO1210" s="45"/>
      <c r="AP1210" s="45"/>
      <c r="AQ1210" s="45"/>
      <c r="AR1210" s="45"/>
      <c r="AS1210" s="45"/>
      <c r="AT1210" s="45"/>
      <c r="AU1210" s="45"/>
      <c r="AV1210" s="45"/>
      <c r="AW1210" s="45"/>
      <c r="AX1210" s="45"/>
    </row>
    <row r="1211" ht="15.75" customHeight="1">
      <c r="A1211" s="45"/>
      <c r="B1211" s="45"/>
      <c r="C1211" s="46"/>
      <c r="D1211" s="45"/>
      <c r="E1211" s="47"/>
      <c r="F1211" s="45"/>
      <c r="G1211" s="45"/>
      <c r="H1211" s="45"/>
      <c r="I1211" s="45"/>
      <c r="J1211" s="45"/>
      <c r="K1211" s="45"/>
      <c r="L1211" s="45"/>
      <c r="M1211" s="45"/>
      <c r="N1211" s="45"/>
      <c r="O1211" s="45"/>
      <c r="P1211" s="45"/>
      <c r="Q1211" s="45"/>
      <c r="R1211" s="45"/>
      <c r="S1211" s="45"/>
      <c r="T1211" s="45"/>
      <c r="U1211" s="45"/>
      <c r="V1211" s="45"/>
      <c r="W1211" s="45"/>
      <c r="X1211" s="45"/>
      <c r="Y1211" s="45"/>
      <c r="Z1211" s="45"/>
      <c r="AA1211" s="45"/>
      <c r="AB1211" s="45"/>
      <c r="AC1211" s="45"/>
      <c r="AD1211" s="45"/>
      <c r="AE1211" s="45"/>
      <c r="AF1211" s="45"/>
      <c r="AG1211" s="45"/>
      <c r="AH1211" s="45"/>
      <c r="AI1211" s="45"/>
      <c r="AJ1211" s="45"/>
      <c r="AK1211" s="45"/>
      <c r="AL1211" s="45"/>
      <c r="AM1211" s="45"/>
      <c r="AN1211" s="45"/>
      <c r="AO1211" s="45"/>
      <c r="AP1211" s="45"/>
      <c r="AQ1211" s="45"/>
      <c r="AR1211" s="45"/>
      <c r="AS1211" s="45"/>
      <c r="AT1211" s="45"/>
      <c r="AU1211" s="45"/>
      <c r="AV1211" s="45"/>
      <c r="AW1211" s="45"/>
      <c r="AX1211" s="45"/>
    </row>
    <row r="1212" ht="15.75" customHeight="1">
      <c r="A1212" s="45"/>
      <c r="B1212" s="45"/>
      <c r="C1212" s="46"/>
      <c r="D1212" s="45"/>
      <c r="E1212" s="47"/>
      <c r="F1212" s="45"/>
      <c r="G1212" s="45"/>
      <c r="H1212" s="45"/>
      <c r="I1212" s="45"/>
      <c r="J1212" s="45"/>
      <c r="K1212" s="45"/>
      <c r="L1212" s="45"/>
      <c r="M1212" s="45"/>
      <c r="N1212" s="45"/>
      <c r="O1212" s="45"/>
      <c r="P1212" s="45"/>
      <c r="Q1212" s="45"/>
      <c r="R1212" s="45"/>
      <c r="S1212" s="45"/>
      <c r="T1212" s="45"/>
      <c r="U1212" s="45"/>
      <c r="V1212" s="45"/>
      <c r="W1212" s="45"/>
      <c r="X1212" s="45"/>
      <c r="Y1212" s="45"/>
      <c r="Z1212" s="45"/>
      <c r="AA1212" s="45"/>
      <c r="AB1212" s="45"/>
      <c r="AC1212" s="45"/>
      <c r="AD1212" s="45"/>
      <c r="AE1212" s="45"/>
      <c r="AF1212" s="45"/>
      <c r="AG1212" s="45"/>
      <c r="AH1212" s="45"/>
      <c r="AI1212" s="45"/>
      <c r="AJ1212" s="45"/>
      <c r="AK1212" s="45"/>
      <c r="AL1212" s="45"/>
      <c r="AM1212" s="45"/>
      <c r="AN1212" s="45"/>
      <c r="AO1212" s="45"/>
      <c r="AP1212" s="45"/>
      <c r="AQ1212" s="45"/>
      <c r="AR1212" s="45"/>
      <c r="AS1212" s="45"/>
      <c r="AT1212" s="45"/>
      <c r="AU1212" s="45"/>
      <c r="AV1212" s="45"/>
      <c r="AW1212" s="45"/>
      <c r="AX1212" s="45"/>
    </row>
    <row r="1213" ht="15.75" customHeight="1">
      <c r="A1213" s="45"/>
      <c r="B1213" s="45"/>
      <c r="C1213" s="46"/>
      <c r="D1213" s="45"/>
      <c r="E1213" s="47"/>
      <c r="F1213" s="45"/>
      <c r="G1213" s="45"/>
      <c r="H1213" s="45"/>
      <c r="I1213" s="45"/>
      <c r="J1213" s="45"/>
      <c r="K1213" s="45"/>
      <c r="L1213" s="45"/>
      <c r="M1213" s="45"/>
      <c r="N1213" s="45"/>
      <c r="O1213" s="45"/>
      <c r="P1213" s="45"/>
      <c r="Q1213" s="45"/>
      <c r="R1213" s="45"/>
      <c r="S1213" s="45"/>
      <c r="T1213" s="45"/>
      <c r="U1213" s="45"/>
      <c r="V1213" s="45"/>
      <c r="W1213" s="45"/>
      <c r="X1213" s="45"/>
      <c r="Y1213" s="45"/>
      <c r="Z1213" s="45"/>
      <c r="AA1213" s="45"/>
      <c r="AB1213" s="45"/>
      <c r="AC1213" s="45"/>
      <c r="AD1213" s="45"/>
      <c r="AE1213" s="45"/>
      <c r="AF1213" s="45"/>
      <c r="AG1213" s="45"/>
      <c r="AH1213" s="45"/>
      <c r="AI1213" s="45"/>
      <c r="AJ1213" s="45"/>
      <c r="AK1213" s="45"/>
      <c r="AL1213" s="45"/>
      <c r="AM1213" s="45"/>
      <c r="AN1213" s="45"/>
      <c r="AO1213" s="45"/>
      <c r="AP1213" s="45"/>
      <c r="AQ1213" s="45"/>
      <c r="AR1213" s="45"/>
      <c r="AS1213" s="45"/>
      <c r="AT1213" s="45"/>
      <c r="AU1213" s="45"/>
      <c r="AV1213" s="45"/>
      <c r="AW1213" s="45"/>
      <c r="AX1213" s="45"/>
    </row>
    <row r="1214" ht="15.75" customHeight="1">
      <c r="A1214" s="45"/>
      <c r="B1214" s="45"/>
      <c r="C1214" s="46"/>
      <c r="D1214" s="45"/>
      <c r="E1214" s="47"/>
      <c r="F1214" s="45"/>
      <c r="G1214" s="45"/>
      <c r="H1214" s="45"/>
      <c r="I1214" s="45"/>
      <c r="J1214" s="45"/>
      <c r="K1214" s="45"/>
      <c r="L1214" s="45"/>
      <c r="M1214" s="45"/>
      <c r="N1214" s="45"/>
      <c r="O1214" s="45"/>
      <c r="P1214" s="45"/>
      <c r="Q1214" s="45"/>
      <c r="R1214" s="45"/>
      <c r="S1214" s="45"/>
      <c r="T1214" s="45"/>
      <c r="U1214" s="45"/>
      <c r="V1214" s="45"/>
      <c r="W1214" s="45"/>
      <c r="X1214" s="45"/>
      <c r="Y1214" s="45"/>
      <c r="Z1214" s="45"/>
      <c r="AA1214" s="45"/>
      <c r="AB1214" s="45"/>
      <c r="AC1214" s="45"/>
      <c r="AD1214" s="45"/>
      <c r="AE1214" s="45"/>
      <c r="AF1214" s="45"/>
      <c r="AG1214" s="45"/>
      <c r="AH1214" s="45"/>
      <c r="AI1214" s="45"/>
      <c r="AJ1214" s="45"/>
      <c r="AK1214" s="45"/>
      <c r="AL1214" s="45"/>
      <c r="AM1214" s="45"/>
      <c r="AN1214" s="45"/>
      <c r="AO1214" s="45"/>
      <c r="AP1214" s="45"/>
      <c r="AQ1214" s="45"/>
      <c r="AR1214" s="45"/>
      <c r="AS1214" s="45"/>
      <c r="AT1214" s="45"/>
      <c r="AU1214" s="45"/>
      <c r="AV1214" s="45"/>
      <c r="AW1214" s="45"/>
      <c r="AX1214" s="45"/>
    </row>
    <row r="1215" ht="15.75" customHeight="1">
      <c r="A1215" s="45"/>
      <c r="B1215" s="45"/>
      <c r="C1215" s="46"/>
      <c r="D1215" s="45"/>
      <c r="E1215" s="47"/>
      <c r="F1215" s="45"/>
      <c r="G1215" s="45"/>
      <c r="H1215" s="45"/>
      <c r="I1215" s="45"/>
      <c r="J1215" s="45"/>
      <c r="K1215" s="45"/>
      <c r="L1215" s="45"/>
      <c r="M1215" s="45"/>
      <c r="N1215" s="45"/>
      <c r="O1215" s="45"/>
      <c r="P1215" s="45"/>
      <c r="Q1215" s="45"/>
      <c r="R1215" s="45"/>
      <c r="S1215" s="45"/>
      <c r="T1215" s="45"/>
      <c r="U1215" s="45"/>
      <c r="V1215" s="45"/>
      <c r="W1215" s="45"/>
      <c r="X1215" s="45"/>
      <c r="Y1215" s="45"/>
      <c r="Z1215" s="45"/>
      <c r="AA1215" s="45"/>
      <c r="AB1215" s="45"/>
      <c r="AC1215" s="45"/>
      <c r="AD1215" s="45"/>
      <c r="AE1215" s="45"/>
      <c r="AF1215" s="45"/>
      <c r="AG1215" s="45"/>
      <c r="AH1215" s="45"/>
      <c r="AI1215" s="45"/>
      <c r="AJ1215" s="45"/>
      <c r="AK1215" s="45"/>
      <c r="AL1215" s="45"/>
      <c r="AM1215" s="45"/>
      <c r="AN1215" s="45"/>
      <c r="AO1215" s="45"/>
      <c r="AP1215" s="45"/>
      <c r="AQ1215" s="45"/>
      <c r="AR1215" s="45"/>
      <c r="AS1215" s="45"/>
      <c r="AT1215" s="45"/>
      <c r="AU1215" s="45"/>
      <c r="AV1215" s="45"/>
      <c r="AW1215" s="45"/>
      <c r="AX1215" s="45"/>
    </row>
    <row r="1216" ht="15.75" customHeight="1">
      <c r="A1216" s="45"/>
      <c r="B1216" s="45"/>
      <c r="C1216" s="46"/>
      <c r="D1216" s="45"/>
      <c r="E1216" s="47"/>
      <c r="F1216" s="45"/>
      <c r="G1216" s="45"/>
      <c r="H1216" s="45"/>
      <c r="I1216" s="45"/>
      <c r="J1216" s="45"/>
      <c r="K1216" s="45"/>
      <c r="L1216" s="45"/>
      <c r="M1216" s="45"/>
      <c r="N1216" s="45"/>
      <c r="O1216" s="45"/>
      <c r="P1216" s="45"/>
      <c r="Q1216" s="45"/>
      <c r="R1216" s="45"/>
      <c r="S1216" s="45"/>
      <c r="T1216" s="45"/>
      <c r="U1216" s="45"/>
      <c r="V1216" s="45"/>
      <c r="W1216" s="45"/>
      <c r="X1216" s="45"/>
      <c r="Y1216" s="45"/>
      <c r="Z1216" s="45"/>
      <c r="AA1216" s="45"/>
      <c r="AB1216" s="45"/>
      <c r="AC1216" s="45"/>
      <c r="AD1216" s="45"/>
      <c r="AE1216" s="45"/>
      <c r="AF1216" s="45"/>
      <c r="AG1216" s="45"/>
      <c r="AH1216" s="45"/>
      <c r="AI1216" s="45"/>
      <c r="AJ1216" s="45"/>
      <c r="AK1216" s="45"/>
      <c r="AL1216" s="45"/>
      <c r="AM1216" s="45"/>
      <c r="AN1216" s="45"/>
      <c r="AO1216" s="45"/>
      <c r="AP1216" s="45"/>
      <c r="AQ1216" s="45"/>
      <c r="AR1216" s="45"/>
      <c r="AS1216" s="45"/>
      <c r="AT1216" s="45"/>
      <c r="AU1216" s="45"/>
      <c r="AV1216" s="45"/>
      <c r="AW1216" s="45"/>
      <c r="AX1216" s="45"/>
    </row>
    <row r="1217" ht="15.75" customHeight="1">
      <c r="A1217" s="45"/>
      <c r="B1217" s="45"/>
      <c r="C1217" s="46"/>
      <c r="D1217" s="45"/>
      <c r="E1217" s="47"/>
      <c r="F1217" s="45"/>
      <c r="G1217" s="45"/>
      <c r="H1217" s="45"/>
      <c r="I1217" s="45"/>
      <c r="J1217" s="45"/>
      <c r="K1217" s="45"/>
      <c r="L1217" s="45"/>
      <c r="M1217" s="45"/>
      <c r="N1217" s="45"/>
      <c r="O1217" s="45"/>
      <c r="P1217" s="45"/>
      <c r="Q1217" s="45"/>
      <c r="R1217" s="45"/>
      <c r="S1217" s="45"/>
      <c r="T1217" s="45"/>
      <c r="U1217" s="45"/>
      <c r="V1217" s="45"/>
      <c r="W1217" s="45"/>
      <c r="X1217" s="45"/>
      <c r="Y1217" s="45"/>
      <c r="Z1217" s="45"/>
      <c r="AA1217" s="45"/>
      <c r="AB1217" s="45"/>
      <c r="AC1217" s="45"/>
      <c r="AD1217" s="45"/>
      <c r="AE1217" s="45"/>
      <c r="AF1217" s="45"/>
      <c r="AG1217" s="45"/>
      <c r="AH1217" s="45"/>
      <c r="AI1217" s="45"/>
      <c r="AJ1217" s="45"/>
      <c r="AK1217" s="45"/>
      <c r="AL1217" s="45"/>
      <c r="AM1217" s="45"/>
      <c r="AN1217" s="45"/>
      <c r="AO1217" s="45"/>
      <c r="AP1217" s="45"/>
      <c r="AQ1217" s="45"/>
      <c r="AR1217" s="45"/>
      <c r="AS1217" s="45"/>
      <c r="AT1217" s="45"/>
      <c r="AU1217" s="45"/>
      <c r="AV1217" s="45"/>
      <c r="AW1217" s="45"/>
      <c r="AX1217" s="45"/>
    </row>
    <row r="1218" ht="15.75" customHeight="1">
      <c r="A1218" s="45"/>
      <c r="B1218" s="45"/>
      <c r="C1218" s="46"/>
      <c r="D1218" s="45"/>
      <c r="E1218" s="47"/>
      <c r="F1218" s="45"/>
      <c r="G1218" s="45"/>
      <c r="H1218" s="45"/>
      <c r="I1218" s="45"/>
      <c r="J1218" s="45"/>
      <c r="K1218" s="45"/>
      <c r="L1218" s="45"/>
      <c r="M1218" s="45"/>
      <c r="N1218" s="45"/>
      <c r="O1218" s="45"/>
      <c r="P1218" s="45"/>
      <c r="Q1218" s="45"/>
      <c r="R1218" s="45"/>
      <c r="S1218" s="45"/>
      <c r="T1218" s="45"/>
      <c r="U1218" s="45"/>
      <c r="V1218" s="45"/>
      <c r="W1218" s="45"/>
      <c r="X1218" s="45"/>
      <c r="Y1218" s="45"/>
      <c r="Z1218" s="45"/>
      <c r="AA1218" s="45"/>
      <c r="AB1218" s="45"/>
      <c r="AC1218" s="45"/>
      <c r="AD1218" s="45"/>
      <c r="AE1218" s="45"/>
      <c r="AF1218" s="45"/>
      <c r="AG1218" s="45"/>
      <c r="AH1218" s="45"/>
      <c r="AI1218" s="45"/>
      <c r="AJ1218" s="45"/>
      <c r="AK1218" s="45"/>
      <c r="AL1218" s="45"/>
      <c r="AM1218" s="45"/>
      <c r="AN1218" s="45"/>
      <c r="AO1218" s="45"/>
      <c r="AP1218" s="45"/>
      <c r="AQ1218" s="45"/>
      <c r="AR1218" s="45"/>
      <c r="AS1218" s="45"/>
      <c r="AT1218" s="45"/>
      <c r="AU1218" s="45"/>
      <c r="AV1218" s="45"/>
      <c r="AW1218" s="45"/>
      <c r="AX1218" s="45"/>
    </row>
    <row r="1219" ht="15.75" customHeight="1">
      <c r="A1219" s="45"/>
      <c r="B1219" s="45"/>
      <c r="C1219" s="46"/>
      <c r="D1219" s="45"/>
      <c r="E1219" s="47"/>
      <c r="F1219" s="45"/>
      <c r="G1219" s="45"/>
      <c r="H1219" s="45"/>
      <c r="I1219" s="45"/>
      <c r="J1219" s="45"/>
      <c r="K1219" s="45"/>
      <c r="L1219" s="45"/>
      <c r="M1219" s="45"/>
      <c r="N1219" s="45"/>
      <c r="O1219" s="45"/>
      <c r="P1219" s="45"/>
      <c r="Q1219" s="45"/>
      <c r="R1219" s="45"/>
      <c r="S1219" s="45"/>
      <c r="T1219" s="45"/>
      <c r="U1219" s="45"/>
      <c r="V1219" s="45"/>
      <c r="W1219" s="45"/>
      <c r="X1219" s="45"/>
      <c r="Y1219" s="45"/>
      <c r="Z1219" s="45"/>
      <c r="AA1219" s="45"/>
      <c r="AB1219" s="45"/>
      <c r="AC1219" s="45"/>
      <c r="AD1219" s="45"/>
      <c r="AE1219" s="45"/>
      <c r="AF1219" s="45"/>
      <c r="AG1219" s="45"/>
      <c r="AH1219" s="45"/>
      <c r="AI1219" s="45"/>
      <c r="AJ1219" s="45"/>
      <c r="AK1219" s="45"/>
      <c r="AL1219" s="45"/>
      <c r="AM1219" s="45"/>
      <c r="AN1219" s="45"/>
      <c r="AO1219" s="45"/>
      <c r="AP1219" s="45"/>
      <c r="AQ1219" s="45"/>
      <c r="AR1219" s="45"/>
      <c r="AS1219" s="45"/>
      <c r="AT1219" s="45"/>
      <c r="AU1219" s="45"/>
      <c r="AV1219" s="45"/>
      <c r="AW1219" s="45"/>
      <c r="AX1219" s="45"/>
    </row>
    <row r="1220" ht="15.75" customHeight="1">
      <c r="A1220" s="45"/>
      <c r="B1220" s="45"/>
      <c r="C1220" s="46"/>
      <c r="D1220" s="45"/>
      <c r="E1220" s="47"/>
      <c r="F1220" s="45"/>
      <c r="G1220" s="45"/>
      <c r="H1220" s="45"/>
      <c r="I1220" s="45"/>
      <c r="J1220" s="45"/>
      <c r="K1220" s="45"/>
      <c r="L1220" s="45"/>
      <c r="M1220" s="45"/>
      <c r="N1220" s="45"/>
      <c r="O1220" s="45"/>
      <c r="P1220" s="45"/>
      <c r="Q1220" s="45"/>
      <c r="R1220" s="45"/>
      <c r="S1220" s="45"/>
      <c r="T1220" s="45"/>
      <c r="U1220" s="45"/>
      <c r="V1220" s="45"/>
      <c r="W1220" s="45"/>
      <c r="X1220" s="45"/>
      <c r="Y1220" s="45"/>
      <c r="Z1220" s="45"/>
      <c r="AA1220" s="45"/>
      <c r="AB1220" s="45"/>
      <c r="AC1220" s="45"/>
      <c r="AD1220" s="45"/>
      <c r="AE1220" s="45"/>
      <c r="AF1220" s="45"/>
      <c r="AG1220" s="45"/>
      <c r="AH1220" s="45"/>
      <c r="AI1220" s="45"/>
      <c r="AJ1220" s="45"/>
      <c r="AK1220" s="45"/>
      <c r="AL1220" s="45"/>
      <c r="AM1220" s="45"/>
      <c r="AN1220" s="45"/>
      <c r="AO1220" s="45"/>
      <c r="AP1220" s="45"/>
      <c r="AQ1220" s="45"/>
      <c r="AR1220" s="45"/>
      <c r="AS1220" s="45"/>
      <c r="AT1220" s="45"/>
      <c r="AU1220" s="45"/>
      <c r="AV1220" s="45"/>
      <c r="AW1220" s="45"/>
      <c r="AX1220" s="45"/>
    </row>
    <row r="1221" ht="15.75" customHeight="1">
      <c r="A1221" s="45"/>
      <c r="B1221" s="45"/>
      <c r="C1221" s="46"/>
      <c r="D1221" s="45"/>
      <c r="E1221" s="47"/>
      <c r="F1221" s="45"/>
      <c r="G1221" s="45"/>
      <c r="H1221" s="45"/>
      <c r="I1221" s="45"/>
      <c r="J1221" s="45"/>
      <c r="K1221" s="45"/>
      <c r="L1221" s="45"/>
      <c r="M1221" s="45"/>
      <c r="N1221" s="45"/>
      <c r="O1221" s="45"/>
      <c r="P1221" s="45"/>
      <c r="Q1221" s="45"/>
      <c r="R1221" s="45"/>
      <c r="S1221" s="45"/>
      <c r="T1221" s="45"/>
      <c r="U1221" s="45"/>
      <c r="V1221" s="45"/>
      <c r="W1221" s="45"/>
      <c r="X1221" s="45"/>
      <c r="Y1221" s="45"/>
      <c r="Z1221" s="45"/>
      <c r="AA1221" s="45"/>
      <c r="AB1221" s="45"/>
      <c r="AC1221" s="45"/>
      <c r="AD1221" s="45"/>
      <c r="AE1221" s="45"/>
      <c r="AF1221" s="45"/>
      <c r="AG1221" s="45"/>
      <c r="AH1221" s="45"/>
      <c r="AI1221" s="45"/>
      <c r="AJ1221" s="45"/>
      <c r="AK1221" s="45"/>
      <c r="AL1221" s="45"/>
      <c r="AM1221" s="45"/>
      <c r="AN1221" s="45"/>
      <c r="AO1221" s="45"/>
      <c r="AP1221" s="45"/>
      <c r="AQ1221" s="45"/>
      <c r="AR1221" s="45"/>
      <c r="AS1221" s="45"/>
      <c r="AT1221" s="45"/>
      <c r="AU1221" s="45"/>
      <c r="AV1221" s="45"/>
      <c r="AW1221" s="45"/>
      <c r="AX1221" s="45"/>
    </row>
    <row r="1222" ht="15.75" customHeight="1">
      <c r="A1222" s="45"/>
      <c r="B1222" s="45"/>
      <c r="C1222" s="46"/>
      <c r="D1222" s="45"/>
      <c r="E1222" s="47"/>
      <c r="F1222" s="45"/>
      <c r="G1222" s="45"/>
      <c r="H1222" s="45"/>
      <c r="I1222" s="45"/>
      <c r="J1222" s="45"/>
      <c r="K1222" s="45"/>
      <c r="L1222" s="45"/>
      <c r="M1222" s="45"/>
      <c r="N1222" s="45"/>
      <c r="O1222" s="45"/>
      <c r="P1222" s="45"/>
      <c r="Q1222" s="45"/>
      <c r="R1222" s="45"/>
      <c r="S1222" s="45"/>
      <c r="T1222" s="45"/>
      <c r="U1222" s="45"/>
      <c r="V1222" s="45"/>
      <c r="W1222" s="45"/>
      <c r="X1222" s="45"/>
      <c r="Y1222" s="45"/>
      <c r="Z1222" s="45"/>
      <c r="AA1222" s="45"/>
      <c r="AB1222" s="45"/>
      <c r="AC1222" s="45"/>
      <c r="AD1222" s="45"/>
      <c r="AE1222" s="45"/>
      <c r="AF1222" s="45"/>
      <c r="AG1222" s="45"/>
      <c r="AH1222" s="45"/>
      <c r="AI1222" s="45"/>
      <c r="AJ1222" s="45"/>
      <c r="AK1222" s="45"/>
      <c r="AL1222" s="45"/>
      <c r="AM1222" s="45"/>
      <c r="AN1222" s="45"/>
      <c r="AO1222" s="45"/>
      <c r="AP1222" s="45"/>
      <c r="AQ1222" s="45"/>
      <c r="AR1222" s="45"/>
      <c r="AS1222" s="45"/>
      <c r="AT1222" s="45"/>
      <c r="AU1222" s="45"/>
      <c r="AV1222" s="45"/>
      <c r="AW1222" s="45"/>
      <c r="AX1222" s="45"/>
    </row>
    <row r="1223" ht="15.75" customHeight="1">
      <c r="A1223" s="45"/>
      <c r="B1223" s="45"/>
      <c r="C1223" s="46"/>
      <c r="D1223" s="45"/>
      <c r="E1223" s="47"/>
      <c r="F1223" s="45"/>
      <c r="G1223" s="45"/>
      <c r="H1223" s="45"/>
      <c r="I1223" s="45"/>
      <c r="J1223" s="45"/>
      <c r="K1223" s="45"/>
      <c r="L1223" s="45"/>
      <c r="M1223" s="45"/>
      <c r="N1223" s="45"/>
      <c r="O1223" s="45"/>
      <c r="P1223" s="45"/>
      <c r="Q1223" s="45"/>
      <c r="R1223" s="45"/>
      <c r="S1223" s="45"/>
      <c r="T1223" s="45"/>
      <c r="U1223" s="45"/>
      <c r="V1223" s="45"/>
      <c r="W1223" s="45"/>
      <c r="X1223" s="45"/>
      <c r="Y1223" s="45"/>
      <c r="Z1223" s="45"/>
      <c r="AA1223" s="45"/>
      <c r="AB1223" s="45"/>
      <c r="AC1223" s="45"/>
      <c r="AD1223" s="45"/>
      <c r="AE1223" s="45"/>
      <c r="AF1223" s="45"/>
      <c r="AG1223" s="45"/>
      <c r="AH1223" s="45"/>
      <c r="AI1223" s="45"/>
      <c r="AJ1223" s="45"/>
      <c r="AK1223" s="45"/>
      <c r="AL1223" s="45"/>
      <c r="AM1223" s="45"/>
      <c r="AN1223" s="45"/>
      <c r="AO1223" s="45"/>
      <c r="AP1223" s="45"/>
      <c r="AQ1223" s="45"/>
      <c r="AR1223" s="45"/>
      <c r="AS1223" s="45"/>
      <c r="AT1223" s="45"/>
      <c r="AU1223" s="45"/>
      <c r="AV1223" s="45"/>
      <c r="AW1223" s="45"/>
      <c r="AX1223" s="45"/>
    </row>
    <row r="1224" ht="15.75" customHeight="1">
      <c r="A1224" s="45"/>
      <c r="B1224" s="45"/>
      <c r="C1224" s="46"/>
      <c r="D1224" s="45"/>
      <c r="E1224" s="47"/>
      <c r="F1224" s="45"/>
      <c r="G1224" s="45"/>
      <c r="H1224" s="45"/>
      <c r="I1224" s="45"/>
      <c r="J1224" s="45"/>
      <c r="K1224" s="45"/>
      <c r="L1224" s="45"/>
      <c r="M1224" s="45"/>
      <c r="N1224" s="45"/>
      <c r="O1224" s="45"/>
      <c r="P1224" s="45"/>
      <c r="Q1224" s="45"/>
      <c r="R1224" s="45"/>
      <c r="S1224" s="45"/>
      <c r="T1224" s="45"/>
      <c r="U1224" s="45"/>
      <c r="V1224" s="45"/>
      <c r="W1224" s="45"/>
      <c r="X1224" s="45"/>
      <c r="Y1224" s="45"/>
      <c r="Z1224" s="45"/>
      <c r="AA1224" s="45"/>
      <c r="AB1224" s="45"/>
      <c r="AC1224" s="45"/>
      <c r="AD1224" s="45"/>
      <c r="AE1224" s="45"/>
      <c r="AF1224" s="45"/>
      <c r="AG1224" s="45"/>
      <c r="AH1224" s="45"/>
      <c r="AI1224" s="45"/>
      <c r="AJ1224" s="45"/>
      <c r="AK1224" s="45"/>
      <c r="AL1224" s="45"/>
      <c r="AM1224" s="45"/>
      <c r="AN1224" s="45"/>
      <c r="AO1224" s="45"/>
      <c r="AP1224" s="45"/>
      <c r="AQ1224" s="45"/>
      <c r="AR1224" s="45"/>
      <c r="AS1224" s="45"/>
      <c r="AT1224" s="45"/>
      <c r="AU1224" s="45"/>
      <c r="AV1224" s="45"/>
      <c r="AW1224" s="45"/>
      <c r="AX1224" s="45"/>
    </row>
    <row r="1225" ht="15.75" customHeight="1">
      <c r="A1225" s="45"/>
      <c r="B1225" s="45"/>
      <c r="C1225" s="46"/>
      <c r="D1225" s="45"/>
      <c r="E1225" s="47"/>
      <c r="F1225" s="45"/>
      <c r="G1225" s="45"/>
      <c r="H1225" s="45"/>
      <c r="I1225" s="45"/>
      <c r="J1225" s="45"/>
      <c r="K1225" s="45"/>
      <c r="L1225" s="45"/>
      <c r="M1225" s="45"/>
      <c r="N1225" s="45"/>
      <c r="O1225" s="45"/>
      <c r="P1225" s="45"/>
      <c r="Q1225" s="45"/>
      <c r="R1225" s="45"/>
      <c r="S1225" s="45"/>
      <c r="T1225" s="45"/>
      <c r="U1225" s="45"/>
      <c r="V1225" s="45"/>
      <c r="W1225" s="45"/>
      <c r="X1225" s="45"/>
      <c r="Y1225" s="45"/>
      <c r="Z1225" s="45"/>
      <c r="AA1225" s="45"/>
      <c r="AB1225" s="45"/>
      <c r="AC1225" s="45"/>
      <c r="AD1225" s="45"/>
      <c r="AE1225" s="45"/>
      <c r="AF1225" s="45"/>
      <c r="AG1225" s="45"/>
      <c r="AH1225" s="45"/>
      <c r="AI1225" s="45"/>
      <c r="AJ1225" s="45"/>
      <c r="AK1225" s="45"/>
      <c r="AL1225" s="45"/>
      <c r="AM1225" s="45"/>
      <c r="AN1225" s="45"/>
      <c r="AO1225" s="45"/>
      <c r="AP1225" s="45"/>
      <c r="AQ1225" s="45"/>
      <c r="AR1225" s="45"/>
      <c r="AS1225" s="45"/>
      <c r="AT1225" s="45"/>
      <c r="AU1225" s="45"/>
      <c r="AV1225" s="45"/>
      <c r="AW1225" s="45"/>
      <c r="AX1225" s="45"/>
    </row>
    <row r="1226" ht="15.75" customHeight="1">
      <c r="A1226" s="45"/>
      <c r="B1226" s="45"/>
      <c r="C1226" s="46"/>
      <c r="D1226" s="45"/>
      <c r="E1226" s="47"/>
      <c r="F1226" s="45"/>
      <c r="G1226" s="45"/>
      <c r="H1226" s="45"/>
      <c r="I1226" s="45"/>
      <c r="J1226" s="45"/>
      <c r="K1226" s="45"/>
      <c r="L1226" s="45"/>
      <c r="M1226" s="45"/>
      <c r="N1226" s="45"/>
      <c r="O1226" s="45"/>
      <c r="P1226" s="45"/>
      <c r="Q1226" s="45"/>
      <c r="R1226" s="45"/>
      <c r="S1226" s="45"/>
      <c r="T1226" s="45"/>
      <c r="U1226" s="45"/>
      <c r="V1226" s="45"/>
      <c r="W1226" s="45"/>
      <c r="X1226" s="45"/>
      <c r="Y1226" s="45"/>
      <c r="Z1226" s="45"/>
      <c r="AA1226" s="45"/>
      <c r="AB1226" s="45"/>
      <c r="AC1226" s="45"/>
      <c r="AD1226" s="45"/>
      <c r="AE1226" s="45"/>
      <c r="AF1226" s="45"/>
      <c r="AG1226" s="45"/>
      <c r="AH1226" s="45"/>
      <c r="AI1226" s="45"/>
      <c r="AJ1226" s="45"/>
      <c r="AK1226" s="45"/>
      <c r="AL1226" s="45"/>
      <c r="AM1226" s="45"/>
      <c r="AN1226" s="45"/>
      <c r="AO1226" s="45"/>
      <c r="AP1226" s="45"/>
      <c r="AQ1226" s="45"/>
      <c r="AR1226" s="45"/>
      <c r="AS1226" s="45"/>
      <c r="AT1226" s="45"/>
      <c r="AU1226" s="45"/>
      <c r="AV1226" s="45"/>
      <c r="AW1226" s="45"/>
      <c r="AX1226" s="45"/>
    </row>
    <row r="1227" ht="15.75" customHeight="1">
      <c r="A1227" s="45"/>
      <c r="B1227" s="45"/>
      <c r="C1227" s="46"/>
      <c r="D1227" s="45"/>
      <c r="E1227" s="47"/>
      <c r="F1227" s="45"/>
      <c r="G1227" s="45"/>
      <c r="H1227" s="45"/>
      <c r="I1227" s="45"/>
      <c r="J1227" s="45"/>
      <c r="K1227" s="45"/>
      <c r="L1227" s="45"/>
      <c r="M1227" s="45"/>
      <c r="N1227" s="45"/>
      <c r="O1227" s="45"/>
      <c r="P1227" s="45"/>
      <c r="Q1227" s="45"/>
      <c r="R1227" s="45"/>
      <c r="S1227" s="45"/>
      <c r="T1227" s="45"/>
      <c r="U1227" s="45"/>
      <c r="V1227" s="45"/>
      <c r="W1227" s="45"/>
      <c r="X1227" s="45"/>
      <c r="Y1227" s="45"/>
      <c r="Z1227" s="45"/>
      <c r="AA1227" s="45"/>
      <c r="AB1227" s="45"/>
      <c r="AC1227" s="45"/>
      <c r="AD1227" s="45"/>
      <c r="AE1227" s="45"/>
      <c r="AF1227" s="45"/>
      <c r="AG1227" s="45"/>
      <c r="AH1227" s="45"/>
      <c r="AI1227" s="45"/>
      <c r="AJ1227" s="45"/>
      <c r="AK1227" s="45"/>
      <c r="AL1227" s="45"/>
      <c r="AM1227" s="45"/>
      <c r="AN1227" s="45"/>
      <c r="AO1227" s="45"/>
      <c r="AP1227" s="45"/>
      <c r="AQ1227" s="45"/>
      <c r="AR1227" s="45"/>
      <c r="AS1227" s="45"/>
      <c r="AT1227" s="45"/>
      <c r="AU1227" s="45"/>
      <c r="AV1227" s="45"/>
      <c r="AW1227" s="45"/>
      <c r="AX1227" s="45"/>
    </row>
    <row r="1228" ht="15.75" customHeight="1">
      <c r="A1228" s="45"/>
      <c r="B1228" s="45"/>
      <c r="C1228" s="46"/>
      <c r="D1228" s="45"/>
      <c r="E1228" s="47"/>
      <c r="F1228" s="45"/>
      <c r="G1228" s="45"/>
      <c r="H1228" s="45"/>
      <c r="I1228" s="45"/>
      <c r="J1228" s="45"/>
      <c r="K1228" s="45"/>
      <c r="L1228" s="45"/>
      <c r="M1228" s="45"/>
      <c r="N1228" s="45"/>
      <c r="O1228" s="45"/>
      <c r="P1228" s="45"/>
      <c r="Q1228" s="45"/>
      <c r="R1228" s="45"/>
      <c r="S1228" s="45"/>
      <c r="T1228" s="45"/>
      <c r="U1228" s="45"/>
      <c r="V1228" s="45"/>
      <c r="W1228" s="45"/>
      <c r="X1228" s="45"/>
      <c r="Y1228" s="45"/>
      <c r="Z1228" s="45"/>
      <c r="AA1228" s="45"/>
      <c r="AB1228" s="45"/>
      <c r="AC1228" s="45"/>
      <c r="AD1228" s="45"/>
      <c r="AE1228" s="45"/>
      <c r="AF1228" s="45"/>
      <c r="AG1228" s="45"/>
      <c r="AH1228" s="45"/>
      <c r="AI1228" s="45"/>
      <c r="AJ1228" s="45"/>
      <c r="AK1228" s="45"/>
      <c r="AL1228" s="45"/>
      <c r="AM1228" s="45"/>
      <c r="AN1228" s="45"/>
      <c r="AO1228" s="45"/>
      <c r="AP1228" s="45"/>
      <c r="AQ1228" s="45"/>
      <c r="AR1228" s="45"/>
      <c r="AS1228" s="45"/>
      <c r="AT1228" s="45"/>
      <c r="AU1228" s="45"/>
      <c r="AV1228" s="45"/>
      <c r="AW1228" s="45"/>
      <c r="AX1228" s="45"/>
    </row>
    <row r="1229" ht="15.75" customHeight="1">
      <c r="A1229" s="45"/>
      <c r="B1229" s="45"/>
      <c r="C1229" s="46"/>
      <c r="D1229" s="45"/>
      <c r="E1229" s="47"/>
      <c r="F1229" s="45"/>
      <c r="G1229" s="45"/>
      <c r="H1229" s="45"/>
      <c r="I1229" s="45"/>
      <c r="J1229" s="45"/>
      <c r="K1229" s="45"/>
      <c r="L1229" s="45"/>
      <c r="M1229" s="45"/>
      <c r="N1229" s="45"/>
      <c r="O1229" s="45"/>
      <c r="P1229" s="45"/>
      <c r="Q1229" s="45"/>
      <c r="R1229" s="45"/>
      <c r="S1229" s="45"/>
      <c r="T1229" s="45"/>
      <c r="U1229" s="45"/>
      <c r="V1229" s="45"/>
      <c r="W1229" s="45"/>
      <c r="X1229" s="45"/>
      <c r="Y1229" s="45"/>
      <c r="Z1229" s="45"/>
      <c r="AA1229" s="45"/>
      <c r="AB1229" s="45"/>
      <c r="AC1229" s="45"/>
      <c r="AD1229" s="45"/>
      <c r="AE1229" s="45"/>
      <c r="AF1229" s="45"/>
      <c r="AG1229" s="45"/>
      <c r="AH1229" s="45"/>
      <c r="AI1229" s="45"/>
      <c r="AJ1229" s="45"/>
      <c r="AK1229" s="45"/>
      <c r="AL1229" s="45"/>
      <c r="AM1229" s="45"/>
      <c r="AN1229" s="45"/>
      <c r="AO1229" s="45"/>
      <c r="AP1229" s="45"/>
      <c r="AQ1229" s="45"/>
      <c r="AR1229" s="45"/>
      <c r="AS1229" s="45"/>
      <c r="AT1229" s="45"/>
      <c r="AU1229" s="45"/>
      <c r="AV1229" s="45"/>
      <c r="AW1229" s="45"/>
      <c r="AX1229" s="45"/>
    </row>
    <row r="1230" ht="15.75" customHeight="1">
      <c r="A1230" s="45"/>
      <c r="B1230" s="45"/>
      <c r="C1230" s="46"/>
      <c r="D1230" s="45"/>
      <c r="E1230" s="47"/>
      <c r="F1230" s="45"/>
      <c r="G1230" s="45"/>
      <c r="H1230" s="45"/>
      <c r="I1230" s="45"/>
      <c r="J1230" s="45"/>
      <c r="K1230" s="45"/>
      <c r="L1230" s="45"/>
      <c r="M1230" s="45"/>
      <c r="N1230" s="45"/>
      <c r="O1230" s="45"/>
      <c r="P1230" s="45"/>
      <c r="Q1230" s="45"/>
      <c r="R1230" s="45"/>
      <c r="S1230" s="45"/>
      <c r="T1230" s="45"/>
      <c r="U1230" s="45"/>
      <c r="V1230" s="45"/>
      <c r="W1230" s="45"/>
      <c r="X1230" s="45"/>
      <c r="Y1230" s="45"/>
      <c r="Z1230" s="45"/>
      <c r="AA1230" s="45"/>
      <c r="AB1230" s="45"/>
      <c r="AC1230" s="45"/>
      <c r="AD1230" s="45"/>
      <c r="AE1230" s="45"/>
      <c r="AF1230" s="45"/>
      <c r="AG1230" s="45"/>
      <c r="AH1230" s="45"/>
      <c r="AI1230" s="45"/>
      <c r="AJ1230" s="45"/>
      <c r="AK1230" s="45"/>
      <c r="AL1230" s="45"/>
      <c r="AM1230" s="45"/>
      <c r="AN1230" s="45"/>
      <c r="AO1230" s="45"/>
      <c r="AP1230" s="45"/>
      <c r="AQ1230" s="45"/>
      <c r="AR1230" s="45"/>
      <c r="AS1230" s="45"/>
      <c r="AT1230" s="45"/>
      <c r="AU1230" s="45"/>
      <c r="AV1230" s="45"/>
      <c r="AW1230" s="45"/>
      <c r="AX1230" s="45"/>
    </row>
    <row r="1231" ht="15.75" customHeight="1">
      <c r="A1231" s="45"/>
      <c r="B1231" s="45"/>
      <c r="C1231" s="46"/>
      <c r="D1231" s="45"/>
      <c r="E1231" s="47"/>
      <c r="F1231" s="45"/>
      <c r="G1231" s="45"/>
      <c r="H1231" s="45"/>
      <c r="I1231" s="45"/>
      <c r="J1231" s="45"/>
      <c r="K1231" s="45"/>
      <c r="L1231" s="45"/>
      <c r="M1231" s="45"/>
      <c r="N1231" s="45"/>
      <c r="O1231" s="45"/>
      <c r="P1231" s="45"/>
      <c r="Q1231" s="45"/>
      <c r="R1231" s="45"/>
      <c r="S1231" s="45"/>
      <c r="T1231" s="45"/>
      <c r="U1231" s="45"/>
      <c r="V1231" s="45"/>
      <c r="W1231" s="45"/>
      <c r="X1231" s="45"/>
      <c r="Y1231" s="45"/>
      <c r="Z1231" s="45"/>
      <c r="AA1231" s="45"/>
      <c r="AB1231" s="45"/>
      <c r="AC1231" s="45"/>
      <c r="AD1231" s="45"/>
      <c r="AE1231" s="45"/>
      <c r="AF1231" s="45"/>
      <c r="AG1231" s="45"/>
      <c r="AH1231" s="45"/>
      <c r="AI1231" s="45"/>
      <c r="AJ1231" s="45"/>
      <c r="AK1231" s="45"/>
      <c r="AL1231" s="45"/>
      <c r="AM1231" s="45"/>
      <c r="AN1231" s="45"/>
      <c r="AO1231" s="45"/>
      <c r="AP1231" s="45"/>
      <c r="AQ1231" s="45"/>
      <c r="AR1231" s="45"/>
      <c r="AS1231" s="45"/>
      <c r="AT1231" s="45"/>
      <c r="AU1231" s="45"/>
      <c r="AV1231" s="45"/>
      <c r="AW1231" s="45"/>
      <c r="AX1231" s="45"/>
    </row>
    <row r="1232" ht="15.75" customHeight="1">
      <c r="A1232" s="45"/>
      <c r="B1232" s="45"/>
      <c r="C1232" s="46"/>
      <c r="D1232" s="45"/>
      <c r="E1232" s="47"/>
      <c r="F1232" s="45"/>
      <c r="G1232" s="45"/>
      <c r="H1232" s="45"/>
      <c r="I1232" s="45"/>
      <c r="J1232" s="45"/>
      <c r="K1232" s="45"/>
      <c r="L1232" s="45"/>
      <c r="M1232" s="45"/>
      <c r="N1232" s="45"/>
      <c r="O1232" s="45"/>
      <c r="P1232" s="45"/>
      <c r="Q1232" s="45"/>
      <c r="R1232" s="45"/>
      <c r="S1232" s="45"/>
      <c r="T1232" s="45"/>
      <c r="U1232" s="45"/>
      <c r="V1232" s="45"/>
      <c r="W1232" s="45"/>
      <c r="X1232" s="45"/>
      <c r="Y1232" s="45"/>
      <c r="Z1232" s="45"/>
      <c r="AA1232" s="45"/>
      <c r="AB1232" s="45"/>
      <c r="AC1232" s="45"/>
      <c r="AD1232" s="45"/>
      <c r="AE1232" s="45"/>
      <c r="AF1232" s="45"/>
      <c r="AG1232" s="45"/>
      <c r="AH1232" s="45"/>
      <c r="AI1232" s="45"/>
      <c r="AJ1232" s="45"/>
      <c r="AK1232" s="45"/>
      <c r="AL1232" s="45"/>
      <c r="AM1232" s="45"/>
      <c r="AN1232" s="45"/>
      <c r="AO1232" s="45"/>
      <c r="AP1232" s="45"/>
      <c r="AQ1232" s="45"/>
      <c r="AR1232" s="45"/>
      <c r="AS1232" s="45"/>
      <c r="AT1232" s="45"/>
      <c r="AU1232" s="45"/>
      <c r="AV1232" s="45"/>
      <c r="AW1232" s="45"/>
      <c r="AX1232" s="45"/>
    </row>
    <row r="1233" ht="15.75" customHeight="1">
      <c r="A1233" s="45"/>
      <c r="B1233" s="45"/>
      <c r="C1233" s="46"/>
      <c r="D1233" s="45"/>
      <c r="E1233" s="47"/>
      <c r="F1233" s="45"/>
      <c r="G1233" s="45"/>
      <c r="H1233" s="45"/>
      <c r="I1233" s="45"/>
      <c r="J1233" s="45"/>
      <c r="K1233" s="45"/>
      <c r="L1233" s="45"/>
      <c r="M1233" s="45"/>
      <c r="N1233" s="45"/>
      <c r="O1233" s="45"/>
      <c r="P1233" s="45"/>
      <c r="Q1233" s="45"/>
      <c r="R1233" s="45"/>
      <c r="S1233" s="45"/>
      <c r="T1233" s="45"/>
      <c r="U1233" s="45"/>
      <c r="V1233" s="45"/>
      <c r="W1233" s="45"/>
      <c r="X1233" s="45"/>
      <c r="Y1233" s="45"/>
      <c r="Z1233" s="45"/>
      <c r="AA1233" s="45"/>
      <c r="AB1233" s="45"/>
      <c r="AC1233" s="45"/>
      <c r="AD1233" s="45"/>
      <c r="AE1233" s="45"/>
      <c r="AF1233" s="45"/>
      <c r="AG1233" s="45"/>
      <c r="AH1233" s="45"/>
      <c r="AI1233" s="45"/>
      <c r="AJ1233" s="45"/>
      <c r="AK1233" s="45"/>
      <c r="AL1233" s="45"/>
      <c r="AM1233" s="45"/>
      <c r="AN1233" s="45"/>
      <c r="AO1233" s="45"/>
      <c r="AP1233" s="45"/>
      <c r="AQ1233" s="45"/>
      <c r="AR1233" s="45"/>
      <c r="AS1233" s="45"/>
      <c r="AT1233" s="45"/>
      <c r="AU1233" s="45"/>
      <c r="AV1233" s="45"/>
      <c r="AW1233" s="45"/>
      <c r="AX1233" s="45"/>
    </row>
    <row r="1234" ht="15.75" customHeight="1">
      <c r="A1234" s="45"/>
      <c r="B1234" s="45"/>
      <c r="C1234" s="46"/>
      <c r="D1234" s="45"/>
      <c r="E1234" s="47"/>
      <c r="F1234" s="45"/>
      <c r="G1234" s="45"/>
      <c r="H1234" s="45"/>
      <c r="I1234" s="45"/>
      <c r="J1234" s="45"/>
      <c r="K1234" s="45"/>
      <c r="L1234" s="45"/>
      <c r="M1234" s="45"/>
      <c r="N1234" s="45"/>
      <c r="O1234" s="45"/>
      <c r="P1234" s="45"/>
      <c r="Q1234" s="45"/>
      <c r="R1234" s="45"/>
      <c r="S1234" s="45"/>
      <c r="T1234" s="45"/>
      <c r="U1234" s="45"/>
      <c r="V1234" s="45"/>
      <c r="W1234" s="45"/>
      <c r="X1234" s="45"/>
      <c r="Y1234" s="45"/>
      <c r="Z1234" s="45"/>
      <c r="AA1234" s="45"/>
      <c r="AB1234" s="45"/>
      <c r="AC1234" s="45"/>
      <c r="AD1234" s="45"/>
      <c r="AE1234" s="45"/>
      <c r="AF1234" s="45"/>
      <c r="AG1234" s="45"/>
      <c r="AH1234" s="45"/>
      <c r="AI1234" s="45"/>
      <c r="AJ1234" s="45"/>
      <c r="AK1234" s="45"/>
      <c r="AL1234" s="45"/>
      <c r="AM1234" s="45"/>
      <c r="AN1234" s="45"/>
      <c r="AO1234" s="45"/>
      <c r="AP1234" s="45"/>
      <c r="AQ1234" s="45"/>
      <c r="AR1234" s="45"/>
      <c r="AS1234" s="45"/>
      <c r="AT1234" s="45"/>
      <c r="AU1234" s="45"/>
      <c r="AV1234" s="45"/>
      <c r="AW1234" s="45"/>
      <c r="AX1234" s="45"/>
    </row>
    <row r="1235" ht="15.75" customHeight="1">
      <c r="A1235" s="45"/>
      <c r="B1235" s="45"/>
      <c r="C1235" s="46"/>
      <c r="D1235" s="45"/>
      <c r="E1235" s="47"/>
      <c r="F1235" s="45"/>
      <c r="G1235" s="45"/>
      <c r="H1235" s="45"/>
      <c r="I1235" s="45"/>
      <c r="J1235" s="45"/>
      <c r="K1235" s="45"/>
      <c r="L1235" s="45"/>
      <c r="M1235" s="45"/>
      <c r="N1235" s="45"/>
      <c r="O1235" s="45"/>
      <c r="P1235" s="45"/>
      <c r="Q1235" s="45"/>
      <c r="R1235" s="45"/>
      <c r="S1235" s="45"/>
      <c r="T1235" s="45"/>
      <c r="U1235" s="45"/>
      <c r="V1235" s="45"/>
      <c r="W1235" s="45"/>
      <c r="X1235" s="45"/>
      <c r="Y1235" s="45"/>
      <c r="Z1235" s="45"/>
      <c r="AA1235" s="45"/>
      <c r="AB1235" s="45"/>
      <c r="AC1235" s="45"/>
      <c r="AD1235" s="45"/>
      <c r="AE1235" s="45"/>
      <c r="AF1235" s="45"/>
      <c r="AG1235" s="45"/>
      <c r="AH1235" s="45"/>
      <c r="AI1235" s="45"/>
      <c r="AJ1235" s="45"/>
      <c r="AK1235" s="45"/>
      <c r="AL1235" s="45"/>
      <c r="AM1235" s="45"/>
      <c r="AN1235" s="45"/>
      <c r="AO1235" s="45"/>
      <c r="AP1235" s="45"/>
      <c r="AQ1235" s="45"/>
      <c r="AR1235" s="45"/>
      <c r="AS1235" s="45"/>
      <c r="AT1235" s="45"/>
      <c r="AU1235" s="45"/>
      <c r="AV1235" s="45"/>
      <c r="AW1235" s="45"/>
      <c r="AX1235" s="45"/>
    </row>
    <row r="1236" ht="15.75" customHeight="1">
      <c r="A1236" s="45"/>
      <c r="B1236" s="45"/>
      <c r="C1236" s="46"/>
      <c r="D1236" s="45"/>
      <c r="E1236" s="47"/>
      <c r="F1236" s="45"/>
      <c r="G1236" s="45"/>
      <c r="H1236" s="45"/>
      <c r="I1236" s="45"/>
      <c r="J1236" s="45"/>
      <c r="K1236" s="45"/>
      <c r="L1236" s="45"/>
      <c r="M1236" s="45"/>
      <c r="N1236" s="45"/>
      <c r="O1236" s="45"/>
      <c r="P1236" s="45"/>
      <c r="Q1236" s="45"/>
      <c r="R1236" s="45"/>
      <c r="S1236" s="45"/>
      <c r="T1236" s="45"/>
      <c r="U1236" s="45"/>
      <c r="V1236" s="45"/>
      <c r="W1236" s="45"/>
      <c r="X1236" s="45"/>
      <c r="Y1236" s="45"/>
      <c r="Z1236" s="45"/>
      <c r="AA1236" s="45"/>
      <c r="AB1236" s="45"/>
      <c r="AC1236" s="45"/>
      <c r="AD1236" s="45"/>
      <c r="AE1236" s="45"/>
      <c r="AF1236" s="45"/>
      <c r="AG1236" s="45"/>
      <c r="AH1236" s="45"/>
      <c r="AI1236" s="45"/>
      <c r="AJ1236" s="45"/>
      <c r="AK1236" s="45"/>
      <c r="AL1236" s="45"/>
      <c r="AM1236" s="45"/>
      <c r="AN1236" s="45"/>
      <c r="AO1236" s="45"/>
      <c r="AP1236" s="45"/>
      <c r="AQ1236" s="45"/>
      <c r="AR1236" s="45"/>
      <c r="AS1236" s="45"/>
      <c r="AT1236" s="45"/>
      <c r="AU1236" s="45"/>
      <c r="AV1236" s="45"/>
      <c r="AW1236" s="45"/>
      <c r="AX1236" s="45"/>
    </row>
    <row r="1237" ht="15.75" customHeight="1">
      <c r="A1237" s="45"/>
      <c r="B1237" s="45"/>
      <c r="C1237" s="46"/>
      <c r="D1237" s="45"/>
      <c r="E1237" s="47"/>
      <c r="F1237" s="45"/>
      <c r="G1237" s="45"/>
      <c r="H1237" s="45"/>
      <c r="I1237" s="45"/>
      <c r="J1237" s="45"/>
      <c r="K1237" s="45"/>
      <c r="L1237" s="45"/>
      <c r="M1237" s="45"/>
      <c r="N1237" s="45"/>
      <c r="O1237" s="45"/>
      <c r="P1237" s="45"/>
      <c r="Q1237" s="45"/>
      <c r="R1237" s="45"/>
      <c r="S1237" s="45"/>
      <c r="T1237" s="45"/>
      <c r="U1237" s="45"/>
      <c r="V1237" s="45"/>
      <c r="W1237" s="45"/>
      <c r="X1237" s="45"/>
      <c r="Y1237" s="45"/>
      <c r="Z1237" s="45"/>
      <c r="AA1237" s="45"/>
      <c r="AB1237" s="45"/>
      <c r="AC1237" s="45"/>
      <c r="AD1237" s="45"/>
      <c r="AE1237" s="45"/>
      <c r="AF1237" s="45"/>
      <c r="AG1237" s="45"/>
      <c r="AH1237" s="45"/>
      <c r="AI1237" s="45"/>
      <c r="AJ1237" s="45"/>
      <c r="AK1237" s="45"/>
      <c r="AL1237" s="45"/>
      <c r="AM1237" s="45"/>
      <c r="AN1237" s="45"/>
      <c r="AO1237" s="45"/>
      <c r="AP1237" s="45"/>
      <c r="AQ1237" s="45"/>
      <c r="AR1237" s="45"/>
      <c r="AS1237" s="45"/>
      <c r="AT1237" s="45"/>
      <c r="AU1237" s="45"/>
      <c r="AV1237" s="45"/>
      <c r="AW1237" s="45"/>
      <c r="AX1237" s="45"/>
    </row>
    <row r="1238" ht="15.75" customHeight="1">
      <c r="A1238" s="45"/>
      <c r="B1238" s="45"/>
      <c r="C1238" s="46"/>
      <c r="D1238" s="45"/>
      <c r="E1238" s="47"/>
      <c r="F1238" s="45"/>
      <c r="G1238" s="45"/>
      <c r="H1238" s="45"/>
      <c r="I1238" s="45"/>
      <c r="J1238" s="45"/>
      <c r="K1238" s="45"/>
      <c r="L1238" s="45"/>
      <c r="M1238" s="45"/>
      <c r="N1238" s="45"/>
      <c r="O1238" s="45"/>
      <c r="P1238" s="45"/>
      <c r="Q1238" s="45"/>
      <c r="R1238" s="45"/>
      <c r="S1238" s="45"/>
      <c r="T1238" s="45"/>
      <c r="U1238" s="45"/>
      <c r="V1238" s="45"/>
      <c r="W1238" s="45"/>
      <c r="X1238" s="45"/>
      <c r="Y1238" s="45"/>
      <c r="Z1238" s="45"/>
      <c r="AA1238" s="45"/>
      <c r="AB1238" s="45"/>
      <c r="AC1238" s="45"/>
      <c r="AD1238" s="45"/>
      <c r="AE1238" s="45"/>
      <c r="AF1238" s="45"/>
      <c r="AG1238" s="45"/>
      <c r="AH1238" s="45"/>
      <c r="AI1238" s="45"/>
      <c r="AJ1238" s="45"/>
      <c r="AK1238" s="45"/>
      <c r="AL1238" s="45"/>
      <c r="AM1238" s="45"/>
      <c r="AN1238" s="45"/>
      <c r="AO1238" s="45"/>
      <c r="AP1238" s="45"/>
      <c r="AQ1238" s="45"/>
      <c r="AR1238" s="45"/>
      <c r="AS1238" s="45"/>
      <c r="AT1238" s="45"/>
      <c r="AU1238" s="45"/>
      <c r="AV1238" s="45"/>
      <c r="AW1238" s="45"/>
      <c r="AX1238" s="45"/>
    </row>
    <row r="1239" ht="15.75" customHeight="1">
      <c r="A1239" s="45"/>
      <c r="B1239" s="45"/>
      <c r="C1239" s="46"/>
      <c r="D1239" s="45"/>
      <c r="E1239" s="47"/>
      <c r="F1239" s="45"/>
      <c r="G1239" s="45"/>
      <c r="H1239" s="45"/>
      <c r="I1239" s="45"/>
      <c r="J1239" s="45"/>
      <c r="K1239" s="45"/>
      <c r="L1239" s="45"/>
      <c r="M1239" s="45"/>
      <c r="N1239" s="45"/>
      <c r="O1239" s="45"/>
      <c r="P1239" s="45"/>
      <c r="Q1239" s="45"/>
      <c r="R1239" s="45"/>
      <c r="S1239" s="45"/>
      <c r="T1239" s="45"/>
      <c r="U1239" s="45"/>
      <c r="V1239" s="45"/>
      <c r="W1239" s="45"/>
      <c r="X1239" s="45"/>
      <c r="Y1239" s="45"/>
      <c r="Z1239" s="45"/>
      <c r="AA1239" s="45"/>
      <c r="AB1239" s="45"/>
      <c r="AC1239" s="45"/>
      <c r="AD1239" s="45"/>
      <c r="AE1239" s="45"/>
      <c r="AF1239" s="45"/>
      <c r="AG1239" s="45"/>
      <c r="AH1239" s="45"/>
      <c r="AI1239" s="45"/>
      <c r="AJ1239" s="45"/>
      <c r="AK1239" s="45"/>
      <c r="AL1239" s="45"/>
      <c r="AM1239" s="45"/>
      <c r="AN1239" s="45"/>
      <c r="AO1239" s="45"/>
      <c r="AP1239" s="45"/>
      <c r="AQ1239" s="45"/>
      <c r="AR1239" s="45"/>
      <c r="AS1239" s="45"/>
      <c r="AT1239" s="45"/>
      <c r="AU1239" s="45"/>
      <c r="AV1239" s="45"/>
      <c r="AW1239" s="45"/>
      <c r="AX1239" s="45"/>
    </row>
    <row r="1240" ht="15.75" customHeight="1">
      <c r="A1240" s="45"/>
      <c r="B1240" s="45"/>
      <c r="C1240" s="46"/>
      <c r="D1240" s="45"/>
      <c r="E1240" s="47"/>
      <c r="F1240" s="45"/>
      <c r="G1240" s="45"/>
      <c r="H1240" s="45"/>
      <c r="I1240" s="45"/>
      <c r="J1240" s="45"/>
      <c r="K1240" s="45"/>
      <c r="L1240" s="45"/>
      <c r="M1240" s="45"/>
      <c r="N1240" s="45"/>
      <c r="O1240" s="45"/>
      <c r="P1240" s="45"/>
      <c r="Q1240" s="45"/>
      <c r="R1240" s="45"/>
      <c r="S1240" s="45"/>
      <c r="T1240" s="45"/>
      <c r="U1240" s="45"/>
      <c r="V1240" s="45"/>
      <c r="W1240" s="45"/>
      <c r="X1240" s="45"/>
      <c r="Y1240" s="45"/>
      <c r="Z1240" s="45"/>
      <c r="AA1240" s="45"/>
      <c r="AB1240" s="45"/>
      <c r="AC1240" s="45"/>
      <c r="AD1240" s="45"/>
      <c r="AE1240" s="45"/>
      <c r="AF1240" s="45"/>
      <c r="AG1240" s="45"/>
      <c r="AH1240" s="45"/>
      <c r="AI1240" s="45"/>
      <c r="AJ1240" s="45"/>
      <c r="AK1240" s="45"/>
      <c r="AL1240" s="45"/>
      <c r="AM1240" s="45"/>
      <c r="AN1240" s="45"/>
      <c r="AO1240" s="45"/>
      <c r="AP1240" s="45"/>
      <c r="AQ1240" s="45"/>
      <c r="AR1240" s="45"/>
      <c r="AS1240" s="45"/>
      <c r="AT1240" s="45"/>
      <c r="AU1240" s="45"/>
      <c r="AV1240" s="45"/>
      <c r="AW1240" s="45"/>
      <c r="AX1240" s="45"/>
    </row>
    <row r="1241" ht="15.75" customHeight="1">
      <c r="A1241" s="45"/>
      <c r="B1241" s="45"/>
      <c r="C1241" s="46"/>
      <c r="D1241" s="45"/>
      <c r="E1241" s="47"/>
      <c r="F1241" s="45"/>
      <c r="G1241" s="45"/>
      <c r="H1241" s="45"/>
      <c r="I1241" s="45"/>
      <c r="J1241" s="45"/>
      <c r="K1241" s="45"/>
      <c r="L1241" s="45"/>
      <c r="M1241" s="45"/>
      <c r="N1241" s="45"/>
      <c r="O1241" s="45"/>
      <c r="P1241" s="45"/>
      <c r="Q1241" s="45"/>
      <c r="R1241" s="45"/>
      <c r="S1241" s="45"/>
      <c r="T1241" s="45"/>
      <c r="U1241" s="45"/>
      <c r="V1241" s="45"/>
      <c r="W1241" s="45"/>
      <c r="X1241" s="45"/>
      <c r="Y1241" s="45"/>
      <c r="Z1241" s="45"/>
      <c r="AA1241" s="45"/>
      <c r="AB1241" s="45"/>
      <c r="AC1241" s="45"/>
      <c r="AD1241" s="45"/>
      <c r="AE1241" s="45"/>
      <c r="AF1241" s="45"/>
      <c r="AG1241" s="45"/>
      <c r="AH1241" s="45"/>
      <c r="AI1241" s="45"/>
      <c r="AJ1241" s="45"/>
      <c r="AK1241" s="45"/>
      <c r="AL1241" s="45"/>
      <c r="AM1241" s="45"/>
      <c r="AN1241" s="45"/>
      <c r="AO1241" s="45"/>
      <c r="AP1241" s="45"/>
      <c r="AQ1241" s="45"/>
      <c r="AR1241" s="45"/>
      <c r="AS1241" s="45"/>
      <c r="AT1241" s="45"/>
      <c r="AU1241" s="45"/>
      <c r="AV1241" s="45"/>
      <c r="AW1241" s="45"/>
      <c r="AX1241" s="45"/>
    </row>
    <row r="1242" ht="15.75" customHeight="1">
      <c r="A1242" s="45"/>
      <c r="B1242" s="45"/>
      <c r="C1242" s="46"/>
      <c r="D1242" s="45"/>
      <c r="E1242" s="47"/>
      <c r="F1242" s="45"/>
      <c r="G1242" s="45"/>
      <c r="H1242" s="45"/>
      <c r="I1242" s="45"/>
      <c r="J1242" s="45"/>
      <c r="K1242" s="45"/>
      <c r="L1242" s="45"/>
      <c r="M1242" s="45"/>
      <c r="N1242" s="45"/>
      <c r="O1242" s="45"/>
      <c r="P1242" s="45"/>
      <c r="Q1242" s="45"/>
      <c r="R1242" s="45"/>
      <c r="S1242" s="45"/>
      <c r="T1242" s="45"/>
      <c r="U1242" s="45"/>
      <c r="V1242" s="45"/>
      <c r="W1242" s="45"/>
      <c r="X1242" s="45"/>
      <c r="Y1242" s="45"/>
      <c r="Z1242" s="45"/>
      <c r="AA1242" s="45"/>
      <c r="AB1242" s="45"/>
      <c r="AC1242" s="45"/>
      <c r="AD1242" s="45"/>
      <c r="AE1242" s="45"/>
      <c r="AF1242" s="45"/>
      <c r="AG1242" s="45"/>
      <c r="AH1242" s="45"/>
      <c r="AI1242" s="45"/>
      <c r="AJ1242" s="45"/>
      <c r="AK1242" s="45"/>
      <c r="AL1242" s="45"/>
      <c r="AM1242" s="45"/>
      <c r="AN1242" s="45"/>
      <c r="AO1242" s="45"/>
      <c r="AP1242" s="45"/>
      <c r="AQ1242" s="45"/>
      <c r="AR1242" s="45"/>
      <c r="AS1242" s="45"/>
      <c r="AT1242" s="45"/>
      <c r="AU1242" s="45"/>
      <c r="AV1242" s="45"/>
      <c r="AW1242" s="45"/>
      <c r="AX1242" s="45"/>
    </row>
    <row r="1243" ht="15.75" customHeight="1">
      <c r="A1243" s="45"/>
      <c r="B1243" s="45"/>
      <c r="C1243" s="46"/>
      <c r="D1243" s="45"/>
      <c r="E1243" s="47"/>
      <c r="F1243" s="45"/>
      <c r="G1243" s="45"/>
      <c r="H1243" s="45"/>
      <c r="I1243" s="45"/>
      <c r="J1243" s="45"/>
      <c r="K1243" s="45"/>
      <c r="L1243" s="45"/>
      <c r="M1243" s="45"/>
      <c r="N1243" s="45"/>
      <c r="O1243" s="45"/>
      <c r="P1243" s="45"/>
      <c r="Q1243" s="45"/>
      <c r="R1243" s="45"/>
      <c r="S1243" s="45"/>
      <c r="T1243" s="45"/>
      <c r="U1243" s="45"/>
      <c r="V1243" s="45"/>
      <c r="W1243" s="45"/>
      <c r="X1243" s="45"/>
      <c r="Y1243" s="45"/>
      <c r="Z1243" s="45"/>
      <c r="AA1243" s="45"/>
      <c r="AB1243" s="45"/>
      <c r="AC1243" s="45"/>
      <c r="AD1243" s="45"/>
      <c r="AE1243" s="45"/>
      <c r="AF1243" s="45"/>
      <c r="AG1243" s="45"/>
      <c r="AH1243" s="45"/>
      <c r="AI1243" s="45"/>
      <c r="AJ1243" s="45"/>
      <c r="AK1243" s="45"/>
      <c r="AL1243" s="45"/>
      <c r="AM1243" s="45"/>
      <c r="AN1243" s="45"/>
      <c r="AO1243" s="45"/>
      <c r="AP1243" s="45"/>
      <c r="AQ1243" s="45"/>
      <c r="AR1243" s="45"/>
      <c r="AS1243" s="45"/>
      <c r="AT1243" s="45"/>
      <c r="AU1243" s="45"/>
      <c r="AV1243" s="45"/>
      <c r="AW1243" s="45"/>
      <c r="AX1243" s="45"/>
    </row>
    <row r="1244" ht="15.75" customHeight="1">
      <c r="A1244" s="45"/>
      <c r="B1244" s="45"/>
      <c r="C1244" s="46"/>
      <c r="D1244" s="45"/>
      <c r="E1244" s="47"/>
      <c r="F1244" s="45"/>
      <c r="G1244" s="45"/>
      <c r="H1244" s="45"/>
      <c r="I1244" s="45"/>
      <c r="J1244" s="45"/>
      <c r="K1244" s="45"/>
      <c r="L1244" s="45"/>
      <c r="M1244" s="45"/>
      <c r="N1244" s="45"/>
      <c r="O1244" s="45"/>
      <c r="P1244" s="45"/>
      <c r="Q1244" s="45"/>
      <c r="R1244" s="45"/>
      <c r="S1244" s="45"/>
      <c r="T1244" s="45"/>
      <c r="U1244" s="45"/>
      <c r="V1244" s="45"/>
      <c r="W1244" s="45"/>
      <c r="X1244" s="45"/>
      <c r="Y1244" s="45"/>
      <c r="Z1244" s="45"/>
      <c r="AA1244" s="45"/>
      <c r="AB1244" s="45"/>
      <c r="AC1244" s="45"/>
      <c r="AD1244" s="45"/>
      <c r="AE1244" s="45"/>
      <c r="AF1244" s="45"/>
      <c r="AG1244" s="45"/>
      <c r="AH1244" s="45"/>
      <c r="AI1244" s="45"/>
      <c r="AJ1244" s="45"/>
      <c r="AK1244" s="45"/>
      <c r="AL1244" s="45"/>
      <c r="AM1244" s="45"/>
      <c r="AN1244" s="45"/>
      <c r="AO1244" s="45"/>
      <c r="AP1244" s="45"/>
      <c r="AQ1244" s="45"/>
      <c r="AR1244" s="45"/>
      <c r="AS1244" s="45"/>
      <c r="AT1244" s="45"/>
      <c r="AU1244" s="45"/>
      <c r="AV1244" s="45"/>
      <c r="AW1244" s="45"/>
      <c r="AX1244" s="45"/>
    </row>
    <row r="1245" ht="15.75" customHeight="1">
      <c r="A1245" s="45"/>
      <c r="B1245" s="45"/>
      <c r="C1245" s="46"/>
      <c r="D1245" s="45"/>
      <c r="E1245" s="47"/>
      <c r="F1245" s="45"/>
      <c r="G1245" s="45"/>
      <c r="H1245" s="45"/>
      <c r="I1245" s="45"/>
      <c r="J1245" s="45"/>
      <c r="K1245" s="45"/>
      <c r="L1245" s="45"/>
      <c r="M1245" s="45"/>
      <c r="N1245" s="45"/>
      <c r="O1245" s="45"/>
      <c r="P1245" s="45"/>
      <c r="Q1245" s="45"/>
      <c r="R1245" s="45"/>
      <c r="S1245" s="45"/>
      <c r="T1245" s="45"/>
      <c r="U1245" s="45"/>
      <c r="V1245" s="45"/>
      <c r="W1245" s="45"/>
      <c r="X1245" s="45"/>
      <c r="Y1245" s="45"/>
      <c r="Z1245" s="45"/>
      <c r="AA1245" s="45"/>
      <c r="AB1245" s="45"/>
      <c r="AC1245" s="45"/>
      <c r="AD1245" s="45"/>
      <c r="AE1245" s="45"/>
      <c r="AF1245" s="45"/>
      <c r="AG1245" s="45"/>
      <c r="AH1245" s="45"/>
      <c r="AI1245" s="45"/>
      <c r="AJ1245" s="45"/>
      <c r="AK1245" s="45"/>
      <c r="AL1245" s="45"/>
      <c r="AM1245" s="45"/>
      <c r="AN1245" s="45"/>
      <c r="AO1245" s="45"/>
      <c r="AP1245" s="45"/>
      <c r="AQ1245" s="45"/>
      <c r="AR1245" s="45"/>
      <c r="AS1245" s="45"/>
      <c r="AT1245" s="45"/>
      <c r="AU1245" s="45"/>
      <c r="AV1245" s="45"/>
      <c r="AW1245" s="45"/>
      <c r="AX1245" s="45"/>
    </row>
    <row r="1246" ht="15.75" customHeight="1">
      <c r="A1246" s="45"/>
      <c r="B1246" s="45"/>
      <c r="C1246" s="46"/>
      <c r="D1246" s="45"/>
      <c r="E1246" s="47"/>
      <c r="F1246" s="45"/>
      <c r="G1246" s="45"/>
      <c r="H1246" s="45"/>
      <c r="I1246" s="45"/>
      <c r="J1246" s="45"/>
      <c r="K1246" s="45"/>
      <c r="L1246" s="45"/>
      <c r="M1246" s="45"/>
      <c r="N1246" s="45"/>
      <c r="O1246" s="45"/>
      <c r="P1246" s="45"/>
      <c r="Q1246" s="45"/>
      <c r="R1246" s="45"/>
      <c r="S1246" s="45"/>
      <c r="T1246" s="45"/>
      <c r="U1246" s="45"/>
      <c r="V1246" s="45"/>
      <c r="W1246" s="45"/>
      <c r="X1246" s="45"/>
      <c r="Y1246" s="45"/>
      <c r="Z1246" s="45"/>
      <c r="AA1246" s="45"/>
      <c r="AB1246" s="45"/>
      <c r="AC1246" s="45"/>
      <c r="AD1246" s="45"/>
      <c r="AE1246" s="45"/>
      <c r="AF1246" s="45"/>
      <c r="AG1246" s="45"/>
      <c r="AH1246" s="45"/>
      <c r="AI1246" s="45"/>
      <c r="AJ1246" s="45"/>
      <c r="AK1246" s="45"/>
      <c r="AL1246" s="45"/>
      <c r="AM1246" s="45"/>
      <c r="AN1246" s="45"/>
      <c r="AO1246" s="45"/>
      <c r="AP1246" s="45"/>
      <c r="AQ1246" s="45"/>
      <c r="AR1246" s="45"/>
      <c r="AS1246" s="45"/>
      <c r="AT1246" s="45"/>
      <c r="AU1246" s="45"/>
      <c r="AV1246" s="45"/>
      <c r="AW1246" s="45"/>
      <c r="AX1246" s="45"/>
    </row>
    <row r="1247" ht="15.75" customHeight="1">
      <c r="A1247" s="45"/>
      <c r="B1247" s="45"/>
      <c r="C1247" s="46"/>
      <c r="D1247" s="45"/>
      <c r="E1247" s="47"/>
      <c r="F1247" s="45"/>
      <c r="G1247" s="45"/>
      <c r="H1247" s="45"/>
      <c r="I1247" s="45"/>
      <c r="J1247" s="45"/>
      <c r="K1247" s="45"/>
      <c r="L1247" s="45"/>
      <c r="M1247" s="45"/>
      <c r="N1247" s="45"/>
      <c r="O1247" s="45"/>
      <c r="P1247" s="45"/>
      <c r="Q1247" s="45"/>
      <c r="R1247" s="45"/>
      <c r="S1247" s="45"/>
      <c r="T1247" s="45"/>
      <c r="U1247" s="45"/>
      <c r="V1247" s="45"/>
      <c r="W1247" s="45"/>
      <c r="X1247" s="45"/>
      <c r="Y1247" s="45"/>
      <c r="Z1247" s="45"/>
      <c r="AA1247" s="45"/>
      <c r="AB1247" s="45"/>
      <c r="AC1247" s="45"/>
      <c r="AD1247" s="45"/>
      <c r="AE1247" s="45"/>
      <c r="AF1247" s="45"/>
      <c r="AG1247" s="45"/>
      <c r="AH1247" s="45"/>
      <c r="AI1247" s="45"/>
      <c r="AJ1247" s="45"/>
      <c r="AK1247" s="45"/>
      <c r="AL1247" s="45"/>
      <c r="AM1247" s="45"/>
      <c r="AN1247" s="45"/>
      <c r="AO1247" s="45"/>
      <c r="AP1247" s="45"/>
      <c r="AQ1247" s="45"/>
      <c r="AR1247" s="45"/>
      <c r="AS1247" s="45"/>
      <c r="AT1247" s="45"/>
      <c r="AU1247" s="45"/>
      <c r="AV1247" s="45"/>
      <c r="AW1247" s="45"/>
      <c r="AX1247" s="45"/>
    </row>
    <row r="1248" ht="15.75" customHeight="1">
      <c r="A1248" s="45"/>
      <c r="B1248" s="45"/>
      <c r="C1248" s="46"/>
      <c r="D1248" s="45"/>
      <c r="E1248" s="47"/>
      <c r="F1248" s="45"/>
      <c r="G1248" s="45"/>
      <c r="H1248" s="45"/>
      <c r="I1248" s="45"/>
      <c r="J1248" s="45"/>
      <c r="K1248" s="45"/>
      <c r="L1248" s="45"/>
      <c r="M1248" s="45"/>
      <c r="N1248" s="45"/>
      <c r="O1248" s="45"/>
      <c r="P1248" s="45"/>
      <c r="Q1248" s="45"/>
      <c r="R1248" s="45"/>
      <c r="S1248" s="45"/>
      <c r="T1248" s="45"/>
      <c r="U1248" s="45"/>
      <c r="V1248" s="45"/>
      <c r="W1248" s="45"/>
      <c r="X1248" s="45"/>
      <c r="Y1248" s="45"/>
      <c r="Z1248" s="45"/>
      <c r="AA1248" s="45"/>
      <c r="AB1248" s="45"/>
      <c r="AC1248" s="45"/>
      <c r="AD1248" s="45"/>
      <c r="AE1248" s="45"/>
      <c r="AF1248" s="45"/>
      <c r="AG1248" s="45"/>
      <c r="AH1248" s="45"/>
      <c r="AI1248" s="45"/>
      <c r="AJ1248" s="45"/>
      <c r="AK1248" s="45"/>
      <c r="AL1248" s="45"/>
      <c r="AM1248" s="45"/>
      <c r="AN1248" s="45"/>
      <c r="AO1248" s="45"/>
      <c r="AP1248" s="45"/>
      <c r="AQ1248" s="45"/>
      <c r="AR1248" s="45"/>
      <c r="AS1248" s="45"/>
      <c r="AT1248" s="45"/>
      <c r="AU1248" s="45"/>
      <c r="AV1248" s="45"/>
      <c r="AW1248" s="45"/>
      <c r="AX1248" s="45"/>
    </row>
    <row r="1249" ht="15.75" customHeight="1">
      <c r="A1249" s="45"/>
      <c r="B1249" s="45"/>
      <c r="C1249" s="46"/>
      <c r="D1249" s="45"/>
      <c r="E1249" s="47"/>
      <c r="F1249" s="45"/>
      <c r="G1249" s="45"/>
      <c r="H1249" s="45"/>
      <c r="I1249" s="45"/>
      <c r="J1249" s="45"/>
      <c r="K1249" s="45"/>
      <c r="L1249" s="45"/>
      <c r="M1249" s="45"/>
      <c r="N1249" s="45"/>
      <c r="O1249" s="45"/>
      <c r="P1249" s="45"/>
      <c r="Q1249" s="45"/>
      <c r="R1249" s="45"/>
      <c r="S1249" s="45"/>
      <c r="T1249" s="45"/>
      <c r="U1249" s="45"/>
      <c r="V1249" s="45"/>
      <c r="W1249" s="45"/>
      <c r="X1249" s="45"/>
      <c r="Y1249" s="45"/>
      <c r="Z1249" s="45"/>
      <c r="AA1249" s="45"/>
      <c r="AB1249" s="45"/>
      <c r="AC1249" s="45"/>
      <c r="AD1249" s="45"/>
      <c r="AE1249" s="45"/>
      <c r="AF1249" s="45"/>
      <c r="AG1249" s="45"/>
      <c r="AH1249" s="45"/>
      <c r="AI1249" s="45"/>
      <c r="AJ1249" s="45"/>
      <c r="AK1249" s="45"/>
      <c r="AL1249" s="45"/>
      <c r="AM1249" s="45"/>
      <c r="AN1249" s="45"/>
      <c r="AO1249" s="45"/>
      <c r="AP1249" s="45"/>
      <c r="AQ1249" s="45"/>
      <c r="AR1249" s="45"/>
      <c r="AS1249" s="45"/>
      <c r="AT1249" s="45"/>
      <c r="AU1249" s="45"/>
      <c r="AV1249" s="45"/>
      <c r="AW1249" s="45"/>
      <c r="AX1249" s="45"/>
    </row>
    <row r="1250" ht="15.75" customHeight="1">
      <c r="A1250" s="45"/>
      <c r="B1250" s="45"/>
      <c r="C1250" s="46"/>
      <c r="D1250" s="45"/>
      <c r="E1250" s="47"/>
      <c r="F1250" s="45"/>
      <c r="G1250" s="45"/>
      <c r="H1250" s="45"/>
      <c r="I1250" s="45"/>
      <c r="J1250" s="45"/>
      <c r="K1250" s="45"/>
      <c r="L1250" s="45"/>
      <c r="M1250" s="45"/>
      <c r="N1250" s="45"/>
      <c r="O1250" s="45"/>
      <c r="P1250" s="45"/>
      <c r="Q1250" s="45"/>
      <c r="R1250" s="45"/>
      <c r="S1250" s="45"/>
      <c r="T1250" s="45"/>
      <c r="U1250" s="45"/>
      <c r="V1250" s="45"/>
      <c r="W1250" s="45"/>
      <c r="X1250" s="45"/>
      <c r="Y1250" s="45"/>
      <c r="Z1250" s="45"/>
      <c r="AA1250" s="45"/>
      <c r="AB1250" s="45"/>
      <c r="AC1250" s="45"/>
      <c r="AD1250" s="45"/>
      <c r="AE1250" s="45"/>
      <c r="AF1250" s="45"/>
      <c r="AG1250" s="45"/>
      <c r="AH1250" s="45"/>
      <c r="AI1250" s="45"/>
      <c r="AJ1250" s="45"/>
      <c r="AK1250" s="45"/>
      <c r="AL1250" s="45"/>
      <c r="AM1250" s="45"/>
      <c r="AN1250" s="45"/>
      <c r="AO1250" s="45"/>
      <c r="AP1250" s="45"/>
      <c r="AQ1250" s="45"/>
      <c r="AR1250" s="45"/>
      <c r="AS1250" s="45"/>
      <c r="AT1250" s="45"/>
      <c r="AU1250" s="45"/>
      <c r="AV1250" s="45"/>
      <c r="AW1250" s="45"/>
      <c r="AX1250" s="45"/>
    </row>
    <row r="1251" ht="15.75" customHeight="1">
      <c r="A1251" s="45"/>
      <c r="B1251" s="45"/>
      <c r="C1251" s="46"/>
      <c r="D1251" s="45"/>
      <c r="E1251" s="47"/>
      <c r="F1251" s="45"/>
      <c r="G1251" s="45"/>
      <c r="H1251" s="45"/>
      <c r="I1251" s="45"/>
      <c r="J1251" s="45"/>
      <c r="K1251" s="45"/>
      <c r="L1251" s="45"/>
      <c r="M1251" s="45"/>
      <c r="N1251" s="45"/>
      <c r="O1251" s="45"/>
      <c r="P1251" s="45"/>
      <c r="Q1251" s="45"/>
      <c r="R1251" s="45"/>
      <c r="S1251" s="45"/>
      <c r="T1251" s="45"/>
      <c r="U1251" s="45"/>
      <c r="V1251" s="45"/>
      <c r="W1251" s="45"/>
      <c r="X1251" s="45"/>
      <c r="Y1251" s="45"/>
      <c r="Z1251" s="45"/>
      <c r="AA1251" s="45"/>
      <c r="AB1251" s="45"/>
      <c r="AC1251" s="45"/>
      <c r="AD1251" s="45"/>
      <c r="AE1251" s="45"/>
      <c r="AF1251" s="45"/>
      <c r="AG1251" s="45"/>
      <c r="AH1251" s="45"/>
      <c r="AI1251" s="45"/>
      <c r="AJ1251" s="45"/>
      <c r="AK1251" s="45"/>
      <c r="AL1251" s="45"/>
      <c r="AM1251" s="45"/>
      <c r="AN1251" s="45"/>
      <c r="AO1251" s="45"/>
      <c r="AP1251" s="45"/>
      <c r="AQ1251" s="45"/>
      <c r="AR1251" s="45"/>
      <c r="AS1251" s="45"/>
      <c r="AT1251" s="45"/>
      <c r="AU1251" s="45"/>
      <c r="AV1251" s="45"/>
      <c r="AW1251" s="45"/>
      <c r="AX1251" s="45"/>
    </row>
    <row r="1252" ht="15.75" customHeight="1">
      <c r="A1252" s="45"/>
      <c r="B1252" s="45"/>
      <c r="C1252" s="46"/>
      <c r="D1252" s="45"/>
      <c r="E1252" s="47"/>
      <c r="F1252" s="45"/>
      <c r="G1252" s="45"/>
      <c r="H1252" s="45"/>
      <c r="I1252" s="45"/>
      <c r="J1252" s="45"/>
      <c r="K1252" s="45"/>
      <c r="L1252" s="45"/>
      <c r="M1252" s="45"/>
      <c r="N1252" s="45"/>
      <c r="O1252" s="45"/>
      <c r="P1252" s="45"/>
      <c r="Q1252" s="45"/>
      <c r="R1252" s="45"/>
      <c r="S1252" s="45"/>
      <c r="T1252" s="45"/>
      <c r="U1252" s="45"/>
      <c r="V1252" s="45"/>
      <c r="W1252" s="45"/>
      <c r="X1252" s="45"/>
      <c r="Y1252" s="45"/>
      <c r="Z1252" s="45"/>
      <c r="AA1252" s="45"/>
      <c r="AB1252" s="45"/>
      <c r="AC1252" s="45"/>
      <c r="AD1252" s="45"/>
      <c r="AE1252" s="45"/>
      <c r="AF1252" s="45"/>
      <c r="AG1252" s="45"/>
      <c r="AH1252" s="45"/>
      <c r="AI1252" s="45"/>
      <c r="AJ1252" s="45"/>
      <c r="AK1252" s="45"/>
      <c r="AL1252" s="45"/>
      <c r="AM1252" s="45"/>
      <c r="AN1252" s="45"/>
      <c r="AO1252" s="45"/>
      <c r="AP1252" s="45"/>
      <c r="AQ1252" s="45"/>
      <c r="AR1252" s="45"/>
      <c r="AS1252" s="45"/>
      <c r="AT1252" s="45"/>
      <c r="AU1252" s="45"/>
      <c r="AV1252" s="45"/>
      <c r="AW1252" s="45"/>
      <c r="AX1252" s="45"/>
    </row>
    <row r="1253" ht="15.75" customHeight="1">
      <c r="A1253" s="45"/>
      <c r="B1253" s="45"/>
      <c r="C1253" s="46"/>
      <c r="D1253" s="45"/>
      <c r="E1253" s="47"/>
      <c r="F1253" s="45"/>
      <c r="G1253" s="45"/>
      <c r="H1253" s="45"/>
      <c r="I1253" s="45"/>
      <c r="J1253" s="45"/>
      <c r="K1253" s="45"/>
      <c r="L1253" s="45"/>
      <c r="M1253" s="45"/>
      <c r="N1253" s="45"/>
      <c r="O1253" s="45"/>
      <c r="P1253" s="45"/>
      <c r="Q1253" s="45"/>
      <c r="R1253" s="45"/>
      <c r="S1253" s="45"/>
      <c r="T1253" s="45"/>
      <c r="U1253" s="45"/>
      <c r="V1253" s="45"/>
      <c r="W1253" s="45"/>
      <c r="X1253" s="45"/>
      <c r="Y1253" s="45"/>
      <c r="Z1253" s="45"/>
      <c r="AA1253" s="45"/>
      <c r="AB1253" s="45"/>
      <c r="AC1253" s="45"/>
      <c r="AD1253" s="45"/>
      <c r="AE1253" s="45"/>
      <c r="AF1253" s="45"/>
      <c r="AG1253" s="45"/>
      <c r="AH1253" s="45"/>
      <c r="AI1253" s="45"/>
      <c r="AJ1253" s="45"/>
      <c r="AK1253" s="45"/>
      <c r="AL1253" s="45"/>
      <c r="AM1253" s="45"/>
      <c r="AN1253" s="45"/>
      <c r="AO1253" s="45"/>
      <c r="AP1253" s="45"/>
      <c r="AQ1253" s="45"/>
      <c r="AR1253" s="45"/>
      <c r="AS1253" s="45"/>
      <c r="AT1253" s="45"/>
      <c r="AU1253" s="45"/>
      <c r="AV1253" s="45"/>
      <c r="AW1253" s="45"/>
      <c r="AX1253" s="45"/>
    </row>
    <row r="1254" ht="15.75" customHeight="1">
      <c r="A1254" s="45"/>
      <c r="B1254" s="45"/>
      <c r="C1254" s="46"/>
      <c r="D1254" s="45"/>
      <c r="E1254" s="47"/>
      <c r="F1254" s="45"/>
      <c r="G1254" s="45"/>
      <c r="H1254" s="45"/>
      <c r="I1254" s="45"/>
      <c r="J1254" s="45"/>
      <c r="K1254" s="45"/>
      <c r="L1254" s="45"/>
      <c r="M1254" s="45"/>
      <c r="N1254" s="45"/>
      <c r="O1254" s="45"/>
      <c r="P1254" s="45"/>
      <c r="Q1254" s="45"/>
      <c r="R1254" s="45"/>
      <c r="S1254" s="45"/>
      <c r="T1254" s="45"/>
      <c r="U1254" s="45"/>
      <c r="V1254" s="45"/>
      <c r="W1254" s="45"/>
      <c r="X1254" s="45"/>
      <c r="Y1254" s="45"/>
      <c r="Z1254" s="45"/>
      <c r="AA1254" s="45"/>
      <c r="AB1254" s="45"/>
      <c r="AC1254" s="45"/>
      <c r="AD1254" s="45"/>
      <c r="AE1254" s="45"/>
      <c r="AF1254" s="45"/>
      <c r="AG1254" s="45"/>
      <c r="AH1254" s="45"/>
      <c r="AI1254" s="45"/>
      <c r="AJ1254" s="45"/>
      <c r="AK1254" s="45"/>
      <c r="AL1254" s="45"/>
      <c r="AM1254" s="45"/>
      <c r="AN1254" s="45"/>
      <c r="AO1254" s="45"/>
      <c r="AP1254" s="45"/>
      <c r="AQ1254" s="45"/>
      <c r="AR1254" s="45"/>
      <c r="AS1254" s="45"/>
      <c r="AT1254" s="45"/>
      <c r="AU1254" s="45"/>
      <c r="AV1254" s="45"/>
      <c r="AW1254" s="45"/>
      <c r="AX1254" s="45"/>
    </row>
    <row r="1255" ht="15.75" customHeight="1">
      <c r="A1255" s="45"/>
      <c r="B1255" s="45"/>
      <c r="C1255" s="46"/>
      <c r="D1255" s="45"/>
      <c r="E1255" s="47"/>
      <c r="F1255" s="45"/>
      <c r="G1255" s="45"/>
      <c r="H1255" s="45"/>
      <c r="I1255" s="45"/>
      <c r="J1255" s="45"/>
      <c r="K1255" s="45"/>
      <c r="L1255" s="45"/>
      <c r="M1255" s="45"/>
      <c r="N1255" s="45"/>
      <c r="O1255" s="45"/>
      <c r="P1255" s="45"/>
      <c r="Q1255" s="45"/>
      <c r="R1255" s="45"/>
      <c r="S1255" s="45"/>
      <c r="T1255" s="45"/>
      <c r="U1255" s="45"/>
      <c r="V1255" s="45"/>
      <c r="W1255" s="45"/>
      <c r="X1255" s="45"/>
      <c r="Y1255" s="45"/>
      <c r="Z1255" s="45"/>
      <c r="AA1255" s="45"/>
      <c r="AB1255" s="45"/>
      <c r="AC1255" s="45"/>
      <c r="AD1255" s="45"/>
      <c r="AE1255" s="45"/>
      <c r="AF1255" s="45"/>
      <c r="AG1255" s="45"/>
      <c r="AH1255" s="45"/>
      <c r="AI1255" s="45"/>
      <c r="AJ1255" s="45"/>
      <c r="AK1255" s="45"/>
      <c r="AL1255" s="45"/>
      <c r="AM1255" s="45"/>
      <c r="AN1255" s="45"/>
      <c r="AO1255" s="45"/>
      <c r="AP1255" s="45"/>
      <c r="AQ1255" s="45"/>
      <c r="AR1255" s="45"/>
      <c r="AS1255" s="45"/>
      <c r="AT1255" s="45"/>
      <c r="AU1255" s="45"/>
      <c r="AV1255" s="45"/>
      <c r="AW1255" s="45"/>
      <c r="AX1255" s="45"/>
    </row>
    <row r="1256" ht="15.75" customHeight="1">
      <c r="A1256" s="45"/>
      <c r="B1256" s="45"/>
      <c r="C1256" s="46"/>
      <c r="D1256" s="45"/>
      <c r="E1256" s="47"/>
      <c r="F1256" s="45"/>
      <c r="G1256" s="45"/>
      <c r="H1256" s="45"/>
      <c r="I1256" s="45"/>
      <c r="J1256" s="45"/>
      <c r="K1256" s="45"/>
      <c r="L1256" s="45"/>
      <c r="M1256" s="45"/>
      <c r="N1256" s="45"/>
      <c r="O1256" s="45"/>
      <c r="P1256" s="45"/>
      <c r="Q1256" s="45"/>
      <c r="R1256" s="45"/>
      <c r="S1256" s="45"/>
      <c r="T1256" s="45"/>
      <c r="U1256" s="45"/>
      <c r="V1256" s="45"/>
      <c r="W1256" s="45"/>
      <c r="X1256" s="45"/>
      <c r="Y1256" s="45"/>
      <c r="Z1256" s="45"/>
      <c r="AA1256" s="45"/>
      <c r="AB1256" s="45"/>
      <c r="AC1256" s="45"/>
      <c r="AD1256" s="45"/>
      <c r="AE1256" s="45"/>
      <c r="AF1256" s="45"/>
      <c r="AG1256" s="45"/>
      <c r="AH1256" s="45"/>
      <c r="AI1256" s="45"/>
      <c r="AJ1256" s="45"/>
      <c r="AK1256" s="45"/>
      <c r="AL1256" s="45"/>
      <c r="AM1256" s="45"/>
      <c r="AN1256" s="45"/>
      <c r="AO1256" s="45"/>
      <c r="AP1256" s="45"/>
      <c r="AQ1256" s="45"/>
      <c r="AR1256" s="45"/>
      <c r="AS1256" s="45"/>
      <c r="AT1256" s="45"/>
      <c r="AU1256" s="45"/>
      <c r="AV1256" s="45"/>
      <c r="AW1256" s="45"/>
      <c r="AX1256" s="45"/>
    </row>
    <row r="1257" ht="15.75" customHeight="1">
      <c r="A1257" s="45"/>
      <c r="B1257" s="45"/>
      <c r="C1257" s="46"/>
      <c r="D1257" s="45"/>
      <c r="E1257" s="47"/>
      <c r="F1257" s="45"/>
      <c r="G1257" s="45"/>
      <c r="H1257" s="45"/>
      <c r="I1257" s="45"/>
      <c r="J1257" s="45"/>
      <c r="K1257" s="45"/>
      <c r="L1257" s="45"/>
      <c r="M1257" s="45"/>
      <c r="N1257" s="45"/>
      <c r="O1257" s="45"/>
      <c r="P1257" s="45"/>
      <c r="Q1257" s="45"/>
      <c r="R1257" s="45"/>
      <c r="S1257" s="45"/>
      <c r="T1257" s="45"/>
      <c r="U1257" s="45"/>
      <c r="V1257" s="45"/>
      <c r="W1257" s="45"/>
      <c r="X1257" s="45"/>
      <c r="Y1257" s="45"/>
      <c r="Z1257" s="45"/>
      <c r="AA1257" s="45"/>
      <c r="AB1257" s="45"/>
      <c r="AC1257" s="45"/>
      <c r="AD1257" s="45"/>
      <c r="AE1257" s="45"/>
      <c r="AF1257" s="45"/>
      <c r="AG1257" s="45"/>
      <c r="AH1257" s="45"/>
      <c r="AI1257" s="45"/>
      <c r="AJ1257" s="45"/>
      <c r="AK1257" s="45"/>
      <c r="AL1257" s="45"/>
      <c r="AM1257" s="45"/>
      <c r="AN1257" s="45"/>
      <c r="AO1257" s="45"/>
      <c r="AP1257" s="45"/>
      <c r="AQ1257" s="45"/>
      <c r="AR1257" s="45"/>
      <c r="AS1257" s="45"/>
      <c r="AT1257" s="45"/>
      <c r="AU1257" s="45"/>
      <c r="AV1257" s="45"/>
      <c r="AW1257" s="45"/>
      <c r="AX1257" s="45"/>
    </row>
    <row r="1258" ht="15.75" customHeight="1">
      <c r="A1258" s="45"/>
      <c r="B1258" s="45"/>
      <c r="C1258" s="46"/>
      <c r="D1258" s="45"/>
      <c r="E1258" s="47"/>
      <c r="F1258" s="45"/>
      <c r="G1258" s="45"/>
      <c r="H1258" s="45"/>
      <c r="I1258" s="45"/>
      <c r="J1258" s="45"/>
      <c r="K1258" s="45"/>
      <c r="L1258" s="45"/>
      <c r="M1258" s="45"/>
      <c r="N1258" s="45"/>
      <c r="O1258" s="45"/>
      <c r="P1258" s="45"/>
      <c r="Q1258" s="45"/>
      <c r="R1258" s="45"/>
      <c r="S1258" s="45"/>
      <c r="T1258" s="45"/>
      <c r="U1258" s="45"/>
      <c r="V1258" s="45"/>
      <c r="W1258" s="45"/>
      <c r="X1258" s="45"/>
      <c r="Y1258" s="45"/>
      <c r="Z1258" s="45"/>
      <c r="AA1258" s="45"/>
      <c r="AB1258" s="45"/>
      <c r="AC1258" s="45"/>
      <c r="AD1258" s="45"/>
      <c r="AE1258" s="45"/>
      <c r="AF1258" s="45"/>
      <c r="AG1258" s="45"/>
      <c r="AH1258" s="45"/>
      <c r="AI1258" s="45"/>
      <c r="AJ1258" s="45"/>
      <c r="AK1258" s="45"/>
      <c r="AL1258" s="45"/>
      <c r="AM1258" s="45"/>
      <c r="AN1258" s="45"/>
      <c r="AO1258" s="45"/>
      <c r="AP1258" s="45"/>
      <c r="AQ1258" s="45"/>
      <c r="AR1258" s="45"/>
      <c r="AS1258" s="45"/>
      <c r="AT1258" s="45"/>
      <c r="AU1258" s="45"/>
      <c r="AV1258" s="45"/>
      <c r="AW1258" s="45"/>
      <c r="AX1258" s="45"/>
    </row>
    <row r="1259" ht="15.75" customHeight="1">
      <c r="A1259" s="45"/>
      <c r="B1259" s="45"/>
      <c r="C1259" s="46"/>
      <c r="D1259" s="45"/>
      <c r="E1259" s="47"/>
      <c r="F1259" s="45"/>
      <c r="G1259" s="45"/>
      <c r="H1259" s="45"/>
      <c r="I1259" s="45"/>
      <c r="J1259" s="45"/>
      <c r="K1259" s="45"/>
      <c r="L1259" s="45"/>
      <c r="M1259" s="45"/>
      <c r="N1259" s="45"/>
      <c r="O1259" s="45"/>
      <c r="P1259" s="45"/>
      <c r="Q1259" s="45"/>
      <c r="R1259" s="45"/>
      <c r="S1259" s="45"/>
      <c r="T1259" s="45"/>
      <c r="U1259" s="45"/>
      <c r="V1259" s="45"/>
      <c r="W1259" s="45"/>
      <c r="X1259" s="45"/>
      <c r="Y1259" s="45"/>
      <c r="Z1259" s="45"/>
      <c r="AA1259" s="45"/>
      <c r="AB1259" s="45"/>
      <c r="AC1259" s="45"/>
      <c r="AD1259" s="45"/>
      <c r="AE1259" s="45"/>
      <c r="AF1259" s="45"/>
      <c r="AG1259" s="45"/>
      <c r="AH1259" s="45"/>
      <c r="AI1259" s="45"/>
      <c r="AJ1259" s="45"/>
      <c r="AK1259" s="45"/>
      <c r="AL1259" s="45"/>
      <c r="AM1259" s="45"/>
      <c r="AN1259" s="45"/>
      <c r="AO1259" s="45"/>
      <c r="AP1259" s="45"/>
      <c r="AQ1259" s="45"/>
      <c r="AR1259" s="45"/>
      <c r="AS1259" s="45"/>
      <c r="AT1259" s="45"/>
      <c r="AU1259" s="45"/>
      <c r="AV1259" s="45"/>
      <c r="AW1259" s="45"/>
      <c r="AX1259" s="45"/>
    </row>
    <row r="1260" ht="15.75" customHeight="1">
      <c r="A1260" s="45"/>
      <c r="B1260" s="45"/>
      <c r="C1260" s="46"/>
      <c r="D1260" s="45"/>
      <c r="E1260" s="47"/>
      <c r="F1260" s="45"/>
      <c r="G1260" s="45"/>
      <c r="H1260" s="45"/>
      <c r="I1260" s="45"/>
      <c r="J1260" s="45"/>
      <c r="K1260" s="45"/>
      <c r="L1260" s="45"/>
      <c r="M1260" s="45"/>
      <c r="N1260" s="45"/>
      <c r="O1260" s="45"/>
      <c r="P1260" s="45"/>
      <c r="Q1260" s="45"/>
      <c r="R1260" s="45"/>
      <c r="S1260" s="45"/>
      <c r="T1260" s="45"/>
      <c r="U1260" s="45"/>
      <c r="V1260" s="45"/>
      <c r="W1260" s="45"/>
      <c r="X1260" s="45"/>
      <c r="Y1260" s="45"/>
      <c r="Z1260" s="45"/>
      <c r="AA1260" s="45"/>
      <c r="AB1260" s="45"/>
      <c r="AC1260" s="45"/>
      <c r="AD1260" s="45"/>
      <c r="AE1260" s="45"/>
      <c r="AF1260" s="45"/>
      <c r="AG1260" s="45"/>
      <c r="AH1260" s="45"/>
      <c r="AI1260" s="45"/>
      <c r="AJ1260" s="45"/>
      <c r="AK1260" s="45"/>
      <c r="AL1260" s="45"/>
      <c r="AM1260" s="45"/>
      <c r="AN1260" s="45"/>
      <c r="AO1260" s="45"/>
      <c r="AP1260" s="45"/>
      <c r="AQ1260" s="45"/>
      <c r="AR1260" s="45"/>
      <c r="AS1260" s="45"/>
      <c r="AT1260" s="45"/>
      <c r="AU1260" s="45"/>
      <c r="AV1260" s="45"/>
      <c r="AW1260" s="45"/>
      <c r="AX1260" s="45"/>
    </row>
    <row r="1261" ht="15.75" customHeight="1">
      <c r="A1261" s="45"/>
      <c r="B1261" s="45"/>
      <c r="C1261" s="46"/>
      <c r="D1261" s="45"/>
      <c r="E1261" s="47"/>
      <c r="F1261" s="45"/>
      <c r="G1261" s="45"/>
      <c r="H1261" s="45"/>
      <c r="I1261" s="45"/>
      <c r="J1261" s="45"/>
      <c r="K1261" s="45"/>
      <c r="L1261" s="45"/>
      <c r="M1261" s="45"/>
      <c r="N1261" s="45"/>
      <c r="O1261" s="45"/>
      <c r="P1261" s="45"/>
      <c r="Q1261" s="45"/>
      <c r="R1261" s="45"/>
      <c r="S1261" s="45"/>
      <c r="T1261" s="45"/>
      <c r="U1261" s="45"/>
      <c r="V1261" s="45"/>
      <c r="W1261" s="45"/>
      <c r="X1261" s="45"/>
      <c r="Y1261" s="45"/>
      <c r="Z1261" s="45"/>
      <c r="AA1261" s="45"/>
      <c r="AB1261" s="45"/>
      <c r="AC1261" s="45"/>
      <c r="AD1261" s="45"/>
      <c r="AE1261" s="45"/>
      <c r="AF1261" s="45"/>
      <c r="AG1261" s="45"/>
      <c r="AH1261" s="45"/>
      <c r="AI1261" s="45"/>
      <c r="AJ1261" s="45"/>
      <c r="AK1261" s="45"/>
      <c r="AL1261" s="45"/>
      <c r="AM1261" s="45"/>
      <c r="AN1261" s="45"/>
      <c r="AO1261" s="45"/>
      <c r="AP1261" s="45"/>
      <c r="AQ1261" s="45"/>
      <c r="AR1261" s="45"/>
      <c r="AS1261" s="45"/>
      <c r="AT1261" s="45"/>
      <c r="AU1261" s="45"/>
      <c r="AV1261" s="45"/>
      <c r="AW1261" s="45"/>
      <c r="AX1261" s="45"/>
    </row>
    <row r="1262" ht="15.75" customHeight="1">
      <c r="A1262" s="45"/>
      <c r="B1262" s="45"/>
      <c r="C1262" s="46"/>
      <c r="D1262" s="45"/>
      <c r="E1262" s="47"/>
      <c r="F1262" s="45"/>
      <c r="G1262" s="45"/>
      <c r="H1262" s="45"/>
      <c r="I1262" s="45"/>
      <c r="J1262" s="45"/>
      <c r="K1262" s="45"/>
      <c r="L1262" s="45"/>
      <c r="M1262" s="45"/>
      <c r="N1262" s="45"/>
      <c r="O1262" s="45"/>
      <c r="P1262" s="45"/>
      <c r="Q1262" s="45"/>
      <c r="R1262" s="45"/>
      <c r="S1262" s="45"/>
      <c r="T1262" s="45"/>
      <c r="U1262" s="45"/>
      <c r="V1262" s="45"/>
      <c r="W1262" s="45"/>
      <c r="X1262" s="45"/>
      <c r="Y1262" s="45"/>
      <c r="Z1262" s="45"/>
      <c r="AA1262" s="45"/>
      <c r="AB1262" s="45"/>
      <c r="AC1262" s="45"/>
      <c r="AD1262" s="45"/>
      <c r="AE1262" s="45"/>
      <c r="AF1262" s="45"/>
      <c r="AG1262" s="45"/>
      <c r="AH1262" s="45"/>
      <c r="AI1262" s="45"/>
      <c r="AJ1262" s="45"/>
      <c r="AK1262" s="45"/>
      <c r="AL1262" s="45"/>
      <c r="AM1262" s="45"/>
      <c r="AN1262" s="45"/>
      <c r="AO1262" s="45"/>
      <c r="AP1262" s="45"/>
      <c r="AQ1262" s="45"/>
      <c r="AR1262" s="45"/>
      <c r="AS1262" s="45"/>
      <c r="AT1262" s="45"/>
      <c r="AU1262" s="45"/>
      <c r="AV1262" s="45"/>
      <c r="AW1262" s="45"/>
      <c r="AX1262" s="45"/>
    </row>
    <row r="1263" ht="15.75" customHeight="1">
      <c r="A1263" s="45"/>
      <c r="B1263" s="45"/>
      <c r="C1263" s="46"/>
      <c r="D1263" s="45"/>
      <c r="E1263" s="47"/>
      <c r="F1263" s="45"/>
      <c r="G1263" s="45"/>
      <c r="H1263" s="45"/>
      <c r="I1263" s="45"/>
      <c r="J1263" s="45"/>
      <c r="K1263" s="45"/>
      <c r="L1263" s="45"/>
      <c r="M1263" s="45"/>
      <c r="N1263" s="45"/>
      <c r="O1263" s="45"/>
      <c r="P1263" s="45"/>
      <c r="Q1263" s="45"/>
      <c r="R1263" s="45"/>
      <c r="S1263" s="45"/>
      <c r="T1263" s="45"/>
      <c r="U1263" s="45"/>
      <c r="V1263" s="45"/>
      <c r="W1263" s="45"/>
      <c r="X1263" s="45"/>
      <c r="Y1263" s="45"/>
      <c r="Z1263" s="45"/>
      <c r="AA1263" s="45"/>
      <c r="AB1263" s="45"/>
      <c r="AC1263" s="45"/>
      <c r="AD1263" s="45"/>
      <c r="AE1263" s="45"/>
      <c r="AF1263" s="45"/>
      <c r="AG1263" s="45"/>
      <c r="AH1263" s="45"/>
      <c r="AI1263" s="45"/>
      <c r="AJ1263" s="45"/>
      <c r="AK1263" s="45"/>
      <c r="AL1263" s="45"/>
      <c r="AM1263" s="45"/>
      <c r="AN1263" s="45"/>
      <c r="AO1263" s="45"/>
      <c r="AP1263" s="45"/>
      <c r="AQ1263" s="45"/>
      <c r="AR1263" s="45"/>
      <c r="AS1263" s="45"/>
      <c r="AT1263" s="45"/>
      <c r="AU1263" s="45"/>
      <c r="AV1263" s="45"/>
      <c r="AW1263" s="45"/>
      <c r="AX1263" s="45"/>
    </row>
    <row r="1264" ht="15.75" customHeight="1">
      <c r="A1264" s="45"/>
      <c r="B1264" s="45"/>
      <c r="C1264" s="46"/>
      <c r="D1264" s="45"/>
      <c r="E1264" s="47"/>
      <c r="F1264" s="45"/>
      <c r="G1264" s="45"/>
      <c r="H1264" s="45"/>
      <c r="I1264" s="45"/>
      <c r="J1264" s="45"/>
      <c r="K1264" s="45"/>
      <c r="L1264" s="45"/>
      <c r="M1264" s="45"/>
      <c r="N1264" s="45"/>
      <c r="O1264" s="45"/>
      <c r="P1264" s="45"/>
      <c r="Q1264" s="45"/>
      <c r="R1264" s="45"/>
      <c r="S1264" s="45"/>
      <c r="T1264" s="45"/>
      <c r="U1264" s="45"/>
      <c r="V1264" s="45"/>
      <c r="W1264" s="45"/>
      <c r="X1264" s="45"/>
      <c r="Y1264" s="45"/>
      <c r="Z1264" s="45"/>
      <c r="AA1264" s="45"/>
      <c r="AB1264" s="45"/>
      <c r="AC1264" s="45"/>
      <c r="AD1264" s="45"/>
      <c r="AE1264" s="45"/>
      <c r="AF1264" s="45"/>
      <c r="AG1264" s="45"/>
      <c r="AH1264" s="45"/>
      <c r="AI1264" s="45"/>
      <c r="AJ1264" s="45"/>
      <c r="AK1264" s="45"/>
      <c r="AL1264" s="45"/>
      <c r="AM1264" s="45"/>
      <c r="AN1264" s="45"/>
      <c r="AO1264" s="45"/>
      <c r="AP1264" s="45"/>
      <c r="AQ1264" s="45"/>
      <c r="AR1264" s="45"/>
      <c r="AS1264" s="45"/>
      <c r="AT1264" s="45"/>
      <c r="AU1264" s="45"/>
      <c r="AV1264" s="45"/>
      <c r="AW1264" s="45"/>
      <c r="AX1264" s="45"/>
    </row>
    <row r="1265" ht="15.75" customHeight="1">
      <c r="A1265" s="45"/>
      <c r="B1265" s="45"/>
      <c r="C1265" s="46"/>
      <c r="D1265" s="45"/>
      <c r="E1265" s="47"/>
      <c r="F1265" s="45"/>
      <c r="G1265" s="45"/>
      <c r="H1265" s="45"/>
      <c r="I1265" s="45"/>
      <c r="J1265" s="45"/>
      <c r="K1265" s="45"/>
      <c r="L1265" s="45"/>
      <c r="M1265" s="45"/>
      <c r="N1265" s="45"/>
      <c r="O1265" s="45"/>
      <c r="P1265" s="45"/>
      <c r="Q1265" s="45"/>
      <c r="R1265" s="45"/>
      <c r="S1265" s="45"/>
      <c r="T1265" s="45"/>
      <c r="U1265" s="45"/>
      <c r="V1265" s="45"/>
      <c r="W1265" s="45"/>
      <c r="X1265" s="45"/>
      <c r="Y1265" s="45"/>
      <c r="Z1265" s="45"/>
      <c r="AA1265" s="45"/>
      <c r="AB1265" s="45"/>
      <c r="AC1265" s="45"/>
      <c r="AD1265" s="45"/>
      <c r="AE1265" s="45"/>
      <c r="AF1265" s="45"/>
      <c r="AG1265" s="45"/>
      <c r="AH1265" s="45"/>
      <c r="AI1265" s="45"/>
      <c r="AJ1265" s="45"/>
      <c r="AK1265" s="45"/>
      <c r="AL1265" s="45"/>
      <c r="AM1265" s="45"/>
      <c r="AN1265" s="45"/>
      <c r="AO1265" s="45"/>
      <c r="AP1265" s="45"/>
      <c r="AQ1265" s="45"/>
      <c r="AR1265" s="45"/>
      <c r="AS1265" s="45"/>
      <c r="AT1265" s="45"/>
      <c r="AU1265" s="45"/>
      <c r="AV1265" s="45"/>
      <c r="AW1265" s="45"/>
      <c r="AX1265" s="45"/>
    </row>
    <row r="1266" ht="15.75" customHeight="1">
      <c r="A1266" s="45"/>
      <c r="B1266" s="45"/>
      <c r="C1266" s="46"/>
      <c r="D1266" s="45"/>
      <c r="E1266" s="47"/>
      <c r="F1266" s="45"/>
      <c r="G1266" s="45"/>
      <c r="H1266" s="45"/>
      <c r="I1266" s="45"/>
      <c r="J1266" s="45"/>
      <c r="K1266" s="45"/>
      <c r="L1266" s="45"/>
      <c r="M1266" s="45"/>
      <c r="N1266" s="45"/>
      <c r="O1266" s="45"/>
      <c r="P1266" s="45"/>
      <c r="Q1266" s="45"/>
      <c r="R1266" s="45"/>
      <c r="S1266" s="45"/>
      <c r="T1266" s="45"/>
      <c r="U1266" s="45"/>
      <c r="V1266" s="45"/>
      <c r="W1266" s="45"/>
      <c r="X1266" s="45"/>
      <c r="Y1266" s="45"/>
      <c r="Z1266" s="45"/>
      <c r="AA1266" s="45"/>
      <c r="AB1266" s="45"/>
      <c r="AC1266" s="45"/>
      <c r="AD1266" s="45"/>
      <c r="AE1266" s="45"/>
      <c r="AF1266" s="45"/>
      <c r="AG1266" s="45"/>
      <c r="AH1266" s="45"/>
      <c r="AI1266" s="45"/>
      <c r="AJ1266" s="45"/>
      <c r="AK1266" s="45"/>
      <c r="AL1266" s="45"/>
      <c r="AM1266" s="45"/>
      <c r="AN1266" s="45"/>
      <c r="AO1266" s="45"/>
      <c r="AP1266" s="45"/>
      <c r="AQ1266" s="45"/>
      <c r="AR1266" s="45"/>
      <c r="AS1266" s="45"/>
      <c r="AT1266" s="45"/>
      <c r="AU1266" s="45"/>
      <c r="AV1266" s="45"/>
      <c r="AW1266" s="45"/>
      <c r="AX1266" s="45"/>
    </row>
    <row r="1267" ht="15.75" customHeight="1">
      <c r="A1267" s="45"/>
      <c r="B1267" s="45"/>
      <c r="C1267" s="46"/>
      <c r="D1267" s="45"/>
      <c r="E1267" s="47"/>
      <c r="F1267" s="45"/>
      <c r="G1267" s="45"/>
      <c r="H1267" s="45"/>
      <c r="I1267" s="45"/>
      <c r="J1267" s="45"/>
      <c r="K1267" s="45"/>
      <c r="L1267" s="45"/>
      <c r="M1267" s="45"/>
      <c r="N1267" s="45"/>
      <c r="O1267" s="45"/>
      <c r="P1267" s="45"/>
      <c r="Q1267" s="45"/>
      <c r="R1267" s="45"/>
      <c r="S1267" s="45"/>
      <c r="T1267" s="45"/>
      <c r="U1267" s="45"/>
      <c r="V1267" s="45"/>
      <c r="W1267" s="45"/>
      <c r="X1267" s="45"/>
      <c r="Y1267" s="45"/>
      <c r="Z1267" s="45"/>
      <c r="AA1267" s="45"/>
      <c r="AB1267" s="45"/>
      <c r="AC1267" s="45"/>
      <c r="AD1267" s="45"/>
      <c r="AE1267" s="45"/>
      <c r="AF1267" s="45"/>
      <c r="AG1267" s="45"/>
      <c r="AH1267" s="45"/>
      <c r="AI1267" s="45"/>
      <c r="AJ1267" s="45"/>
      <c r="AK1267" s="45"/>
      <c r="AL1267" s="45"/>
      <c r="AM1267" s="45"/>
      <c r="AN1267" s="45"/>
      <c r="AO1267" s="45"/>
      <c r="AP1267" s="45"/>
      <c r="AQ1267" s="45"/>
      <c r="AR1267" s="45"/>
      <c r="AS1267" s="45"/>
      <c r="AT1267" s="45"/>
      <c r="AU1267" s="45"/>
      <c r="AV1267" s="45"/>
      <c r="AW1267" s="45"/>
      <c r="AX1267" s="45"/>
    </row>
    <row r="1268" ht="15.75" customHeight="1">
      <c r="A1268" s="45"/>
      <c r="B1268" s="45"/>
      <c r="C1268" s="46"/>
      <c r="D1268" s="45"/>
      <c r="E1268" s="47"/>
      <c r="F1268" s="45"/>
      <c r="G1268" s="45"/>
      <c r="H1268" s="45"/>
      <c r="I1268" s="45"/>
      <c r="J1268" s="45"/>
      <c r="K1268" s="45"/>
      <c r="L1268" s="45"/>
      <c r="M1268" s="45"/>
      <c r="N1268" s="45"/>
      <c r="O1268" s="45"/>
      <c r="P1268" s="45"/>
      <c r="Q1268" s="45"/>
      <c r="R1268" s="45"/>
      <c r="S1268" s="45"/>
      <c r="T1268" s="45"/>
      <c r="U1268" s="45"/>
      <c r="V1268" s="45"/>
      <c r="W1268" s="45"/>
      <c r="X1268" s="45"/>
      <c r="Y1268" s="45"/>
      <c r="Z1268" s="45"/>
      <c r="AA1268" s="45"/>
      <c r="AB1268" s="45"/>
      <c r="AC1268" s="45"/>
      <c r="AD1268" s="45"/>
      <c r="AE1268" s="45"/>
      <c r="AF1268" s="45"/>
      <c r="AG1268" s="45"/>
      <c r="AH1268" s="45"/>
      <c r="AI1268" s="45"/>
      <c r="AJ1268" s="45"/>
      <c r="AK1268" s="45"/>
      <c r="AL1268" s="45"/>
      <c r="AM1268" s="45"/>
      <c r="AN1268" s="45"/>
      <c r="AO1268" s="45"/>
      <c r="AP1268" s="45"/>
      <c r="AQ1268" s="45"/>
      <c r="AR1268" s="45"/>
      <c r="AS1268" s="45"/>
      <c r="AT1268" s="45"/>
      <c r="AU1268" s="45"/>
      <c r="AV1268" s="45"/>
      <c r="AW1268" s="45"/>
      <c r="AX1268" s="45"/>
    </row>
    <row r="1269" ht="15.75" customHeight="1">
      <c r="A1269" s="45"/>
      <c r="B1269" s="45"/>
      <c r="C1269" s="46"/>
      <c r="D1269" s="45"/>
      <c r="E1269" s="47"/>
      <c r="F1269" s="45"/>
      <c r="G1269" s="45"/>
      <c r="H1269" s="45"/>
      <c r="I1269" s="45"/>
      <c r="J1269" s="45"/>
      <c r="K1269" s="45"/>
      <c r="L1269" s="45"/>
      <c r="M1269" s="45"/>
      <c r="N1269" s="45"/>
      <c r="O1269" s="45"/>
      <c r="P1269" s="45"/>
      <c r="Q1269" s="45"/>
      <c r="R1269" s="45"/>
      <c r="S1269" s="45"/>
      <c r="T1269" s="45"/>
      <c r="U1269" s="45"/>
      <c r="V1269" s="45"/>
      <c r="W1269" s="45"/>
      <c r="X1269" s="45"/>
      <c r="Y1269" s="45"/>
      <c r="Z1269" s="45"/>
      <c r="AA1269" s="45"/>
      <c r="AB1269" s="45"/>
      <c r="AC1269" s="45"/>
      <c r="AD1269" s="45"/>
      <c r="AE1269" s="45"/>
      <c r="AF1269" s="45"/>
      <c r="AG1269" s="45"/>
      <c r="AH1269" s="45"/>
      <c r="AI1269" s="45"/>
      <c r="AJ1269" s="45"/>
      <c r="AK1269" s="45"/>
      <c r="AL1269" s="45"/>
      <c r="AM1269" s="45"/>
      <c r="AN1269" s="45"/>
      <c r="AO1269" s="45"/>
      <c r="AP1269" s="45"/>
      <c r="AQ1269" s="45"/>
      <c r="AR1269" s="45"/>
      <c r="AS1269" s="45"/>
      <c r="AT1269" s="45"/>
      <c r="AU1269" s="45"/>
      <c r="AV1269" s="45"/>
      <c r="AW1269" s="45"/>
      <c r="AX1269" s="45"/>
    </row>
    <row r="1270" ht="15.75" customHeight="1">
      <c r="A1270" s="45"/>
      <c r="B1270" s="45"/>
      <c r="C1270" s="46"/>
      <c r="D1270" s="45"/>
      <c r="E1270" s="47"/>
      <c r="F1270" s="45"/>
      <c r="G1270" s="45"/>
      <c r="H1270" s="45"/>
      <c r="I1270" s="45"/>
      <c r="J1270" s="45"/>
      <c r="K1270" s="45"/>
      <c r="L1270" s="45"/>
      <c r="M1270" s="45"/>
      <c r="N1270" s="45"/>
      <c r="O1270" s="45"/>
      <c r="P1270" s="45"/>
      <c r="Q1270" s="45"/>
      <c r="R1270" s="45"/>
      <c r="S1270" s="45"/>
      <c r="T1270" s="45"/>
      <c r="U1270" s="45"/>
      <c r="V1270" s="45"/>
      <c r="W1270" s="45"/>
      <c r="X1270" s="45"/>
      <c r="Y1270" s="45"/>
      <c r="Z1270" s="45"/>
      <c r="AA1270" s="45"/>
      <c r="AB1270" s="45"/>
      <c r="AC1270" s="45"/>
      <c r="AD1270" s="45"/>
      <c r="AE1270" s="45"/>
      <c r="AF1270" s="45"/>
      <c r="AG1270" s="45"/>
      <c r="AH1270" s="45"/>
      <c r="AI1270" s="45"/>
      <c r="AJ1270" s="45"/>
      <c r="AK1270" s="45"/>
      <c r="AL1270" s="45"/>
      <c r="AM1270" s="45"/>
      <c r="AN1270" s="45"/>
      <c r="AO1270" s="45"/>
      <c r="AP1270" s="45"/>
      <c r="AQ1270" s="45"/>
      <c r="AR1270" s="45"/>
      <c r="AS1270" s="45"/>
      <c r="AT1270" s="45"/>
      <c r="AU1270" s="45"/>
      <c r="AV1270" s="45"/>
      <c r="AW1270" s="45"/>
      <c r="AX1270" s="45"/>
    </row>
    <row r="1271" ht="15.75" customHeight="1">
      <c r="A1271" s="45"/>
      <c r="B1271" s="45"/>
      <c r="C1271" s="46"/>
      <c r="D1271" s="45"/>
      <c r="E1271" s="47"/>
      <c r="F1271" s="45"/>
      <c r="G1271" s="45"/>
      <c r="H1271" s="45"/>
      <c r="I1271" s="45"/>
      <c r="J1271" s="45"/>
      <c r="K1271" s="45"/>
      <c r="L1271" s="45"/>
      <c r="M1271" s="45"/>
      <c r="N1271" s="45"/>
      <c r="O1271" s="45"/>
      <c r="P1271" s="45"/>
      <c r="Q1271" s="45"/>
      <c r="R1271" s="45"/>
      <c r="S1271" s="45"/>
      <c r="T1271" s="45"/>
      <c r="U1271" s="45"/>
      <c r="V1271" s="45"/>
      <c r="W1271" s="45"/>
      <c r="X1271" s="45"/>
      <c r="Y1271" s="45"/>
      <c r="Z1271" s="45"/>
      <c r="AA1271" s="45"/>
      <c r="AB1271" s="45"/>
      <c r="AC1271" s="45"/>
      <c r="AD1271" s="45"/>
      <c r="AE1271" s="45"/>
      <c r="AF1271" s="45"/>
      <c r="AG1271" s="45"/>
      <c r="AH1271" s="45"/>
      <c r="AI1271" s="45"/>
      <c r="AJ1271" s="45"/>
      <c r="AK1271" s="45"/>
      <c r="AL1271" s="45"/>
      <c r="AM1271" s="45"/>
      <c r="AN1271" s="45"/>
      <c r="AO1271" s="45"/>
      <c r="AP1271" s="45"/>
      <c r="AQ1271" s="45"/>
      <c r="AR1271" s="45"/>
      <c r="AS1271" s="45"/>
      <c r="AT1271" s="45"/>
      <c r="AU1271" s="45"/>
      <c r="AV1271" s="45"/>
      <c r="AW1271" s="45"/>
      <c r="AX1271" s="45"/>
    </row>
    <row r="1272" ht="15.75" customHeight="1">
      <c r="A1272" s="45"/>
      <c r="B1272" s="45"/>
      <c r="C1272" s="46"/>
      <c r="D1272" s="45"/>
      <c r="E1272" s="47"/>
      <c r="F1272" s="45"/>
      <c r="G1272" s="45"/>
      <c r="H1272" s="45"/>
      <c r="I1272" s="45"/>
      <c r="J1272" s="45"/>
      <c r="K1272" s="45"/>
      <c r="L1272" s="45"/>
      <c r="M1272" s="45"/>
      <c r="N1272" s="45"/>
      <c r="O1272" s="45"/>
      <c r="P1272" s="45"/>
      <c r="Q1272" s="45"/>
      <c r="R1272" s="45"/>
      <c r="S1272" s="45"/>
      <c r="T1272" s="45"/>
      <c r="U1272" s="45"/>
      <c r="V1272" s="45"/>
      <c r="W1272" s="45"/>
      <c r="X1272" s="45"/>
      <c r="Y1272" s="45"/>
      <c r="Z1272" s="45"/>
      <c r="AA1272" s="45"/>
      <c r="AB1272" s="45"/>
      <c r="AC1272" s="45"/>
      <c r="AD1272" s="45"/>
      <c r="AE1272" s="45"/>
      <c r="AF1272" s="45"/>
      <c r="AG1272" s="45"/>
      <c r="AH1272" s="45"/>
      <c r="AI1272" s="45"/>
      <c r="AJ1272" s="45"/>
      <c r="AK1272" s="45"/>
      <c r="AL1272" s="45"/>
      <c r="AM1272" s="45"/>
      <c r="AN1272" s="45"/>
      <c r="AO1272" s="45"/>
      <c r="AP1272" s="45"/>
      <c r="AQ1272" s="45"/>
      <c r="AR1272" s="45"/>
      <c r="AS1272" s="45"/>
      <c r="AT1272" s="45"/>
      <c r="AU1272" s="45"/>
      <c r="AV1272" s="45"/>
      <c r="AW1272" s="45"/>
      <c r="AX1272" s="45"/>
    </row>
    <row r="1273" ht="15.75" customHeight="1">
      <c r="A1273" s="45"/>
      <c r="B1273" s="45"/>
      <c r="C1273" s="46"/>
      <c r="D1273" s="45"/>
      <c r="E1273" s="47"/>
      <c r="F1273" s="45"/>
      <c r="G1273" s="45"/>
      <c r="H1273" s="45"/>
      <c r="I1273" s="45"/>
      <c r="J1273" s="45"/>
      <c r="K1273" s="45"/>
      <c r="L1273" s="45"/>
      <c r="M1273" s="45"/>
      <c r="N1273" s="45"/>
      <c r="O1273" s="45"/>
      <c r="P1273" s="45"/>
      <c r="Q1273" s="45"/>
      <c r="R1273" s="45"/>
      <c r="S1273" s="45"/>
      <c r="T1273" s="45"/>
      <c r="U1273" s="45"/>
      <c r="V1273" s="45"/>
      <c r="W1273" s="45"/>
      <c r="X1273" s="45"/>
      <c r="Y1273" s="45"/>
      <c r="Z1273" s="45"/>
      <c r="AA1273" s="45"/>
      <c r="AB1273" s="45"/>
      <c r="AC1273" s="45"/>
      <c r="AD1273" s="45"/>
      <c r="AE1273" s="45"/>
      <c r="AF1273" s="45"/>
      <c r="AG1273" s="45"/>
      <c r="AH1273" s="45"/>
      <c r="AI1273" s="45"/>
      <c r="AJ1273" s="45"/>
      <c r="AK1273" s="45"/>
      <c r="AL1273" s="45"/>
      <c r="AM1273" s="45"/>
      <c r="AN1273" s="45"/>
      <c r="AO1273" s="45"/>
      <c r="AP1273" s="45"/>
      <c r="AQ1273" s="45"/>
      <c r="AR1273" s="45"/>
      <c r="AS1273" s="45"/>
      <c r="AT1273" s="45"/>
      <c r="AU1273" s="45"/>
      <c r="AV1273" s="45"/>
      <c r="AW1273" s="45"/>
      <c r="AX1273" s="45"/>
    </row>
    <row r="1274" ht="15.75" customHeight="1">
      <c r="A1274" s="45"/>
      <c r="B1274" s="45"/>
      <c r="C1274" s="46"/>
      <c r="D1274" s="45"/>
      <c r="E1274" s="47"/>
      <c r="F1274" s="45"/>
      <c r="G1274" s="45"/>
      <c r="H1274" s="45"/>
      <c r="I1274" s="45"/>
      <c r="J1274" s="45"/>
      <c r="K1274" s="45"/>
      <c r="L1274" s="45"/>
      <c r="M1274" s="45"/>
      <c r="N1274" s="45"/>
      <c r="O1274" s="45"/>
      <c r="P1274" s="45"/>
      <c r="Q1274" s="45"/>
      <c r="R1274" s="45"/>
      <c r="S1274" s="45"/>
      <c r="T1274" s="45"/>
      <c r="U1274" s="45"/>
      <c r="V1274" s="45"/>
      <c r="W1274" s="45"/>
      <c r="X1274" s="45"/>
      <c r="Y1274" s="45"/>
      <c r="Z1274" s="45"/>
      <c r="AA1274" s="45"/>
      <c r="AB1274" s="45"/>
      <c r="AC1274" s="45"/>
      <c r="AD1274" s="45"/>
      <c r="AE1274" s="45"/>
      <c r="AF1274" s="45"/>
      <c r="AG1274" s="45"/>
      <c r="AH1274" s="45"/>
      <c r="AI1274" s="45"/>
      <c r="AJ1274" s="45"/>
      <c r="AK1274" s="45"/>
      <c r="AL1274" s="45"/>
      <c r="AM1274" s="45"/>
      <c r="AN1274" s="45"/>
      <c r="AO1274" s="45"/>
      <c r="AP1274" s="45"/>
      <c r="AQ1274" s="45"/>
      <c r="AR1274" s="45"/>
      <c r="AS1274" s="45"/>
      <c r="AT1274" s="45"/>
      <c r="AU1274" s="45"/>
      <c r="AV1274" s="45"/>
      <c r="AW1274" s="45"/>
      <c r="AX1274" s="45"/>
    </row>
    <row r="1275" ht="15.75" customHeight="1">
      <c r="A1275" s="45"/>
      <c r="B1275" s="45"/>
      <c r="C1275" s="46"/>
      <c r="D1275" s="45"/>
      <c r="E1275" s="47"/>
      <c r="F1275" s="45"/>
      <c r="G1275" s="45"/>
      <c r="H1275" s="45"/>
      <c r="I1275" s="45"/>
      <c r="J1275" s="45"/>
      <c r="K1275" s="45"/>
      <c r="L1275" s="45"/>
      <c r="M1275" s="45"/>
      <c r="N1275" s="45"/>
      <c r="O1275" s="45"/>
      <c r="P1275" s="45"/>
      <c r="Q1275" s="45"/>
      <c r="R1275" s="45"/>
      <c r="S1275" s="45"/>
      <c r="T1275" s="45"/>
      <c r="U1275" s="45"/>
      <c r="V1275" s="45"/>
      <c r="W1275" s="45"/>
      <c r="X1275" s="45"/>
      <c r="Y1275" s="45"/>
      <c r="Z1275" s="45"/>
      <c r="AA1275" s="45"/>
      <c r="AB1275" s="45"/>
      <c r="AC1275" s="45"/>
      <c r="AD1275" s="45"/>
      <c r="AE1275" s="45"/>
      <c r="AF1275" s="45"/>
      <c r="AG1275" s="45"/>
      <c r="AH1275" s="45"/>
      <c r="AI1275" s="45"/>
      <c r="AJ1275" s="45"/>
      <c r="AK1275" s="45"/>
      <c r="AL1275" s="45"/>
      <c r="AM1275" s="45"/>
      <c r="AN1275" s="45"/>
      <c r="AO1275" s="45"/>
      <c r="AP1275" s="45"/>
      <c r="AQ1275" s="45"/>
      <c r="AR1275" s="45"/>
      <c r="AS1275" s="45"/>
      <c r="AT1275" s="45"/>
      <c r="AU1275" s="45"/>
      <c r="AV1275" s="45"/>
      <c r="AW1275" s="45"/>
      <c r="AX1275" s="45"/>
    </row>
    <row r="1276" ht="15.75" customHeight="1">
      <c r="A1276" s="45"/>
      <c r="B1276" s="45"/>
      <c r="C1276" s="46"/>
      <c r="D1276" s="45"/>
      <c r="E1276" s="47"/>
      <c r="F1276" s="45"/>
      <c r="G1276" s="45"/>
      <c r="H1276" s="45"/>
      <c r="I1276" s="45"/>
      <c r="J1276" s="45"/>
      <c r="K1276" s="45"/>
      <c r="L1276" s="45"/>
      <c r="M1276" s="45"/>
      <c r="N1276" s="45"/>
      <c r="O1276" s="45"/>
      <c r="P1276" s="45"/>
      <c r="Q1276" s="45"/>
      <c r="R1276" s="45"/>
      <c r="S1276" s="45"/>
      <c r="T1276" s="45"/>
      <c r="U1276" s="45"/>
      <c r="V1276" s="45"/>
      <c r="W1276" s="45"/>
      <c r="X1276" s="45"/>
      <c r="Y1276" s="45"/>
      <c r="Z1276" s="45"/>
      <c r="AA1276" s="45"/>
      <c r="AB1276" s="45"/>
      <c r="AC1276" s="45"/>
      <c r="AD1276" s="45"/>
      <c r="AE1276" s="45"/>
      <c r="AF1276" s="45"/>
      <c r="AG1276" s="45"/>
      <c r="AH1276" s="45"/>
      <c r="AI1276" s="45"/>
      <c r="AJ1276" s="45"/>
      <c r="AK1276" s="45"/>
      <c r="AL1276" s="45"/>
      <c r="AM1276" s="45"/>
      <c r="AN1276" s="45"/>
      <c r="AO1276" s="45"/>
      <c r="AP1276" s="45"/>
      <c r="AQ1276" s="45"/>
      <c r="AR1276" s="45"/>
      <c r="AS1276" s="45"/>
      <c r="AT1276" s="45"/>
      <c r="AU1276" s="45"/>
      <c r="AV1276" s="45"/>
      <c r="AW1276" s="45"/>
      <c r="AX1276" s="45"/>
    </row>
    <row r="1277" ht="15.75" customHeight="1">
      <c r="A1277" s="45"/>
      <c r="B1277" s="45"/>
      <c r="C1277" s="46"/>
      <c r="D1277" s="45"/>
      <c r="E1277" s="47"/>
      <c r="F1277" s="45"/>
      <c r="G1277" s="45"/>
      <c r="H1277" s="45"/>
      <c r="I1277" s="45"/>
      <c r="J1277" s="45"/>
      <c r="K1277" s="45"/>
      <c r="L1277" s="45"/>
      <c r="M1277" s="45"/>
      <c r="N1277" s="45"/>
      <c r="O1277" s="45"/>
      <c r="P1277" s="45"/>
      <c r="Q1277" s="45"/>
      <c r="R1277" s="45"/>
      <c r="S1277" s="45"/>
      <c r="T1277" s="45"/>
      <c r="U1277" s="45"/>
      <c r="V1277" s="45"/>
      <c r="W1277" s="45"/>
      <c r="X1277" s="45"/>
      <c r="Y1277" s="45"/>
      <c r="Z1277" s="45"/>
      <c r="AA1277" s="45"/>
      <c r="AB1277" s="45"/>
      <c r="AC1277" s="45"/>
      <c r="AD1277" s="45"/>
      <c r="AE1277" s="45"/>
      <c r="AF1277" s="45"/>
      <c r="AG1277" s="45"/>
      <c r="AH1277" s="45"/>
      <c r="AI1277" s="45"/>
      <c r="AJ1277" s="45"/>
      <c r="AK1277" s="45"/>
      <c r="AL1277" s="45"/>
      <c r="AM1277" s="45"/>
      <c r="AN1277" s="45"/>
      <c r="AO1277" s="45"/>
      <c r="AP1277" s="45"/>
      <c r="AQ1277" s="45"/>
      <c r="AR1277" s="45"/>
      <c r="AS1277" s="45"/>
      <c r="AT1277" s="45"/>
      <c r="AU1277" s="45"/>
      <c r="AV1277" s="45"/>
      <c r="AW1277" s="45"/>
      <c r="AX1277" s="45"/>
    </row>
    <row r="1278" ht="15.75" customHeight="1">
      <c r="A1278" s="45"/>
      <c r="B1278" s="45"/>
      <c r="C1278" s="46"/>
      <c r="D1278" s="45"/>
      <c r="E1278" s="47"/>
      <c r="F1278" s="45"/>
      <c r="G1278" s="45"/>
      <c r="H1278" s="45"/>
      <c r="I1278" s="45"/>
      <c r="J1278" s="45"/>
      <c r="K1278" s="45"/>
      <c r="L1278" s="45"/>
      <c r="M1278" s="45"/>
      <c r="N1278" s="45"/>
      <c r="O1278" s="45"/>
      <c r="P1278" s="45"/>
      <c r="Q1278" s="45"/>
      <c r="R1278" s="45"/>
      <c r="S1278" s="45"/>
      <c r="T1278" s="45"/>
      <c r="U1278" s="45"/>
      <c r="V1278" s="45"/>
      <c r="W1278" s="45"/>
      <c r="X1278" s="45"/>
      <c r="Y1278" s="45"/>
      <c r="Z1278" s="45"/>
      <c r="AA1278" s="45"/>
      <c r="AB1278" s="45"/>
      <c r="AC1278" s="45"/>
      <c r="AD1278" s="45"/>
      <c r="AE1278" s="45"/>
      <c r="AF1278" s="45"/>
      <c r="AG1278" s="45"/>
      <c r="AH1278" s="45"/>
      <c r="AI1278" s="45"/>
      <c r="AJ1278" s="45"/>
      <c r="AK1278" s="45"/>
      <c r="AL1278" s="45"/>
      <c r="AM1278" s="45"/>
      <c r="AN1278" s="45"/>
      <c r="AO1278" s="45"/>
      <c r="AP1278" s="45"/>
      <c r="AQ1278" s="45"/>
      <c r="AR1278" s="45"/>
      <c r="AS1278" s="45"/>
      <c r="AT1278" s="45"/>
      <c r="AU1278" s="45"/>
      <c r="AV1278" s="45"/>
      <c r="AW1278" s="45"/>
      <c r="AX1278" s="45"/>
    </row>
    <row r="1279" ht="15.75" customHeight="1">
      <c r="A1279" s="45"/>
      <c r="B1279" s="45"/>
      <c r="C1279" s="46"/>
      <c r="D1279" s="45"/>
      <c r="E1279" s="47"/>
      <c r="F1279" s="45"/>
      <c r="G1279" s="45"/>
      <c r="H1279" s="45"/>
      <c r="I1279" s="45"/>
      <c r="J1279" s="45"/>
      <c r="K1279" s="45"/>
      <c r="L1279" s="45"/>
      <c r="M1279" s="45"/>
      <c r="N1279" s="45"/>
      <c r="O1279" s="45"/>
      <c r="P1279" s="45"/>
      <c r="Q1279" s="45"/>
      <c r="R1279" s="45"/>
      <c r="S1279" s="45"/>
      <c r="T1279" s="45"/>
      <c r="U1279" s="45"/>
      <c r="V1279" s="45"/>
      <c r="W1279" s="45"/>
      <c r="X1279" s="45"/>
      <c r="Y1279" s="45"/>
      <c r="Z1279" s="45"/>
      <c r="AA1279" s="45"/>
      <c r="AB1279" s="45"/>
      <c r="AC1279" s="45"/>
      <c r="AD1279" s="45"/>
      <c r="AE1279" s="45"/>
      <c r="AF1279" s="45"/>
      <c r="AG1279" s="45"/>
      <c r="AH1279" s="45"/>
      <c r="AI1279" s="45"/>
      <c r="AJ1279" s="45"/>
      <c r="AK1279" s="45"/>
      <c r="AL1279" s="45"/>
      <c r="AM1279" s="45"/>
      <c r="AN1279" s="45"/>
      <c r="AO1279" s="45"/>
      <c r="AP1279" s="45"/>
      <c r="AQ1279" s="45"/>
      <c r="AR1279" s="45"/>
      <c r="AS1279" s="45"/>
      <c r="AT1279" s="45"/>
      <c r="AU1279" s="45"/>
      <c r="AV1279" s="45"/>
      <c r="AW1279" s="45"/>
      <c r="AX1279" s="45"/>
    </row>
    <row r="1280" ht="15.75" customHeight="1">
      <c r="A1280" s="45"/>
      <c r="B1280" s="45"/>
      <c r="C1280" s="46"/>
      <c r="D1280" s="45"/>
      <c r="E1280" s="47"/>
      <c r="F1280" s="45"/>
      <c r="G1280" s="45"/>
      <c r="H1280" s="45"/>
      <c r="I1280" s="45"/>
      <c r="J1280" s="45"/>
      <c r="K1280" s="45"/>
      <c r="L1280" s="45"/>
      <c r="M1280" s="45"/>
      <c r="N1280" s="45"/>
      <c r="O1280" s="45"/>
      <c r="P1280" s="45"/>
      <c r="Q1280" s="45"/>
      <c r="R1280" s="45"/>
      <c r="S1280" s="45"/>
      <c r="T1280" s="45"/>
      <c r="U1280" s="45"/>
      <c r="V1280" s="45"/>
      <c r="W1280" s="45"/>
      <c r="X1280" s="45"/>
      <c r="Y1280" s="45"/>
      <c r="Z1280" s="45"/>
      <c r="AA1280" s="45"/>
      <c r="AB1280" s="45"/>
      <c r="AC1280" s="45"/>
      <c r="AD1280" s="45"/>
      <c r="AE1280" s="45"/>
      <c r="AF1280" s="45"/>
      <c r="AG1280" s="45"/>
      <c r="AH1280" s="45"/>
      <c r="AI1280" s="45"/>
      <c r="AJ1280" s="45"/>
      <c r="AK1280" s="45"/>
      <c r="AL1280" s="45"/>
      <c r="AM1280" s="45"/>
      <c r="AN1280" s="45"/>
      <c r="AO1280" s="45"/>
      <c r="AP1280" s="45"/>
      <c r="AQ1280" s="45"/>
      <c r="AR1280" s="45"/>
      <c r="AS1280" s="45"/>
      <c r="AT1280" s="45"/>
      <c r="AU1280" s="45"/>
      <c r="AV1280" s="45"/>
      <c r="AW1280" s="45"/>
      <c r="AX1280" s="45"/>
    </row>
    <row r="1281" ht="15.75" customHeight="1">
      <c r="A1281" s="45"/>
      <c r="B1281" s="45"/>
      <c r="C1281" s="46"/>
      <c r="D1281" s="45"/>
      <c r="E1281" s="47"/>
      <c r="F1281" s="45"/>
      <c r="G1281" s="45"/>
      <c r="H1281" s="45"/>
      <c r="I1281" s="45"/>
      <c r="J1281" s="45"/>
      <c r="K1281" s="45"/>
      <c r="L1281" s="45"/>
      <c r="M1281" s="45"/>
      <c r="N1281" s="45"/>
      <c r="O1281" s="45"/>
      <c r="P1281" s="45"/>
      <c r="Q1281" s="45"/>
      <c r="R1281" s="45"/>
      <c r="S1281" s="45"/>
      <c r="T1281" s="45"/>
      <c r="U1281" s="45"/>
      <c r="V1281" s="45"/>
      <c r="W1281" s="45"/>
      <c r="X1281" s="45"/>
      <c r="Y1281" s="45"/>
      <c r="Z1281" s="45"/>
      <c r="AA1281" s="45"/>
      <c r="AB1281" s="45"/>
      <c r="AC1281" s="45"/>
      <c r="AD1281" s="45"/>
      <c r="AE1281" s="45"/>
      <c r="AF1281" s="45"/>
      <c r="AG1281" s="45"/>
      <c r="AH1281" s="45"/>
      <c r="AI1281" s="45"/>
      <c r="AJ1281" s="45"/>
      <c r="AK1281" s="45"/>
      <c r="AL1281" s="45"/>
      <c r="AM1281" s="45"/>
      <c r="AN1281" s="45"/>
      <c r="AO1281" s="45"/>
      <c r="AP1281" s="45"/>
      <c r="AQ1281" s="45"/>
      <c r="AR1281" s="45"/>
      <c r="AS1281" s="45"/>
      <c r="AT1281" s="45"/>
      <c r="AU1281" s="45"/>
      <c r="AV1281" s="45"/>
      <c r="AW1281" s="45"/>
      <c r="AX1281" s="45"/>
    </row>
    <row r="1282" ht="15.75" customHeight="1">
      <c r="A1282" s="45"/>
      <c r="B1282" s="45"/>
      <c r="C1282" s="46"/>
      <c r="D1282" s="45"/>
      <c r="E1282" s="47"/>
      <c r="F1282" s="45"/>
      <c r="G1282" s="45"/>
      <c r="H1282" s="45"/>
      <c r="I1282" s="45"/>
      <c r="J1282" s="45"/>
      <c r="K1282" s="45"/>
      <c r="L1282" s="45"/>
      <c r="M1282" s="45"/>
      <c r="N1282" s="45"/>
      <c r="O1282" s="45"/>
      <c r="P1282" s="45"/>
      <c r="Q1282" s="45"/>
      <c r="R1282" s="45"/>
      <c r="S1282" s="45"/>
      <c r="T1282" s="45"/>
      <c r="U1282" s="45"/>
      <c r="V1282" s="45"/>
      <c r="W1282" s="45"/>
      <c r="X1282" s="45"/>
      <c r="Y1282" s="45"/>
      <c r="Z1282" s="45"/>
      <c r="AA1282" s="45"/>
      <c r="AB1282" s="45"/>
      <c r="AC1282" s="45"/>
      <c r="AD1282" s="45"/>
      <c r="AE1282" s="45"/>
      <c r="AF1282" s="45"/>
      <c r="AG1282" s="45"/>
      <c r="AH1282" s="45"/>
      <c r="AI1282" s="45"/>
      <c r="AJ1282" s="45"/>
      <c r="AK1282" s="45"/>
      <c r="AL1282" s="45"/>
      <c r="AM1282" s="45"/>
      <c r="AN1282" s="45"/>
      <c r="AO1282" s="45"/>
      <c r="AP1282" s="45"/>
      <c r="AQ1282" s="45"/>
      <c r="AR1282" s="45"/>
      <c r="AS1282" s="45"/>
      <c r="AT1282" s="45"/>
      <c r="AU1282" s="45"/>
      <c r="AV1282" s="45"/>
      <c r="AW1282" s="45"/>
      <c r="AX1282" s="45"/>
    </row>
    <row r="1283" ht="15.75" customHeight="1">
      <c r="A1283" s="45"/>
      <c r="B1283" s="45"/>
      <c r="C1283" s="46"/>
      <c r="D1283" s="45"/>
      <c r="E1283" s="47"/>
      <c r="F1283" s="45"/>
      <c r="G1283" s="45"/>
      <c r="H1283" s="45"/>
      <c r="I1283" s="45"/>
      <c r="J1283" s="45"/>
      <c r="K1283" s="45"/>
      <c r="L1283" s="45"/>
      <c r="M1283" s="45"/>
      <c r="N1283" s="45"/>
      <c r="O1283" s="45"/>
      <c r="P1283" s="45"/>
      <c r="Q1283" s="45"/>
      <c r="R1283" s="45"/>
      <c r="S1283" s="45"/>
      <c r="T1283" s="45"/>
      <c r="U1283" s="45"/>
      <c r="V1283" s="45"/>
      <c r="W1283" s="45"/>
      <c r="X1283" s="45"/>
      <c r="Y1283" s="45"/>
      <c r="Z1283" s="45"/>
      <c r="AA1283" s="45"/>
      <c r="AB1283" s="45"/>
      <c r="AC1283" s="45"/>
      <c r="AD1283" s="45"/>
      <c r="AE1283" s="45"/>
      <c r="AF1283" s="45"/>
      <c r="AG1283" s="45"/>
      <c r="AH1283" s="45"/>
      <c r="AI1283" s="45"/>
      <c r="AJ1283" s="45"/>
      <c r="AK1283" s="45"/>
      <c r="AL1283" s="45"/>
      <c r="AM1283" s="45"/>
      <c r="AN1283" s="45"/>
      <c r="AO1283" s="45"/>
      <c r="AP1283" s="45"/>
      <c r="AQ1283" s="45"/>
      <c r="AR1283" s="45"/>
      <c r="AS1283" s="45"/>
      <c r="AT1283" s="45"/>
      <c r="AU1283" s="45"/>
      <c r="AV1283" s="45"/>
      <c r="AW1283" s="45"/>
      <c r="AX1283" s="45"/>
    </row>
    <row r="1284" ht="15.75" customHeight="1">
      <c r="A1284" s="45"/>
      <c r="B1284" s="45"/>
      <c r="C1284" s="46"/>
      <c r="D1284" s="45"/>
      <c r="E1284" s="47"/>
      <c r="F1284" s="45"/>
      <c r="G1284" s="45"/>
      <c r="H1284" s="45"/>
      <c r="I1284" s="45"/>
      <c r="J1284" s="45"/>
      <c r="K1284" s="45"/>
      <c r="L1284" s="45"/>
      <c r="M1284" s="45"/>
      <c r="N1284" s="45"/>
      <c r="O1284" s="45"/>
      <c r="P1284" s="45"/>
      <c r="Q1284" s="45"/>
      <c r="R1284" s="45"/>
      <c r="S1284" s="45"/>
      <c r="T1284" s="45"/>
      <c r="U1284" s="45"/>
      <c r="V1284" s="45"/>
      <c r="W1284" s="45"/>
      <c r="X1284" s="45"/>
      <c r="Y1284" s="45"/>
      <c r="Z1284" s="45"/>
      <c r="AA1284" s="45"/>
      <c r="AB1284" s="45"/>
      <c r="AC1284" s="45"/>
      <c r="AD1284" s="45"/>
      <c r="AE1284" s="45"/>
      <c r="AF1284" s="45"/>
      <c r="AG1284" s="45"/>
      <c r="AH1284" s="45"/>
      <c r="AI1284" s="45"/>
      <c r="AJ1284" s="45"/>
      <c r="AK1284" s="45"/>
      <c r="AL1284" s="45"/>
      <c r="AM1284" s="45"/>
      <c r="AN1284" s="45"/>
      <c r="AO1284" s="45"/>
      <c r="AP1284" s="45"/>
      <c r="AQ1284" s="45"/>
      <c r="AR1284" s="45"/>
      <c r="AS1284" s="45"/>
      <c r="AT1284" s="45"/>
      <c r="AU1284" s="45"/>
      <c r="AV1284" s="45"/>
      <c r="AW1284" s="45"/>
      <c r="AX1284" s="45"/>
    </row>
    <row r="1285" ht="15.75" customHeight="1">
      <c r="A1285" s="45"/>
      <c r="B1285" s="45"/>
      <c r="C1285" s="46"/>
      <c r="D1285" s="45"/>
      <c r="E1285" s="47"/>
      <c r="F1285" s="45"/>
      <c r="G1285" s="45"/>
      <c r="H1285" s="45"/>
      <c r="I1285" s="45"/>
      <c r="J1285" s="45"/>
      <c r="K1285" s="45"/>
      <c r="L1285" s="45"/>
      <c r="M1285" s="45"/>
      <c r="N1285" s="45"/>
      <c r="O1285" s="45"/>
      <c r="P1285" s="45"/>
      <c r="Q1285" s="45"/>
      <c r="R1285" s="45"/>
      <c r="S1285" s="45"/>
      <c r="T1285" s="45"/>
      <c r="U1285" s="45"/>
      <c r="V1285" s="45"/>
      <c r="W1285" s="45"/>
      <c r="X1285" s="45"/>
      <c r="Y1285" s="45"/>
      <c r="Z1285" s="45"/>
      <c r="AA1285" s="45"/>
      <c r="AB1285" s="45"/>
      <c r="AC1285" s="45"/>
      <c r="AD1285" s="45"/>
      <c r="AE1285" s="45"/>
      <c r="AF1285" s="45"/>
      <c r="AG1285" s="45"/>
      <c r="AH1285" s="45"/>
      <c r="AI1285" s="45"/>
      <c r="AJ1285" s="45"/>
      <c r="AK1285" s="45"/>
      <c r="AL1285" s="45"/>
      <c r="AM1285" s="45"/>
      <c r="AN1285" s="45"/>
      <c r="AO1285" s="45"/>
      <c r="AP1285" s="45"/>
      <c r="AQ1285" s="45"/>
      <c r="AR1285" s="45"/>
      <c r="AS1285" s="45"/>
      <c r="AT1285" s="45"/>
      <c r="AU1285" s="45"/>
      <c r="AV1285" s="45"/>
      <c r="AW1285" s="45"/>
      <c r="AX1285" s="45"/>
    </row>
    <row r="1286" ht="15.75" customHeight="1">
      <c r="A1286" s="45"/>
      <c r="B1286" s="45"/>
      <c r="C1286" s="46"/>
      <c r="D1286" s="45"/>
      <c r="E1286" s="47"/>
      <c r="F1286" s="45"/>
      <c r="G1286" s="45"/>
      <c r="H1286" s="45"/>
      <c r="I1286" s="45"/>
      <c r="J1286" s="45"/>
      <c r="K1286" s="45"/>
      <c r="L1286" s="45"/>
      <c r="M1286" s="45"/>
      <c r="N1286" s="45"/>
      <c r="O1286" s="45"/>
      <c r="P1286" s="45"/>
      <c r="Q1286" s="45"/>
      <c r="R1286" s="45"/>
      <c r="S1286" s="45"/>
      <c r="T1286" s="45"/>
      <c r="U1286" s="45"/>
      <c r="V1286" s="45"/>
      <c r="W1286" s="45"/>
      <c r="X1286" s="45"/>
      <c r="Y1286" s="45"/>
      <c r="Z1286" s="45"/>
      <c r="AA1286" s="45"/>
      <c r="AB1286" s="45"/>
      <c r="AC1286" s="45"/>
      <c r="AD1286" s="45"/>
      <c r="AE1286" s="45"/>
      <c r="AF1286" s="45"/>
      <c r="AG1286" s="45"/>
      <c r="AH1286" s="45"/>
      <c r="AI1286" s="45"/>
      <c r="AJ1286" s="45"/>
      <c r="AK1286" s="45"/>
      <c r="AL1286" s="45"/>
      <c r="AM1286" s="45"/>
      <c r="AN1286" s="45"/>
      <c r="AO1286" s="45"/>
      <c r="AP1286" s="45"/>
      <c r="AQ1286" s="45"/>
      <c r="AR1286" s="45"/>
      <c r="AS1286" s="45"/>
      <c r="AT1286" s="45"/>
      <c r="AU1286" s="45"/>
      <c r="AV1286" s="45"/>
      <c r="AW1286" s="45"/>
      <c r="AX1286" s="45"/>
    </row>
    <row r="1287" ht="15.75" customHeight="1">
      <c r="A1287" s="45"/>
      <c r="B1287" s="45"/>
      <c r="C1287" s="46"/>
      <c r="D1287" s="45"/>
      <c r="E1287" s="47"/>
      <c r="F1287" s="45"/>
      <c r="G1287" s="45"/>
      <c r="H1287" s="45"/>
      <c r="I1287" s="45"/>
      <c r="J1287" s="45"/>
      <c r="K1287" s="45"/>
      <c r="L1287" s="45"/>
      <c r="M1287" s="45"/>
      <c r="N1287" s="45"/>
      <c r="O1287" s="45"/>
      <c r="P1287" s="45"/>
      <c r="Q1287" s="45"/>
      <c r="R1287" s="45"/>
      <c r="S1287" s="45"/>
      <c r="T1287" s="45"/>
      <c r="U1287" s="45"/>
      <c r="V1287" s="45"/>
      <c r="W1287" s="45"/>
      <c r="X1287" s="45"/>
      <c r="Y1287" s="45"/>
      <c r="Z1287" s="45"/>
      <c r="AA1287" s="45"/>
      <c r="AB1287" s="45"/>
      <c r="AC1287" s="45"/>
      <c r="AD1287" s="45"/>
      <c r="AE1287" s="45"/>
      <c r="AF1287" s="45"/>
      <c r="AG1287" s="45"/>
      <c r="AH1287" s="45"/>
      <c r="AI1287" s="45"/>
      <c r="AJ1287" s="45"/>
      <c r="AK1287" s="45"/>
      <c r="AL1287" s="45"/>
      <c r="AM1287" s="45"/>
      <c r="AN1287" s="45"/>
      <c r="AO1287" s="45"/>
      <c r="AP1287" s="45"/>
      <c r="AQ1287" s="45"/>
      <c r="AR1287" s="45"/>
      <c r="AS1287" s="45"/>
      <c r="AT1287" s="45"/>
      <c r="AU1287" s="45"/>
      <c r="AV1287" s="45"/>
      <c r="AW1287" s="45"/>
      <c r="AX1287" s="45"/>
    </row>
    <row r="1288" ht="15.75" customHeight="1">
      <c r="A1288" s="45"/>
      <c r="B1288" s="45"/>
      <c r="C1288" s="46"/>
      <c r="D1288" s="45"/>
      <c r="E1288" s="47"/>
      <c r="F1288" s="45"/>
      <c r="G1288" s="45"/>
      <c r="H1288" s="45"/>
      <c r="I1288" s="45"/>
      <c r="J1288" s="45"/>
      <c r="K1288" s="45"/>
      <c r="L1288" s="45"/>
      <c r="M1288" s="45"/>
      <c r="N1288" s="45"/>
      <c r="O1288" s="45"/>
      <c r="P1288" s="45"/>
      <c r="Q1288" s="45"/>
      <c r="R1288" s="45"/>
      <c r="S1288" s="45"/>
      <c r="T1288" s="45"/>
      <c r="U1288" s="45"/>
      <c r="V1288" s="45"/>
      <c r="W1288" s="45"/>
      <c r="X1288" s="45"/>
      <c r="Y1288" s="45"/>
      <c r="Z1288" s="45"/>
      <c r="AA1288" s="45"/>
      <c r="AB1288" s="45"/>
      <c r="AC1288" s="45"/>
      <c r="AD1288" s="45"/>
      <c r="AE1288" s="45"/>
      <c r="AF1288" s="45"/>
      <c r="AG1288" s="45"/>
      <c r="AH1288" s="45"/>
      <c r="AI1288" s="45"/>
      <c r="AJ1288" s="45"/>
      <c r="AK1288" s="45"/>
      <c r="AL1288" s="45"/>
      <c r="AM1288" s="45"/>
      <c r="AN1288" s="45"/>
      <c r="AO1288" s="45"/>
      <c r="AP1288" s="45"/>
      <c r="AQ1288" s="45"/>
      <c r="AR1288" s="45"/>
      <c r="AS1288" s="45"/>
      <c r="AT1288" s="45"/>
      <c r="AU1288" s="45"/>
      <c r="AV1288" s="45"/>
      <c r="AW1288" s="45"/>
      <c r="AX1288" s="45"/>
    </row>
    <row r="1289" ht="15.75" customHeight="1">
      <c r="A1289" s="45"/>
      <c r="B1289" s="45"/>
      <c r="C1289" s="46"/>
      <c r="D1289" s="45"/>
      <c r="E1289" s="47"/>
      <c r="F1289" s="45"/>
      <c r="G1289" s="45"/>
      <c r="H1289" s="45"/>
      <c r="I1289" s="45"/>
      <c r="J1289" s="45"/>
      <c r="K1289" s="45"/>
      <c r="L1289" s="45"/>
      <c r="M1289" s="45"/>
      <c r="N1289" s="45"/>
      <c r="O1289" s="45"/>
      <c r="P1289" s="45"/>
      <c r="Q1289" s="45"/>
      <c r="R1289" s="45"/>
      <c r="S1289" s="45"/>
      <c r="T1289" s="45"/>
      <c r="U1289" s="45"/>
      <c r="V1289" s="45"/>
      <c r="W1289" s="45"/>
      <c r="X1289" s="45"/>
      <c r="Y1289" s="45"/>
      <c r="Z1289" s="45"/>
      <c r="AA1289" s="45"/>
      <c r="AB1289" s="45"/>
      <c r="AC1289" s="45"/>
      <c r="AD1289" s="45"/>
      <c r="AE1289" s="45"/>
      <c r="AF1289" s="45"/>
      <c r="AG1289" s="45"/>
      <c r="AH1289" s="45"/>
      <c r="AI1289" s="45"/>
      <c r="AJ1289" s="45"/>
      <c r="AK1289" s="45"/>
      <c r="AL1289" s="45"/>
      <c r="AM1289" s="45"/>
      <c r="AN1289" s="45"/>
      <c r="AO1289" s="45"/>
      <c r="AP1289" s="45"/>
      <c r="AQ1289" s="45"/>
      <c r="AR1289" s="45"/>
      <c r="AS1289" s="45"/>
      <c r="AT1289" s="45"/>
      <c r="AU1289" s="45"/>
      <c r="AV1289" s="45"/>
      <c r="AW1289" s="45"/>
      <c r="AX1289" s="45"/>
    </row>
    <row r="1290" ht="15.75" customHeight="1">
      <c r="A1290" s="45"/>
      <c r="B1290" s="45"/>
      <c r="C1290" s="46"/>
      <c r="D1290" s="45"/>
      <c r="E1290" s="47"/>
      <c r="F1290" s="45"/>
      <c r="G1290" s="45"/>
      <c r="H1290" s="45"/>
      <c r="I1290" s="45"/>
      <c r="J1290" s="45"/>
      <c r="K1290" s="45"/>
      <c r="L1290" s="45"/>
      <c r="M1290" s="45"/>
      <c r="N1290" s="45"/>
      <c r="O1290" s="45"/>
      <c r="P1290" s="45"/>
      <c r="Q1290" s="45"/>
      <c r="R1290" s="45"/>
      <c r="S1290" s="45"/>
      <c r="T1290" s="45"/>
      <c r="U1290" s="45"/>
      <c r="V1290" s="45"/>
      <c r="W1290" s="45"/>
      <c r="X1290" s="45"/>
      <c r="Y1290" s="45"/>
      <c r="Z1290" s="45"/>
      <c r="AA1290" s="45"/>
      <c r="AB1290" s="45"/>
      <c r="AC1290" s="45"/>
      <c r="AD1290" s="45"/>
      <c r="AE1290" s="45"/>
      <c r="AF1290" s="45"/>
      <c r="AG1290" s="45"/>
      <c r="AH1290" s="45"/>
      <c r="AI1290" s="45"/>
      <c r="AJ1290" s="45"/>
      <c r="AK1290" s="45"/>
      <c r="AL1290" s="45"/>
      <c r="AM1290" s="45"/>
      <c r="AN1290" s="45"/>
      <c r="AO1290" s="45"/>
      <c r="AP1290" s="45"/>
      <c r="AQ1290" s="45"/>
      <c r="AR1290" s="45"/>
      <c r="AS1290" s="45"/>
      <c r="AT1290" s="45"/>
      <c r="AU1290" s="45"/>
      <c r="AV1290" s="45"/>
      <c r="AW1290" s="45"/>
      <c r="AX1290" s="45"/>
    </row>
    <row r="1291" ht="15.75" customHeight="1">
      <c r="A1291" s="45"/>
      <c r="B1291" s="45"/>
      <c r="C1291" s="46"/>
      <c r="D1291" s="45"/>
      <c r="E1291" s="47"/>
      <c r="F1291" s="45"/>
      <c r="G1291" s="45"/>
      <c r="H1291" s="45"/>
      <c r="I1291" s="45"/>
      <c r="J1291" s="45"/>
      <c r="K1291" s="45"/>
      <c r="L1291" s="45"/>
      <c r="M1291" s="45"/>
      <c r="N1291" s="45"/>
      <c r="O1291" s="45"/>
      <c r="P1291" s="45"/>
      <c r="Q1291" s="45"/>
      <c r="R1291" s="45"/>
      <c r="S1291" s="45"/>
      <c r="T1291" s="45"/>
      <c r="U1291" s="45"/>
      <c r="V1291" s="45"/>
      <c r="W1291" s="45"/>
      <c r="X1291" s="45"/>
      <c r="Y1291" s="45"/>
      <c r="Z1291" s="45"/>
      <c r="AA1291" s="45"/>
      <c r="AB1291" s="45"/>
      <c r="AC1291" s="45"/>
      <c r="AD1291" s="45"/>
      <c r="AE1291" s="45"/>
      <c r="AF1291" s="45"/>
      <c r="AG1291" s="45"/>
      <c r="AH1291" s="45"/>
      <c r="AI1291" s="45"/>
      <c r="AJ1291" s="45"/>
      <c r="AK1291" s="45"/>
      <c r="AL1291" s="45"/>
      <c r="AM1291" s="45"/>
      <c r="AN1291" s="45"/>
      <c r="AO1291" s="45"/>
      <c r="AP1291" s="45"/>
      <c r="AQ1291" s="45"/>
      <c r="AR1291" s="45"/>
      <c r="AS1291" s="45"/>
      <c r="AT1291" s="45"/>
      <c r="AU1291" s="45"/>
      <c r="AV1291" s="45"/>
      <c r="AW1291" s="45"/>
      <c r="AX1291" s="45"/>
    </row>
    <row r="1292" ht="15.75" customHeight="1">
      <c r="A1292" s="45"/>
      <c r="B1292" s="45"/>
      <c r="C1292" s="46"/>
      <c r="D1292" s="45"/>
      <c r="E1292" s="47"/>
      <c r="F1292" s="45"/>
      <c r="G1292" s="45"/>
      <c r="H1292" s="45"/>
      <c r="I1292" s="45"/>
      <c r="J1292" s="45"/>
      <c r="K1292" s="45"/>
      <c r="L1292" s="45"/>
      <c r="M1292" s="45"/>
      <c r="N1292" s="45"/>
      <c r="O1292" s="45"/>
      <c r="P1292" s="45"/>
      <c r="Q1292" s="45"/>
      <c r="R1292" s="45"/>
      <c r="S1292" s="45"/>
      <c r="T1292" s="45"/>
      <c r="U1292" s="45"/>
      <c r="V1292" s="45"/>
      <c r="W1292" s="45"/>
      <c r="X1292" s="45"/>
      <c r="Y1292" s="45"/>
      <c r="Z1292" s="45"/>
      <c r="AA1292" s="45"/>
      <c r="AB1292" s="45"/>
      <c r="AC1292" s="45"/>
      <c r="AD1292" s="45"/>
      <c r="AE1292" s="45"/>
      <c r="AF1292" s="45"/>
      <c r="AG1292" s="45"/>
      <c r="AH1292" s="45"/>
      <c r="AI1292" s="45"/>
      <c r="AJ1292" s="45"/>
      <c r="AK1292" s="45"/>
      <c r="AL1292" s="45"/>
      <c r="AM1292" s="45"/>
      <c r="AN1292" s="45"/>
      <c r="AO1292" s="45"/>
      <c r="AP1292" s="45"/>
      <c r="AQ1292" s="45"/>
      <c r="AR1292" s="45"/>
      <c r="AS1292" s="45"/>
      <c r="AT1292" s="45"/>
      <c r="AU1292" s="45"/>
      <c r="AV1292" s="45"/>
      <c r="AW1292" s="45"/>
      <c r="AX1292" s="45"/>
    </row>
    <row r="1293" ht="15.75" customHeight="1">
      <c r="A1293" s="45"/>
      <c r="B1293" s="45"/>
      <c r="C1293" s="46"/>
      <c r="D1293" s="45"/>
      <c r="E1293" s="47"/>
      <c r="F1293" s="45"/>
      <c r="G1293" s="45"/>
      <c r="H1293" s="45"/>
      <c r="I1293" s="45"/>
      <c r="J1293" s="45"/>
      <c r="K1293" s="45"/>
      <c r="L1293" s="45"/>
      <c r="M1293" s="45"/>
      <c r="N1293" s="45"/>
      <c r="O1293" s="45"/>
      <c r="P1293" s="45"/>
      <c r="Q1293" s="45"/>
      <c r="R1293" s="45"/>
      <c r="S1293" s="45"/>
      <c r="T1293" s="45"/>
      <c r="U1293" s="45"/>
      <c r="V1293" s="45"/>
      <c r="W1293" s="45"/>
      <c r="X1293" s="45"/>
      <c r="Y1293" s="45"/>
      <c r="Z1293" s="45"/>
      <c r="AA1293" s="45"/>
      <c r="AB1293" s="45"/>
      <c r="AC1293" s="45"/>
      <c r="AD1293" s="45"/>
      <c r="AE1293" s="45"/>
      <c r="AF1293" s="45"/>
      <c r="AG1293" s="45"/>
      <c r="AH1293" s="45"/>
      <c r="AI1293" s="45"/>
      <c r="AJ1293" s="45"/>
      <c r="AK1293" s="45"/>
      <c r="AL1293" s="45"/>
      <c r="AM1293" s="45"/>
      <c r="AN1293" s="45"/>
      <c r="AO1293" s="45"/>
      <c r="AP1293" s="45"/>
      <c r="AQ1293" s="45"/>
      <c r="AR1293" s="45"/>
      <c r="AS1293" s="45"/>
      <c r="AT1293" s="45"/>
      <c r="AU1293" s="45"/>
      <c r="AV1293" s="45"/>
      <c r="AW1293" s="45"/>
      <c r="AX1293" s="45"/>
    </row>
    <row r="1294" ht="15.75" customHeight="1">
      <c r="A1294" s="45"/>
      <c r="B1294" s="45"/>
      <c r="C1294" s="46"/>
      <c r="D1294" s="45"/>
      <c r="E1294" s="47"/>
      <c r="F1294" s="45"/>
      <c r="G1294" s="45"/>
      <c r="H1294" s="45"/>
      <c r="I1294" s="45"/>
      <c r="J1294" s="45"/>
      <c r="K1294" s="45"/>
      <c r="L1294" s="45"/>
      <c r="M1294" s="45"/>
      <c r="N1294" s="45"/>
      <c r="O1294" s="45"/>
      <c r="P1294" s="45"/>
      <c r="Q1294" s="45"/>
      <c r="R1294" s="45"/>
      <c r="S1294" s="45"/>
      <c r="T1294" s="45"/>
      <c r="U1294" s="45"/>
      <c r="V1294" s="45"/>
      <c r="W1294" s="45"/>
      <c r="X1294" s="45"/>
      <c r="Y1294" s="45"/>
      <c r="Z1294" s="45"/>
      <c r="AA1294" s="45"/>
      <c r="AB1294" s="45"/>
      <c r="AC1294" s="45"/>
      <c r="AD1294" s="45"/>
      <c r="AE1294" s="45"/>
      <c r="AF1294" s="45"/>
      <c r="AG1294" s="45"/>
      <c r="AH1294" s="45"/>
      <c r="AI1294" s="45"/>
      <c r="AJ1294" s="45"/>
      <c r="AK1294" s="45"/>
      <c r="AL1294" s="45"/>
      <c r="AM1294" s="45"/>
      <c r="AN1294" s="45"/>
      <c r="AO1294" s="45"/>
      <c r="AP1294" s="45"/>
      <c r="AQ1294" s="45"/>
      <c r="AR1294" s="45"/>
      <c r="AS1294" s="45"/>
      <c r="AT1294" s="45"/>
      <c r="AU1294" s="45"/>
      <c r="AV1294" s="45"/>
      <c r="AW1294" s="45"/>
      <c r="AX1294" s="45"/>
    </row>
    <row r="1295" ht="15.75" customHeight="1">
      <c r="A1295" s="45"/>
      <c r="B1295" s="45"/>
      <c r="C1295" s="46"/>
      <c r="D1295" s="45"/>
      <c r="E1295" s="47"/>
      <c r="F1295" s="45"/>
      <c r="G1295" s="45"/>
      <c r="H1295" s="45"/>
      <c r="I1295" s="45"/>
      <c r="J1295" s="45"/>
      <c r="K1295" s="45"/>
      <c r="L1295" s="45"/>
      <c r="M1295" s="45"/>
      <c r="N1295" s="45"/>
      <c r="O1295" s="45"/>
      <c r="P1295" s="45"/>
      <c r="Q1295" s="45"/>
      <c r="R1295" s="45"/>
      <c r="S1295" s="45"/>
      <c r="T1295" s="45"/>
      <c r="U1295" s="45"/>
      <c r="V1295" s="45"/>
      <c r="W1295" s="45"/>
      <c r="X1295" s="45"/>
      <c r="Y1295" s="45"/>
      <c r="Z1295" s="45"/>
      <c r="AA1295" s="45"/>
      <c r="AB1295" s="45"/>
      <c r="AC1295" s="45"/>
      <c r="AD1295" s="45"/>
      <c r="AE1295" s="45"/>
      <c r="AF1295" s="45"/>
      <c r="AG1295" s="45"/>
      <c r="AH1295" s="45"/>
      <c r="AI1295" s="45"/>
      <c r="AJ1295" s="45"/>
      <c r="AK1295" s="45"/>
      <c r="AL1295" s="45"/>
      <c r="AM1295" s="45"/>
      <c r="AN1295" s="45"/>
      <c r="AO1295" s="45"/>
      <c r="AP1295" s="45"/>
      <c r="AQ1295" s="45"/>
      <c r="AR1295" s="45"/>
      <c r="AS1295" s="45"/>
      <c r="AT1295" s="45"/>
      <c r="AU1295" s="45"/>
      <c r="AV1295" s="45"/>
      <c r="AW1295" s="45"/>
      <c r="AX1295" s="45"/>
    </row>
    <row r="1296" ht="15.75" customHeight="1">
      <c r="A1296" s="45"/>
      <c r="B1296" s="45"/>
      <c r="C1296" s="46"/>
      <c r="D1296" s="45"/>
      <c r="E1296" s="47"/>
      <c r="F1296" s="45"/>
      <c r="G1296" s="45"/>
      <c r="H1296" s="45"/>
      <c r="I1296" s="45"/>
      <c r="J1296" s="45"/>
      <c r="K1296" s="45"/>
      <c r="L1296" s="45"/>
      <c r="M1296" s="45"/>
      <c r="N1296" s="45"/>
      <c r="O1296" s="45"/>
      <c r="P1296" s="45"/>
      <c r="Q1296" s="45"/>
      <c r="R1296" s="45"/>
      <c r="S1296" s="45"/>
      <c r="T1296" s="45"/>
      <c r="U1296" s="45"/>
      <c r="V1296" s="45"/>
      <c r="W1296" s="45"/>
      <c r="X1296" s="45"/>
      <c r="Y1296" s="45"/>
      <c r="Z1296" s="45"/>
      <c r="AA1296" s="45"/>
      <c r="AB1296" s="45"/>
      <c r="AC1296" s="45"/>
      <c r="AD1296" s="45"/>
      <c r="AE1296" s="45"/>
      <c r="AF1296" s="45"/>
      <c r="AG1296" s="45"/>
      <c r="AH1296" s="45"/>
      <c r="AI1296" s="45"/>
      <c r="AJ1296" s="45"/>
      <c r="AK1296" s="45"/>
      <c r="AL1296" s="45"/>
      <c r="AM1296" s="45"/>
      <c r="AN1296" s="45"/>
      <c r="AO1296" s="45"/>
      <c r="AP1296" s="45"/>
      <c r="AQ1296" s="45"/>
      <c r="AR1296" s="45"/>
      <c r="AS1296" s="45"/>
      <c r="AT1296" s="45"/>
      <c r="AU1296" s="45"/>
      <c r="AV1296" s="45"/>
      <c r="AW1296" s="45"/>
      <c r="AX1296" s="45"/>
    </row>
    <row r="1297" ht="15.75" customHeight="1">
      <c r="A1297" s="45"/>
      <c r="B1297" s="45"/>
      <c r="C1297" s="46"/>
      <c r="D1297" s="45"/>
      <c r="E1297" s="47"/>
      <c r="F1297" s="45"/>
      <c r="G1297" s="45"/>
      <c r="H1297" s="45"/>
      <c r="I1297" s="45"/>
      <c r="J1297" s="45"/>
      <c r="K1297" s="45"/>
      <c r="L1297" s="45"/>
      <c r="M1297" s="45"/>
      <c r="N1297" s="45"/>
      <c r="O1297" s="45"/>
      <c r="P1297" s="45"/>
      <c r="Q1297" s="45"/>
      <c r="R1297" s="45"/>
      <c r="S1297" s="45"/>
      <c r="T1297" s="45"/>
      <c r="U1297" s="45"/>
      <c r="V1297" s="45"/>
      <c r="W1297" s="45"/>
      <c r="X1297" s="45"/>
      <c r="Y1297" s="45"/>
      <c r="Z1297" s="45"/>
      <c r="AA1297" s="45"/>
      <c r="AB1297" s="45"/>
      <c r="AC1297" s="45"/>
      <c r="AD1297" s="45"/>
      <c r="AE1297" s="45"/>
      <c r="AF1297" s="45"/>
      <c r="AG1297" s="45"/>
      <c r="AH1297" s="45"/>
      <c r="AI1297" s="45"/>
      <c r="AJ1297" s="45"/>
      <c r="AK1297" s="45"/>
      <c r="AL1297" s="45"/>
      <c r="AM1297" s="45"/>
      <c r="AN1297" s="45"/>
      <c r="AO1297" s="45"/>
      <c r="AP1297" s="45"/>
      <c r="AQ1297" s="45"/>
      <c r="AR1297" s="45"/>
      <c r="AS1297" s="45"/>
      <c r="AT1297" s="45"/>
      <c r="AU1297" s="45"/>
      <c r="AV1297" s="45"/>
      <c r="AW1297" s="45"/>
      <c r="AX1297" s="45"/>
    </row>
    <row r="1298" ht="15.75" customHeight="1">
      <c r="A1298" s="45"/>
      <c r="B1298" s="45"/>
      <c r="C1298" s="46"/>
      <c r="D1298" s="45"/>
      <c r="E1298" s="47"/>
      <c r="F1298" s="45"/>
      <c r="G1298" s="45"/>
      <c r="H1298" s="45"/>
      <c r="I1298" s="45"/>
      <c r="J1298" s="45"/>
      <c r="K1298" s="45"/>
      <c r="L1298" s="45"/>
      <c r="M1298" s="45"/>
      <c r="N1298" s="45"/>
      <c r="O1298" s="45"/>
      <c r="P1298" s="45"/>
      <c r="Q1298" s="45"/>
      <c r="R1298" s="45"/>
      <c r="S1298" s="45"/>
      <c r="T1298" s="45"/>
      <c r="U1298" s="45"/>
      <c r="V1298" s="45"/>
      <c r="W1298" s="45"/>
      <c r="X1298" s="45"/>
      <c r="Y1298" s="45"/>
      <c r="Z1298" s="45"/>
      <c r="AA1298" s="45"/>
      <c r="AB1298" s="45"/>
      <c r="AC1298" s="45"/>
      <c r="AD1298" s="45"/>
      <c r="AE1298" s="45"/>
      <c r="AF1298" s="45"/>
      <c r="AG1298" s="45"/>
      <c r="AH1298" s="45"/>
      <c r="AI1298" s="45"/>
      <c r="AJ1298" s="45"/>
      <c r="AK1298" s="45"/>
      <c r="AL1298" s="45"/>
      <c r="AM1298" s="45"/>
      <c r="AN1298" s="45"/>
      <c r="AO1298" s="45"/>
      <c r="AP1298" s="45"/>
      <c r="AQ1298" s="45"/>
      <c r="AR1298" s="45"/>
      <c r="AS1298" s="45"/>
      <c r="AT1298" s="45"/>
      <c r="AU1298" s="45"/>
      <c r="AV1298" s="45"/>
      <c r="AW1298" s="45"/>
      <c r="AX1298" s="45"/>
    </row>
    <row r="1299" ht="15.75" customHeight="1">
      <c r="A1299" s="45"/>
      <c r="B1299" s="45"/>
      <c r="C1299" s="46"/>
      <c r="D1299" s="45"/>
      <c r="E1299" s="47"/>
      <c r="F1299" s="45"/>
      <c r="G1299" s="45"/>
      <c r="H1299" s="45"/>
      <c r="I1299" s="45"/>
      <c r="J1299" s="45"/>
      <c r="K1299" s="45"/>
      <c r="L1299" s="45"/>
      <c r="M1299" s="45"/>
      <c r="N1299" s="45"/>
      <c r="O1299" s="45"/>
      <c r="P1299" s="45"/>
      <c r="Q1299" s="45"/>
      <c r="R1299" s="45"/>
      <c r="S1299" s="45"/>
      <c r="T1299" s="45"/>
      <c r="U1299" s="45"/>
      <c r="V1299" s="45"/>
      <c r="W1299" s="45"/>
      <c r="X1299" s="45"/>
      <c r="Y1299" s="45"/>
      <c r="Z1299" s="45"/>
      <c r="AA1299" s="45"/>
      <c r="AB1299" s="45"/>
      <c r="AC1299" s="45"/>
      <c r="AD1299" s="45"/>
      <c r="AE1299" s="45"/>
      <c r="AF1299" s="45"/>
      <c r="AG1299" s="45"/>
      <c r="AH1299" s="45"/>
      <c r="AI1299" s="45"/>
      <c r="AJ1299" s="45"/>
      <c r="AK1299" s="45"/>
      <c r="AL1299" s="45"/>
      <c r="AM1299" s="45"/>
      <c r="AN1299" s="45"/>
      <c r="AO1299" s="45"/>
      <c r="AP1299" s="45"/>
      <c r="AQ1299" s="45"/>
      <c r="AR1299" s="45"/>
      <c r="AS1299" s="45"/>
      <c r="AT1299" s="45"/>
      <c r="AU1299" s="45"/>
      <c r="AV1299" s="45"/>
      <c r="AW1299" s="45"/>
      <c r="AX1299" s="45"/>
    </row>
    <row r="1300" ht="15.75" customHeight="1">
      <c r="A1300" s="45"/>
      <c r="B1300" s="45"/>
      <c r="C1300" s="46"/>
      <c r="D1300" s="45"/>
      <c r="E1300" s="47"/>
      <c r="F1300" s="45"/>
      <c r="G1300" s="45"/>
      <c r="H1300" s="45"/>
      <c r="I1300" s="45"/>
      <c r="J1300" s="45"/>
      <c r="K1300" s="45"/>
      <c r="L1300" s="45"/>
      <c r="M1300" s="45"/>
      <c r="N1300" s="45"/>
      <c r="O1300" s="45"/>
      <c r="P1300" s="45"/>
      <c r="Q1300" s="45"/>
      <c r="R1300" s="45"/>
      <c r="S1300" s="45"/>
      <c r="T1300" s="45"/>
      <c r="U1300" s="45"/>
      <c r="V1300" s="45"/>
      <c r="W1300" s="45"/>
      <c r="X1300" s="45"/>
      <c r="Y1300" s="45"/>
      <c r="Z1300" s="45"/>
      <c r="AA1300" s="45"/>
      <c r="AB1300" s="45"/>
      <c r="AC1300" s="45"/>
      <c r="AD1300" s="45"/>
      <c r="AE1300" s="45"/>
      <c r="AF1300" s="45"/>
      <c r="AG1300" s="45"/>
      <c r="AH1300" s="45"/>
      <c r="AI1300" s="45"/>
      <c r="AJ1300" s="45"/>
      <c r="AK1300" s="45"/>
      <c r="AL1300" s="45"/>
      <c r="AM1300" s="45"/>
      <c r="AN1300" s="45"/>
      <c r="AO1300" s="45"/>
      <c r="AP1300" s="45"/>
      <c r="AQ1300" s="45"/>
      <c r="AR1300" s="45"/>
      <c r="AS1300" s="45"/>
      <c r="AT1300" s="45"/>
      <c r="AU1300" s="45"/>
      <c r="AV1300" s="45"/>
      <c r="AW1300" s="45"/>
      <c r="AX1300" s="45"/>
    </row>
    <row r="1301" ht="15.75" customHeight="1">
      <c r="A1301" s="45"/>
      <c r="B1301" s="45"/>
      <c r="C1301" s="46"/>
      <c r="D1301" s="45"/>
      <c r="E1301" s="47"/>
      <c r="F1301" s="45"/>
      <c r="G1301" s="45"/>
      <c r="H1301" s="45"/>
      <c r="I1301" s="45"/>
      <c r="J1301" s="45"/>
      <c r="K1301" s="45"/>
      <c r="L1301" s="45"/>
      <c r="M1301" s="45"/>
      <c r="N1301" s="45"/>
      <c r="O1301" s="45"/>
      <c r="P1301" s="45"/>
      <c r="Q1301" s="45"/>
      <c r="R1301" s="45"/>
      <c r="S1301" s="45"/>
      <c r="T1301" s="45"/>
      <c r="U1301" s="45"/>
      <c r="V1301" s="45"/>
      <c r="W1301" s="45"/>
      <c r="X1301" s="45"/>
      <c r="Y1301" s="45"/>
      <c r="Z1301" s="45"/>
      <c r="AA1301" s="45"/>
      <c r="AB1301" s="45"/>
      <c r="AC1301" s="45"/>
      <c r="AD1301" s="45"/>
      <c r="AE1301" s="45"/>
      <c r="AF1301" s="45"/>
      <c r="AG1301" s="45"/>
      <c r="AH1301" s="45"/>
      <c r="AI1301" s="45"/>
      <c r="AJ1301" s="45"/>
      <c r="AK1301" s="45"/>
      <c r="AL1301" s="45"/>
      <c r="AM1301" s="45"/>
      <c r="AN1301" s="45"/>
      <c r="AO1301" s="45"/>
      <c r="AP1301" s="45"/>
      <c r="AQ1301" s="45"/>
      <c r="AR1301" s="45"/>
      <c r="AS1301" s="45"/>
      <c r="AT1301" s="45"/>
      <c r="AU1301" s="45"/>
      <c r="AV1301" s="45"/>
      <c r="AW1301" s="45"/>
      <c r="AX1301" s="45"/>
    </row>
    <row r="1302" ht="15.75" customHeight="1">
      <c r="A1302" s="45"/>
      <c r="B1302" s="45"/>
      <c r="C1302" s="46"/>
      <c r="D1302" s="45"/>
      <c r="E1302" s="47"/>
      <c r="F1302" s="45"/>
      <c r="G1302" s="45"/>
      <c r="H1302" s="45"/>
      <c r="I1302" s="45"/>
      <c r="J1302" s="45"/>
      <c r="K1302" s="45"/>
      <c r="L1302" s="45"/>
      <c r="M1302" s="45"/>
      <c r="N1302" s="45"/>
      <c r="O1302" s="45"/>
      <c r="P1302" s="45"/>
      <c r="Q1302" s="45"/>
      <c r="R1302" s="45"/>
      <c r="S1302" s="45"/>
      <c r="T1302" s="45"/>
      <c r="U1302" s="45"/>
      <c r="V1302" s="45"/>
      <c r="W1302" s="45"/>
      <c r="X1302" s="45"/>
      <c r="Y1302" s="45"/>
      <c r="Z1302" s="45"/>
      <c r="AA1302" s="45"/>
      <c r="AB1302" s="45"/>
      <c r="AC1302" s="45"/>
      <c r="AD1302" s="45"/>
      <c r="AE1302" s="45"/>
      <c r="AF1302" s="45"/>
      <c r="AG1302" s="45"/>
      <c r="AH1302" s="45"/>
      <c r="AI1302" s="45"/>
      <c r="AJ1302" s="45"/>
      <c r="AK1302" s="45"/>
      <c r="AL1302" s="45"/>
      <c r="AM1302" s="45"/>
      <c r="AN1302" s="45"/>
      <c r="AO1302" s="45"/>
      <c r="AP1302" s="45"/>
      <c r="AQ1302" s="45"/>
      <c r="AR1302" s="45"/>
      <c r="AS1302" s="45"/>
      <c r="AT1302" s="45"/>
      <c r="AU1302" s="45"/>
      <c r="AV1302" s="45"/>
      <c r="AW1302" s="45"/>
      <c r="AX1302" s="45"/>
    </row>
    <row r="1303" ht="15.75" customHeight="1">
      <c r="A1303" s="45"/>
      <c r="B1303" s="45"/>
      <c r="C1303" s="46"/>
      <c r="D1303" s="45"/>
      <c r="E1303" s="47"/>
      <c r="F1303" s="45"/>
      <c r="G1303" s="45"/>
      <c r="H1303" s="45"/>
      <c r="I1303" s="45"/>
      <c r="J1303" s="45"/>
      <c r="K1303" s="45"/>
      <c r="L1303" s="45"/>
      <c r="M1303" s="45"/>
      <c r="N1303" s="45"/>
      <c r="O1303" s="45"/>
      <c r="P1303" s="45"/>
      <c r="Q1303" s="45"/>
      <c r="R1303" s="45"/>
      <c r="S1303" s="45"/>
      <c r="T1303" s="45"/>
      <c r="U1303" s="45"/>
      <c r="V1303" s="45"/>
      <c r="W1303" s="45"/>
      <c r="X1303" s="45"/>
      <c r="Y1303" s="45"/>
      <c r="Z1303" s="45"/>
      <c r="AA1303" s="45"/>
      <c r="AB1303" s="45"/>
      <c r="AC1303" s="45"/>
      <c r="AD1303" s="45"/>
      <c r="AE1303" s="45"/>
      <c r="AF1303" s="45"/>
      <c r="AG1303" s="45"/>
      <c r="AH1303" s="45"/>
      <c r="AI1303" s="45"/>
      <c r="AJ1303" s="45"/>
      <c r="AK1303" s="45"/>
      <c r="AL1303" s="45"/>
      <c r="AM1303" s="45"/>
      <c r="AN1303" s="45"/>
      <c r="AO1303" s="45"/>
      <c r="AP1303" s="45"/>
      <c r="AQ1303" s="45"/>
      <c r="AR1303" s="45"/>
      <c r="AS1303" s="45"/>
      <c r="AT1303" s="45"/>
      <c r="AU1303" s="45"/>
      <c r="AV1303" s="45"/>
      <c r="AW1303" s="45"/>
      <c r="AX1303" s="45"/>
    </row>
    <row r="1304" ht="15.75" customHeight="1">
      <c r="A1304" s="45"/>
      <c r="B1304" s="45"/>
      <c r="C1304" s="46"/>
      <c r="D1304" s="45"/>
      <c r="E1304" s="47"/>
      <c r="F1304" s="45"/>
      <c r="G1304" s="45"/>
      <c r="H1304" s="45"/>
      <c r="I1304" s="45"/>
      <c r="J1304" s="45"/>
      <c r="K1304" s="45"/>
      <c r="L1304" s="45"/>
      <c r="M1304" s="45"/>
      <c r="N1304" s="45"/>
      <c r="O1304" s="45"/>
      <c r="P1304" s="45"/>
      <c r="Q1304" s="45"/>
      <c r="R1304" s="45"/>
      <c r="S1304" s="45"/>
      <c r="T1304" s="45"/>
      <c r="U1304" s="45"/>
      <c r="V1304" s="45"/>
      <c r="W1304" s="45"/>
      <c r="X1304" s="45"/>
      <c r="Y1304" s="45"/>
      <c r="Z1304" s="45"/>
      <c r="AA1304" s="45"/>
      <c r="AB1304" s="45"/>
      <c r="AC1304" s="45"/>
      <c r="AD1304" s="45"/>
      <c r="AE1304" s="45"/>
      <c r="AF1304" s="45"/>
      <c r="AG1304" s="45"/>
      <c r="AH1304" s="45"/>
      <c r="AI1304" s="45"/>
      <c r="AJ1304" s="45"/>
      <c r="AK1304" s="45"/>
      <c r="AL1304" s="45"/>
      <c r="AM1304" s="45"/>
      <c r="AN1304" s="45"/>
      <c r="AO1304" s="45"/>
      <c r="AP1304" s="45"/>
      <c r="AQ1304" s="45"/>
      <c r="AR1304" s="45"/>
      <c r="AS1304" s="45"/>
      <c r="AT1304" s="45"/>
      <c r="AU1304" s="45"/>
      <c r="AV1304" s="45"/>
      <c r="AW1304" s="45"/>
      <c r="AX1304" s="45"/>
    </row>
    <row r="1305" ht="15.75" customHeight="1">
      <c r="A1305" s="45"/>
      <c r="B1305" s="45"/>
      <c r="C1305" s="46"/>
      <c r="D1305" s="45"/>
      <c r="E1305" s="47"/>
      <c r="F1305" s="45"/>
      <c r="G1305" s="45"/>
      <c r="H1305" s="45"/>
      <c r="I1305" s="45"/>
      <c r="J1305" s="45"/>
      <c r="K1305" s="45"/>
      <c r="L1305" s="45"/>
      <c r="M1305" s="45"/>
      <c r="N1305" s="45"/>
      <c r="O1305" s="45"/>
      <c r="P1305" s="45"/>
      <c r="Q1305" s="45"/>
      <c r="R1305" s="45"/>
      <c r="S1305" s="45"/>
      <c r="T1305" s="45"/>
      <c r="U1305" s="45"/>
      <c r="V1305" s="45"/>
      <c r="W1305" s="45"/>
      <c r="X1305" s="45"/>
      <c r="Y1305" s="45"/>
      <c r="Z1305" s="45"/>
      <c r="AA1305" s="45"/>
      <c r="AB1305" s="45"/>
      <c r="AC1305" s="45"/>
      <c r="AD1305" s="45"/>
      <c r="AE1305" s="45"/>
      <c r="AF1305" s="45"/>
      <c r="AG1305" s="45"/>
      <c r="AH1305" s="45"/>
      <c r="AI1305" s="45"/>
      <c r="AJ1305" s="45"/>
      <c r="AK1305" s="45"/>
      <c r="AL1305" s="45"/>
      <c r="AM1305" s="45"/>
      <c r="AN1305" s="45"/>
      <c r="AO1305" s="45"/>
      <c r="AP1305" s="45"/>
      <c r="AQ1305" s="45"/>
      <c r="AR1305" s="45"/>
      <c r="AS1305" s="45"/>
      <c r="AT1305" s="45"/>
      <c r="AU1305" s="45"/>
      <c r="AV1305" s="45"/>
      <c r="AW1305" s="45"/>
      <c r="AX1305" s="45"/>
    </row>
    <row r="1306" ht="15.75" customHeight="1">
      <c r="A1306" s="45"/>
      <c r="B1306" s="45"/>
      <c r="C1306" s="46"/>
      <c r="D1306" s="45"/>
      <c r="E1306" s="47"/>
      <c r="F1306" s="45"/>
      <c r="G1306" s="45"/>
      <c r="H1306" s="45"/>
      <c r="I1306" s="45"/>
      <c r="J1306" s="45"/>
      <c r="K1306" s="45"/>
      <c r="L1306" s="45"/>
      <c r="M1306" s="45"/>
      <c r="N1306" s="45"/>
      <c r="O1306" s="45"/>
      <c r="P1306" s="45"/>
      <c r="Q1306" s="45"/>
      <c r="R1306" s="45"/>
      <c r="S1306" s="45"/>
      <c r="T1306" s="45"/>
      <c r="U1306" s="45"/>
      <c r="V1306" s="45"/>
      <c r="W1306" s="45"/>
      <c r="X1306" s="45"/>
      <c r="Y1306" s="45"/>
      <c r="Z1306" s="45"/>
      <c r="AA1306" s="45"/>
      <c r="AB1306" s="45"/>
      <c r="AC1306" s="45"/>
      <c r="AD1306" s="45"/>
      <c r="AE1306" s="45"/>
      <c r="AF1306" s="45"/>
      <c r="AG1306" s="45"/>
      <c r="AH1306" s="45"/>
      <c r="AI1306" s="45"/>
      <c r="AJ1306" s="45"/>
      <c r="AK1306" s="45"/>
      <c r="AL1306" s="45"/>
      <c r="AM1306" s="45"/>
      <c r="AN1306" s="45"/>
      <c r="AO1306" s="45"/>
      <c r="AP1306" s="45"/>
      <c r="AQ1306" s="45"/>
      <c r="AR1306" s="45"/>
      <c r="AS1306" s="45"/>
      <c r="AT1306" s="45"/>
      <c r="AU1306" s="45"/>
      <c r="AV1306" s="45"/>
      <c r="AW1306" s="45"/>
      <c r="AX1306" s="45"/>
    </row>
    <row r="1307" ht="15.75" customHeight="1">
      <c r="A1307" s="45"/>
      <c r="B1307" s="45"/>
      <c r="C1307" s="46"/>
      <c r="D1307" s="45"/>
      <c r="E1307" s="47"/>
      <c r="F1307" s="45"/>
      <c r="G1307" s="45"/>
      <c r="H1307" s="45"/>
      <c r="I1307" s="45"/>
      <c r="J1307" s="45"/>
      <c r="K1307" s="45"/>
      <c r="L1307" s="45"/>
      <c r="M1307" s="45"/>
      <c r="N1307" s="45"/>
      <c r="O1307" s="45"/>
      <c r="P1307" s="45"/>
      <c r="Q1307" s="45"/>
      <c r="R1307" s="45"/>
      <c r="S1307" s="45"/>
      <c r="T1307" s="45"/>
      <c r="U1307" s="45"/>
      <c r="V1307" s="45"/>
      <c r="W1307" s="45"/>
      <c r="X1307" s="45"/>
      <c r="Y1307" s="45"/>
      <c r="Z1307" s="45"/>
      <c r="AA1307" s="45"/>
      <c r="AB1307" s="45"/>
      <c r="AC1307" s="45"/>
      <c r="AD1307" s="45"/>
      <c r="AE1307" s="45"/>
      <c r="AF1307" s="45"/>
      <c r="AG1307" s="45"/>
      <c r="AH1307" s="45"/>
      <c r="AI1307" s="45"/>
      <c r="AJ1307" s="45"/>
      <c r="AK1307" s="45"/>
      <c r="AL1307" s="45"/>
      <c r="AM1307" s="45"/>
      <c r="AN1307" s="45"/>
      <c r="AO1307" s="45"/>
      <c r="AP1307" s="45"/>
      <c r="AQ1307" s="45"/>
      <c r="AR1307" s="45"/>
      <c r="AS1307" s="45"/>
      <c r="AT1307" s="45"/>
      <c r="AU1307" s="45"/>
      <c r="AV1307" s="45"/>
      <c r="AW1307" s="45"/>
      <c r="AX1307" s="45"/>
    </row>
    <row r="1308" ht="15.75" customHeight="1">
      <c r="A1308" s="45"/>
      <c r="B1308" s="45"/>
      <c r="C1308" s="46"/>
      <c r="D1308" s="45"/>
      <c r="E1308" s="47"/>
      <c r="F1308" s="45"/>
      <c r="G1308" s="45"/>
      <c r="H1308" s="45"/>
      <c r="I1308" s="45"/>
      <c r="J1308" s="45"/>
      <c r="K1308" s="45"/>
      <c r="L1308" s="45"/>
      <c r="M1308" s="45"/>
      <c r="N1308" s="45"/>
      <c r="O1308" s="45"/>
      <c r="P1308" s="45"/>
      <c r="Q1308" s="45"/>
      <c r="R1308" s="45"/>
      <c r="S1308" s="45"/>
      <c r="T1308" s="45"/>
      <c r="U1308" s="45"/>
      <c r="V1308" s="45"/>
      <c r="W1308" s="45"/>
      <c r="X1308" s="45"/>
      <c r="Y1308" s="45"/>
      <c r="Z1308" s="45"/>
      <c r="AA1308" s="45"/>
      <c r="AB1308" s="45"/>
      <c r="AC1308" s="45"/>
      <c r="AD1308" s="45"/>
      <c r="AE1308" s="45"/>
      <c r="AF1308" s="45"/>
      <c r="AG1308" s="45"/>
      <c r="AH1308" s="45"/>
      <c r="AI1308" s="45"/>
      <c r="AJ1308" s="45"/>
      <c r="AK1308" s="45"/>
      <c r="AL1308" s="45"/>
      <c r="AM1308" s="45"/>
      <c r="AN1308" s="45"/>
      <c r="AO1308" s="45"/>
      <c r="AP1308" s="45"/>
      <c r="AQ1308" s="45"/>
      <c r="AR1308" s="45"/>
      <c r="AS1308" s="45"/>
      <c r="AT1308" s="45"/>
      <c r="AU1308" s="45"/>
      <c r="AV1308" s="45"/>
      <c r="AW1308" s="45"/>
      <c r="AX1308" s="45"/>
    </row>
    <row r="1309" ht="15.75" customHeight="1">
      <c r="A1309" s="45"/>
      <c r="B1309" s="45"/>
      <c r="C1309" s="46"/>
      <c r="D1309" s="45"/>
      <c r="E1309" s="47"/>
      <c r="F1309" s="45"/>
      <c r="G1309" s="45"/>
      <c r="H1309" s="45"/>
      <c r="I1309" s="45"/>
      <c r="J1309" s="45"/>
      <c r="K1309" s="45"/>
      <c r="L1309" s="45"/>
      <c r="M1309" s="45"/>
      <c r="N1309" s="45"/>
      <c r="O1309" s="45"/>
      <c r="P1309" s="45"/>
      <c r="Q1309" s="45"/>
      <c r="R1309" s="45"/>
      <c r="S1309" s="45"/>
      <c r="T1309" s="45"/>
      <c r="U1309" s="45"/>
      <c r="V1309" s="45"/>
      <c r="W1309" s="45"/>
      <c r="X1309" s="45"/>
      <c r="Y1309" s="45"/>
      <c r="Z1309" s="45"/>
      <c r="AA1309" s="45"/>
      <c r="AB1309" s="45"/>
      <c r="AC1309" s="45"/>
      <c r="AD1309" s="45"/>
      <c r="AE1309" s="45"/>
      <c r="AF1309" s="45"/>
      <c r="AG1309" s="45"/>
      <c r="AH1309" s="45"/>
      <c r="AI1309" s="45"/>
      <c r="AJ1309" s="45"/>
      <c r="AK1309" s="45"/>
      <c r="AL1309" s="45"/>
      <c r="AM1309" s="45"/>
      <c r="AN1309" s="45"/>
      <c r="AO1309" s="45"/>
      <c r="AP1309" s="45"/>
      <c r="AQ1309" s="45"/>
      <c r="AR1309" s="45"/>
      <c r="AS1309" s="45"/>
      <c r="AT1309" s="45"/>
      <c r="AU1309" s="45"/>
      <c r="AV1309" s="45"/>
      <c r="AW1309" s="45"/>
      <c r="AX1309" s="45"/>
    </row>
    <row r="1310" ht="15.75" customHeight="1">
      <c r="A1310" s="45"/>
      <c r="B1310" s="45"/>
      <c r="C1310" s="46"/>
      <c r="D1310" s="45"/>
      <c r="E1310" s="47"/>
      <c r="F1310" s="45"/>
      <c r="G1310" s="45"/>
      <c r="H1310" s="45"/>
      <c r="I1310" s="45"/>
      <c r="J1310" s="45"/>
      <c r="K1310" s="45"/>
      <c r="L1310" s="45"/>
      <c r="M1310" s="45"/>
      <c r="N1310" s="45"/>
      <c r="O1310" s="45"/>
      <c r="P1310" s="45"/>
      <c r="Q1310" s="45"/>
      <c r="R1310" s="45"/>
      <c r="S1310" s="45"/>
      <c r="T1310" s="45"/>
      <c r="U1310" s="45"/>
      <c r="V1310" s="45"/>
      <c r="W1310" s="45"/>
      <c r="X1310" s="45"/>
      <c r="Y1310" s="45"/>
      <c r="Z1310" s="45"/>
      <c r="AA1310" s="45"/>
      <c r="AB1310" s="45"/>
      <c r="AC1310" s="45"/>
      <c r="AD1310" s="45"/>
      <c r="AE1310" s="45"/>
      <c r="AF1310" s="45"/>
      <c r="AG1310" s="45"/>
      <c r="AH1310" s="45"/>
      <c r="AI1310" s="45"/>
      <c r="AJ1310" s="45"/>
      <c r="AK1310" s="45"/>
      <c r="AL1310" s="45"/>
      <c r="AM1310" s="45"/>
      <c r="AN1310" s="45"/>
      <c r="AO1310" s="45"/>
      <c r="AP1310" s="45"/>
      <c r="AQ1310" s="45"/>
      <c r="AR1310" s="45"/>
      <c r="AS1310" s="45"/>
      <c r="AT1310" s="45"/>
      <c r="AU1310" s="45"/>
      <c r="AV1310" s="45"/>
      <c r="AW1310" s="45"/>
      <c r="AX1310" s="45"/>
    </row>
  </sheetData>
  <autoFilter ref="$A$1:$A$1310"/>
  <conditionalFormatting sqref="B1:C1310 J1:J1310 M1:N1310 O1:O662 D10:H831 T22 O664:O1310">
    <cfRule type="expression" dxfId="0" priority="1" stopIfTrue="1">
      <formula>$A1="begin group"</formula>
    </cfRule>
  </conditionalFormatting>
  <conditionalFormatting sqref="B1:C1310 M1:N1310 O1:O662 U1:U1310 D10:H831 T22 T417 O664:O1310">
    <cfRule type="expression" dxfId="1" priority="2" stopIfTrue="1">
      <formula>$A1="begin repeat"</formula>
    </cfRule>
  </conditionalFormatting>
  <conditionalFormatting sqref="B1:F1310 J1:J1310 G10:H831 T22">
    <cfRule type="expression" dxfId="31" priority="3" stopIfTrue="1">
      <formula>$A1="enumerator"</formula>
    </cfRule>
  </conditionalFormatting>
  <conditionalFormatting sqref="B1:F1310 J1:J1310 G10:H831 T22">
    <cfRule type="expression" dxfId="2" priority="4" stopIfTrue="1">
      <formula>$A1="text"</formula>
    </cfRule>
  </conditionalFormatting>
  <conditionalFormatting sqref="B1:F1310 K1:K662 L1:L1310 G10:H831 T22 O663 K664:K1310">
    <cfRule type="expression" dxfId="3" priority="5" stopIfTrue="1">
      <formula>$A1="integer"</formula>
    </cfRule>
  </conditionalFormatting>
  <conditionalFormatting sqref="B1:F1310 K1:K662 L1:L1310 G10:H831 T22 O663 K664:K1310">
    <cfRule type="expression" dxfId="4" priority="6" stopIfTrue="1">
      <formula>$A1="decimal"</formula>
    </cfRule>
  </conditionalFormatting>
  <conditionalFormatting sqref="B1:C1310 J1:J1310 D10:H831 T22">
    <cfRule type="expression" dxfId="5" priority="7" stopIfTrue="1">
      <formula>OR(AND(LEFT($A1, 16)="select_multiple ", LEN($A1)&gt;16, NOT(ISNUMBER(SEARCH(" ", $A1, 17)))), AND(LEFT($A1, 11)="select_one ", LEN($A1)&gt;11, NOT(ISNUMBER(SEARCH(" ", $A1, 12)))))</formula>
    </cfRule>
  </conditionalFormatting>
  <conditionalFormatting sqref="B1:B1310 J1:J1310 T22 C109 C270 C432 C602 C770">
    <cfRule type="expression" dxfId="6" priority="8" stopIfTrue="1">
      <formula>OR($A1="audio audit", $A1="text audit", $A1="speed violations count", $A1="speed violations list", $A1="speed violations audit")</formula>
    </cfRule>
  </conditionalFormatting>
  <conditionalFormatting sqref="B1:C1310 D10:H831 T22">
    <cfRule type="expression" dxfId="32" priority="9" stopIfTrue="1">
      <formula>$A1="file"</formula>
    </cfRule>
  </conditionalFormatting>
  <conditionalFormatting sqref="B1:C1310 D10:H831 T22">
    <cfRule type="expression" dxfId="7" priority="10" stopIfTrue="1">
      <formula>$A1="note"</formula>
    </cfRule>
  </conditionalFormatting>
  <conditionalFormatting sqref="B1:C1310 D10:H831 T22">
    <cfRule type="expression" dxfId="8" priority="11" stopIfTrue="1">
      <formula>$A1="barcode"</formula>
    </cfRule>
  </conditionalFormatting>
  <conditionalFormatting sqref="B1:C1310 D10:H831 T22">
    <cfRule type="expression" dxfId="9" priority="12" stopIfTrue="1">
      <formula>OR($A1="geopoint", $A1="geoshape", $A1="geotrace")</formula>
    </cfRule>
  </conditionalFormatting>
  <conditionalFormatting sqref="B1:B1310 T1:T1310 C109 C270 C432 C602 C770">
    <cfRule type="expression" dxfId="10" priority="13" stopIfTrue="1">
      <formula>OR($A1="calculate", $A1="calculate_here")</formula>
    </cfRule>
  </conditionalFormatting>
  <conditionalFormatting sqref="B1:C1310 J1:J1310 D10:H831 T22">
    <cfRule type="expression" dxfId="11" priority="14" stopIfTrue="1">
      <formula>OR($A1="date", $A1="datetime", $A1="time")</formula>
    </cfRule>
  </conditionalFormatting>
  <conditionalFormatting sqref="B1:C1310 J1:J1310 D10:H831 T22">
    <cfRule type="expression" dxfId="12" priority="15" stopIfTrue="1">
      <formula>$A1="image"</formula>
    </cfRule>
  </conditionalFormatting>
  <conditionalFormatting sqref="B1:C1310 D10:H831 T22">
    <cfRule type="expression" dxfId="13" priority="16" stopIfTrue="1">
      <formula>OR($A1="audio", $A1="video")</formula>
    </cfRule>
  </conditionalFormatting>
  <conditionalFormatting sqref="A1:AC1310">
    <cfRule type="expression" dxfId="33" priority="17" stopIfTrue="1">
      <formula>$A1="file"</formula>
    </cfRule>
  </conditionalFormatting>
  <conditionalFormatting sqref="A1:AC1310">
    <cfRule type="expression" dxfId="34" priority="18" stopIfTrue="1">
      <formula>$A1="enumerator"</formula>
    </cfRule>
  </conditionalFormatting>
  <conditionalFormatting sqref="A1:AC1310">
    <cfRule type="expression" dxfId="35" priority="19" stopIfTrue="1">
      <formula>OR(AND(LEFT($A1, 14)="sensor_stream ", LEN($A1)&gt;14, NOT(ISNUMBER(SEARCH(" ", $A1, 15)))), AND(LEFT($A1, 17)="sensor_statistic ", LEN($A1)&gt;17, NOT(ISNUMBER(SEARCH(" ", $A1, 18)))))</formula>
    </cfRule>
  </conditionalFormatting>
  <conditionalFormatting sqref="A1:AC1310">
    <cfRule type="expression" dxfId="14" priority="20" stopIfTrue="1">
      <formula>$A1="comments"</formula>
    </cfRule>
  </conditionalFormatting>
  <conditionalFormatting sqref="A1:AC1310">
    <cfRule type="expression" dxfId="15" priority="21" stopIfTrue="1">
      <formula>OR($A1="audio", $A1="video")</formula>
    </cfRule>
  </conditionalFormatting>
  <conditionalFormatting sqref="A1:AC1310">
    <cfRule type="expression" dxfId="16" priority="22" stopIfTrue="1">
      <formula>$A1="image"</formula>
    </cfRule>
  </conditionalFormatting>
  <conditionalFormatting sqref="A1:AC1310">
    <cfRule type="expression" dxfId="17" priority="23" stopIfTrue="1">
      <formula>OR($A1="date", $A1="datetime", $A1="time")</formula>
    </cfRule>
  </conditionalFormatting>
  <conditionalFormatting sqref="A1:AC1310">
    <cfRule type="expression" dxfId="18" priority="24" stopIfTrue="1">
      <formula>OR($A1="calculate", $A1="calculate_here")</formula>
    </cfRule>
  </conditionalFormatting>
  <conditionalFormatting sqref="A1:AC1310">
    <cfRule type="expression" dxfId="19" priority="25" stopIfTrue="1">
      <formula>$A1="note"</formula>
    </cfRule>
  </conditionalFormatting>
  <conditionalFormatting sqref="A1:AC1310">
    <cfRule type="expression" dxfId="20" priority="26" stopIfTrue="1">
      <formula>$A1="barcode"</formula>
    </cfRule>
  </conditionalFormatting>
  <conditionalFormatting sqref="A1:AC1310">
    <cfRule type="expression" dxfId="21" priority="27" stopIfTrue="1">
      <formula>OR($A1="geopoint", $A1="geoshape", $A1="geotrace")</formula>
    </cfRule>
  </conditionalFormatting>
  <conditionalFormatting sqref="A1:AC1310">
    <cfRule type="expression" dxfId="22" priority="28" stopIfTrue="1">
      <formula>OR($A1="audio audit", $A1="text audit", $A1="speed violations count", $A1="speed violations list", $A1="speed violations audit")</formula>
    </cfRule>
  </conditionalFormatting>
  <conditionalFormatting sqref="A1:AC1310">
    <cfRule type="expression" dxfId="23" priority="29" stopIfTrue="1">
      <formula>OR($A1="username", $A1="phonenumber", $A1="start", $A1="end", $A1="deviceid", $A1="subscriberid", $A1="simserial", $A1="caseid")</formula>
    </cfRule>
  </conditionalFormatting>
  <conditionalFormatting sqref="A1:AC1310">
    <cfRule type="expression" dxfId="24" priority="30" stopIfTrue="1">
      <formula>OR(AND(LEFT($A1, 16)="select_multiple ", LEN($A1)&gt;16, NOT(ISNUMBER(SEARCH(" ", $A1, 17)))), AND(LEFT($A1, 11)="select_one ", LEN($A1)&gt;11, NOT(ISNUMBER(SEARCH(" ", $A1, 12)))))</formula>
    </cfRule>
  </conditionalFormatting>
  <conditionalFormatting sqref="A1:AC1310">
    <cfRule type="expression" dxfId="25" priority="31" stopIfTrue="1">
      <formula>$A1="decimal"</formula>
    </cfRule>
  </conditionalFormatting>
  <conditionalFormatting sqref="A1:AC1310">
    <cfRule type="expression" dxfId="26" priority="32" stopIfTrue="1">
      <formula>$A1="integer"</formula>
    </cfRule>
  </conditionalFormatting>
  <conditionalFormatting sqref="A1:AC1310">
    <cfRule type="expression" dxfId="27" priority="33" stopIfTrue="1">
      <formula>$A1="text"</formula>
    </cfRule>
  </conditionalFormatting>
  <conditionalFormatting sqref="A1:AC1310">
    <cfRule type="expression" dxfId="28" priority="34" stopIfTrue="1">
      <formula>$A1="end repeat"</formula>
    </cfRule>
  </conditionalFormatting>
  <conditionalFormatting sqref="A1:AC1310">
    <cfRule type="expression" dxfId="28" priority="35" stopIfTrue="1">
      <formula>$A1="begin repeat"</formula>
    </cfRule>
  </conditionalFormatting>
  <conditionalFormatting sqref="A1:AC1310">
    <cfRule type="expression" dxfId="29" priority="36" stopIfTrue="1">
      <formula>$A1="end group"</formula>
    </cfRule>
  </conditionalFormatting>
  <conditionalFormatting sqref="A1:AC1310">
    <cfRule type="expression" dxfId="29" priority="37" stopIfTrue="1">
      <formula>$A1="begin group"</formula>
    </cfRule>
  </conditionalFormatting>
  <conditionalFormatting sqref="B1:B1310 T22 C109 C270 C432 C602 C770">
    <cfRule type="expression" dxfId="30" priority="38" stopIfTrue="1">
      <formula>$A1="comments"</formula>
    </cfRule>
  </conditionalFormatting>
  <conditionalFormatting sqref="B1:B1310 J1:J1310 T22 C109 C270 C432 C602 C770">
    <cfRule type="expression" dxfId="36" priority="39" stopIfTrue="1">
      <formula>OR(AND(LEFT($A1, 14)="sensor_stream ", LEN($A1)&gt;14, NOT(ISNUMBER(SEARCH(" ", $A1, 15)))), AND(LEFT($A1, 17)="sensor_statistic ", LEN($A1)&gt;17, NOT(ISNUMBER(SEARCH(" ", $A1, 18)))))</formula>
    </cfRule>
  </conditionalFormatting>
  <hyperlinks>
    <hyperlink r:id="rId1" ref="E284"/>
  </hyperlinks>
  <printOptions/>
  <pageMargins bottom="0.9840277777777777" footer="0.0" header="0.0" left="0.7479166666666667" right="0.7479166666666667" top="0.9840277777777777"/>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3" t="s">
        <v>4</v>
      </c>
      <c r="C1" s="6" t="s">
        <v>6</v>
      </c>
      <c r="D1" s="8" t="s">
        <v>8</v>
      </c>
      <c r="E1" s="8" t="s">
        <v>10</v>
      </c>
      <c r="F1" s="8" t="s">
        <v>11</v>
      </c>
      <c r="G1" s="3" t="s">
        <v>12</v>
      </c>
      <c r="H1" s="12" t="s">
        <v>14</v>
      </c>
      <c r="I1" s="17" t="s">
        <v>17</v>
      </c>
      <c r="J1" s="17" t="s">
        <v>18</v>
      </c>
      <c r="K1" s="19"/>
      <c r="L1" s="19"/>
      <c r="M1" s="19"/>
      <c r="N1" s="19"/>
      <c r="O1" s="19"/>
      <c r="P1" s="19"/>
      <c r="Q1" s="19"/>
      <c r="R1" s="19"/>
      <c r="S1" s="19"/>
      <c r="T1" s="19"/>
      <c r="U1" s="19"/>
      <c r="V1" s="19"/>
      <c r="W1" s="19"/>
      <c r="X1" s="19"/>
      <c r="Y1" s="19"/>
      <c r="Z1" s="19"/>
      <c r="AA1" s="19"/>
      <c r="AB1" s="19"/>
      <c r="AC1" s="19"/>
      <c r="AD1" s="19"/>
      <c r="AE1" s="19"/>
      <c r="AF1" s="19"/>
    </row>
    <row r="2" ht="15.75" customHeight="1">
      <c r="A2" s="26" t="s">
        <v>32</v>
      </c>
      <c r="B2" s="27">
        <v>1.0</v>
      </c>
      <c r="C2" s="28" t="s">
        <v>39</v>
      </c>
      <c r="D2" s="29" t="s">
        <v>42</v>
      </c>
      <c r="E2" s="29" t="s">
        <v>45</v>
      </c>
      <c r="F2" s="30"/>
      <c r="G2" s="30"/>
      <c r="H2" s="31"/>
      <c r="I2" s="31"/>
      <c r="J2" s="31"/>
      <c r="K2" s="31"/>
      <c r="L2" s="31"/>
      <c r="M2" s="31"/>
      <c r="N2" s="31"/>
      <c r="O2" s="31"/>
      <c r="P2" s="31"/>
      <c r="Q2" s="31"/>
      <c r="R2" s="31"/>
      <c r="S2" s="31"/>
      <c r="T2" s="31"/>
      <c r="U2" s="31"/>
      <c r="V2" s="31"/>
      <c r="W2" s="31"/>
      <c r="X2" s="31"/>
      <c r="Y2" s="31"/>
      <c r="Z2" s="31"/>
      <c r="AA2" s="31"/>
      <c r="AB2" s="31"/>
      <c r="AC2" s="31"/>
      <c r="AD2" s="31"/>
      <c r="AE2" s="31"/>
      <c r="AF2" s="31"/>
    </row>
    <row r="3" ht="15.75" customHeight="1">
      <c r="A3" s="35" t="s">
        <v>32</v>
      </c>
      <c r="B3" s="36">
        <v>0.0</v>
      </c>
      <c r="C3" s="38" t="s">
        <v>52</v>
      </c>
      <c r="D3" s="39" t="s">
        <v>53</v>
      </c>
      <c r="E3" s="39" t="s">
        <v>54</v>
      </c>
      <c r="F3" s="40"/>
      <c r="G3" s="40"/>
      <c r="H3" s="41"/>
      <c r="I3" s="41"/>
      <c r="J3" s="41"/>
      <c r="K3" s="41"/>
      <c r="L3" s="41"/>
      <c r="M3" s="41"/>
      <c r="N3" s="41"/>
      <c r="O3" s="41"/>
      <c r="P3" s="41"/>
      <c r="Q3" s="41"/>
      <c r="R3" s="41"/>
      <c r="S3" s="41"/>
      <c r="T3" s="41"/>
      <c r="U3" s="41"/>
      <c r="V3" s="41"/>
      <c r="W3" s="41"/>
      <c r="X3" s="41"/>
      <c r="Y3" s="41"/>
      <c r="Z3" s="41"/>
      <c r="AA3" s="41"/>
      <c r="AB3" s="41"/>
      <c r="AC3" s="41"/>
      <c r="AD3" s="41"/>
      <c r="AE3" s="41"/>
      <c r="AF3" s="41"/>
    </row>
    <row r="4" ht="15.75" customHeight="1">
      <c r="A4" s="44"/>
      <c r="B4" s="40"/>
      <c r="C4" s="40"/>
      <c r="D4" s="40"/>
      <c r="E4" s="40"/>
      <c r="F4" s="40"/>
      <c r="G4" s="40"/>
      <c r="H4" s="41"/>
      <c r="I4" s="41"/>
      <c r="J4" s="41"/>
      <c r="K4" s="41"/>
      <c r="L4" s="41"/>
      <c r="M4" s="41"/>
      <c r="N4" s="41"/>
      <c r="O4" s="41"/>
      <c r="P4" s="41"/>
      <c r="Q4" s="41"/>
      <c r="R4" s="41"/>
      <c r="S4" s="41"/>
      <c r="T4" s="41"/>
      <c r="U4" s="41"/>
      <c r="V4" s="41"/>
      <c r="W4" s="41"/>
      <c r="X4" s="41"/>
      <c r="Y4" s="41"/>
      <c r="Z4" s="41"/>
      <c r="AA4" s="41"/>
      <c r="AB4" s="41"/>
      <c r="AC4" s="41"/>
      <c r="AD4" s="41"/>
      <c r="AE4" s="41"/>
      <c r="AF4" s="41"/>
    </row>
    <row r="5" ht="15.75" customHeight="1">
      <c r="A5" s="49" t="s">
        <v>58</v>
      </c>
      <c r="B5" s="50">
        <v>3.0</v>
      </c>
      <c r="C5" s="52" t="s">
        <v>59</v>
      </c>
      <c r="D5" s="53" t="s">
        <v>61</v>
      </c>
      <c r="E5" s="53" t="s">
        <v>62</v>
      </c>
      <c r="F5" s="54"/>
      <c r="G5" s="55">
        <v>3.0</v>
      </c>
      <c r="H5" s="54"/>
      <c r="I5" s="54"/>
      <c r="J5" s="54"/>
      <c r="K5" s="54"/>
      <c r="L5" s="54"/>
      <c r="M5" s="54"/>
      <c r="N5" s="54"/>
      <c r="O5" s="54"/>
      <c r="P5" s="54"/>
      <c r="Q5" s="54"/>
      <c r="R5" s="54"/>
      <c r="S5" s="54"/>
      <c r="T5" s="54"/>
      <c r="U5" s="54"/>
      <c r="V5" s="54"/>
      <c r="W5" s="54"/>
      <c r="X5" s="54"/>
      <c r="Y5" s="54"/>
      <c r="Z5" s="54"/>
      <c r="AA5" s="54"/>
      <c r="AB5" s="54"/>
      <c r="AC5" s="54"/>
      <c r="AD5" s="54"/>
      <c r="AE5" s="54"/>
      <c r="AF5" s="54"/>
    </row>
    <row r="6" ht="15.75" customHeight="1">
      <c r="A6" s="26" t="s">
        <v>58</v>
      </c>
      <c r="B6" s="57">
        <v>5.0</v>
      </c>
      <c r="C6" s="58" t="s">
        <v>68</v>
      </c>
      <c r="D6" s="59" t="s">
        <v>69</v>
      </c>
      <c r="E6" s="59" t="s">
        <v>70</v>
      </c>
      <c r="F6" s="60"/>
      <c r="G6" s="61">
        <v>5.0</v>
      </c>
      <c r="H6" s="60"/>
      <c r="I6" s="60"/>
      <c r="J6" s="60"/>
      <c r="K6" s="60"/>
      <c r="L6" s="60"/>
      <c r="M6" s="60"/>
      <c r="N6" s="60"/>
      <c r="O6" s="60"/>
      <c r="P6" s="60"/>
      <c r="Q6" s="60"/>
      <c r="R6" s="60"/>
      <c r="S6" s="60"/>
      <c r="T6" s="60"/>
      <c r="U6" s="60"/>
      <c r="V6" s="60"/>
      <c r="W6" s="60"/>
      <c r="X6" s="60"/>
      <c r="Y6" s="60"/>
      <c r="Z6" s="60"/>
      <c r="AA6" s="60"/>
      <c r="AB6" s="60"/>
      <c r="AC6" s="60"/>
      <c r="AD6" s="60"/>
      <c r="AE6" s="60"/>
      <c r="AF6" s="60"/>
    </row>
    <row r="7" ht="15.75" customHeight="1">
      <c r="A7" s="44"/>
      <c r="B7" s="40"/>
      <c r="C7" s="40"/>
      <c r="D7" s="40"/>
      <c r="E7" s="40"/>
      <c r="F7" s="40"/>
      <c r="G7" s="40"/>
      <c r="H7" s="41"/>
      <c r="I7" s="41"/>
      <c r="J7" s="41"/>
      <c r="K7" s="41"/>
      <c r="L7" s="41"/>
      <c r="M7" s="41"/>
      <c r="N7" s="41"/>
      <c r="O7" s="41"/>
      <c r="P7" s="41"/>
      <c r="Q7" s="41"/>
      <c r="R7" s="41"/>
      <c r="S7" s="41"/>
      <c r="T7" s="41"/>
      <c r="U7" s="41"/>
      <c r="V7" s="41"/>
      <c r="W7" s="41"/>
      <c r="X7" s="41"/>
      <c r="Y7" s="41"/>
      <c r="Z7" s="41"/>
      <c r="AA7" s="41"/>
      <c r="AB7" s="41"/>
      <c r="AC7" s="41"/>
      <c r="AD7" s="41"/>
      <c r="AE7" s="41"/>
      <c r="AF7" s="41"/>
    </row>
    <row r="8" ht="15.75" customHeight="1">
      <c r="A8" s="26" t="s">
        <v>82</v>
      </c>
      <c r="B8" s="27">
        <v>1.0</v>
      </c>
      <c r="C8" s="65" t="s">
        <v>39</v>
      </c>
      <c r="D8" s="66" t="s">
        <v>42</v>
      </c>
      <c r="E8" s="66" t="s">
        <v>45</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row>
    <row r="9" ht="15.75" customHeight="1">
      <c r="A9" s="26" t="s">
        <v>82</v>
      </c>
      <c r="B9" s="27">
        <v>0.0</v>
      </c>
      <c r="C9" s="65" t="s">
        <v>52</v>
      </c>
      <c r="D9" s="66" t="s">
        <v>53</v>
      </c>
      <c r="E9" s="66" t="s">
        <v>97</v>
      </c>
      <c r="F9" s="31"/>
      <c r="G9" s="31"/>
      <c r="H9" s="31"/>
      <c r="I9" s="31"/>
      <c r="J9" s="31"/>
      <c r="K9" s="31"/>
      <c r="L9" s="31"/>
      <c r="M9" s="31"/>
      <c r="N9" s="31"/>
      <c r="O9" s="31"/>
      <c r="P9" s="31"/>
      <c r="Q9" s="31"/>
      <c r="R9" s="31"/>
      <c r="S9" s="31"/>
      <c r="T9" s="31"/>
      <c r="U9" s="31"/>
      <c r="V9" s="31"/>
      <c r="W9" s="31"/>
      <c r="X9" s="31"/>
      <c r="Y9" s="31"/>
      <c r="Z9" s="31"/>
      <c r="AA9" s="31"/>
      <c r="AB9" s="31"/>
      <c r="AC9" s="31"/>
      <c r="AD9" s="31"/>
      <c r="AE9" s="31"/>
      <c r="AF9" s="31"/>
    </row>
    <row r="10" ht="15.75" customHeight="1">
      <c r="A10" s="35" t="s">
        <v>82</v>
      </c>
      <c r="B10" s="36">
        <v>-999.0</v>
      </c>
      <c r="C10" s="66" t="s">
        <v>106</v>
      </c>
      <c r="D10" s="66" t="s">
        <v>107</v>
      </c>
      <c r="E10" s="66" t="s">
        <v>108</v>
      </c>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row>
    <row r="11" ht="15.75" customHeight="1">
      <c r="A11" s="44"/>
      <c r="B11" s="40"/>
      <c r="C11" s="40"/>
      <c r="D11" s="40"/>
      <c r="E11" s="40"/>
      <c r="F11" s="40"/>
      <c r="G11" s="40"/>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row>
    <row r="12" ht="15.75" customHeight="1">
      <c r="A12" s="70" t="s">
        <v>114</v>
      </c>
      <c r="B12" s="39" t="s">
        <v>116</v>
      </c>
      <c r="C12" s="39" t="s">
        <v>118</v>
      </c>
      <c r="D12" s="39" t="s">
        <v>118</v>
      </c>
      <c r="E12" s="39" t="s">
        <v>118</v>
      </c>
      <c r="F12" s="72"/>
      <c r="G12" s="72"/>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row>
    <row r="13" ht="15.75" customHeight="1">
      <c r="A13" s="74"/>
      <c r="B13" s="72"/>
      <c r="C13" s="72"/>
      <c r="D13" s="72"/>
      <c r="E13" s="72"/>
      <c r="F13" s="72"/>
      <c r="G13" s="72"/>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row>
    <row r="14" ht="15.75" customHeight="1">
      <c r="A14" s="70" t="s">
        <v>129</v>
      </c>
      <c r="B14" s="39" t="s">
        <v>130</v>
      </c>
      <c r="C14" s="39" t="s">
        <v>132</v>
      </c>
      <c r="D14" s="39" t="s">
        <v>132</v>
      </c>
      <c r="E14" s="39" t="s">
        <v>132</v>
      </c>
      <c r="F14" s="72"/>
      <c r="G14" s="72"/>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row>
    <row r="15" ht="15.75" customHeight="1">
      <c r="A15" s="44"/>
      <c r="B15" s="40"/>
      <c r="C15" s="40"/>
      <c r="D15" s="40"/>
      <c r="E15" s="40"/>
      <c r="F15" s="40"/>
      <c r="G15" s="40"/>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row>
    <row r="16" ht="15.75" customHeight="1">
      <c r="A16" s="70" t="s">
        <v>137</v>
      </c>
      <c r="B16" s="39" t="s">
        <v>138</v>
      </c>
      <c r="C16" s="39" t="s">
        <v>139</v>
      </c>
      <c r="D16" s="39" t="s">
        <v>139</v>
      </c>
      <c r="E16" s="78" t="s">
        <v>139</v>
      </c>
      <c r="F16" s="40"/>
      <c r="G16" s="40"/>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row>
    <row r="17" ht="15.75" customHeight="1">
      <c r="A17" s="44"/>
      <c r="B17" s="40"/>
      <c r="C17" s="40"/>
      <c r="D17" s="40"/>
      <c r="E17" s="40"/>
      <c r="F17" s="40"/>
      <c r="G17" s="40"/>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row>
    <row r="18" ht="15.75" customHeight="1">
      <c r="A18" s="70" t="s">
        <v>147</v>
      </c>
      <c r="B18" s="39" t="s">
        <v>148</v>
      </c>
      <c r="C18" s="39" t="s">
        <v>149</v>
      </c>
      <c r="D18" s="39" t="s">
        <v>149</v>
      </c>
      <c r="E18" s="39" t="s">
        <v>149</v>
      </c>
      <c r="F18" s="40"/>
      <c r="G18" s="40"/>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row>
    <row r="20" ht="15.75" customHeight="1">
      <c r="A20" s="89" t="s">
        <v>153</v>
      </c>
      <c r="B20" s="92">
        <v>1.0</v>
      </c>
      <c r="C20" s="29" t="s">
        <v>154</v>
      </c>
      <c r="D20" s="29" t="s">
        <v>155</v>
      </c>
      <c r="E20" s="93" t="s">
        <v>155</v>
      </c>
      <c r="F20" s="30"/>
      <c r="G20" s="27">
        <v>1.0</v>
      </c>
      <c r="H20" s="95">
        <v>2.0</v>
      </c>
      <c r="I20" s="31"/>
      <c r="J20" s="31"/>
      <c r="K20" s="31"/>
      <c r="L20" s="31"/>
      <c r="M20" s="31"/>
      <c r="N20" s="31"/>
      <c r="O20" s="31"/>
      <c r="P20" s="31"/>
      <c r="Q20" s="31"/>
      <c r="R20" s="31"/>
      <c r="S20" s="31"/>
      <c r="T20" s="31"/>
      <c r="U20" s="31"/>
      <c r="V20" s="31"/>
      <c r="W20" s="31"/>
      <c r="X20" s="31"/>
      <c r="Y20" s="31"/>
      <c r="Z20" s="31"/>
      <c r="AA20" s="31"/>
      <c r="AB20" s="31"/>
      <c r="AC20" s="31"/>
      <c r="AD20" s="31"/>
      <c r="AE20" s="31"/>
      <c r="AF20" s="31"/>
    </row>
    <row r="21" ht="15.75" customHeight="1">
      <c r="A21" s="89" t="s">
        <v>153</v>
      </c>
      <c r="B21" s="92">
        <v>2.0</v>
      </c>
      <c r="C21" s="29" t="s">
        <v>157</v>
      </c>
      <c r="D21" s="29" t="s">
        <v>158</v>
      </c>
      <c r="E21" s="93" t="s">
        <v>158</v>
      </c>
      <c r="F21" s="30"/>
      <c r="G21" s="30"/>
      <c r="H21" s="95">
        <v>2.0</v>
      </c>
      <c r="I21" s="95">
        <v>1.0</v>
      </c>
      <c r="J21" s="31"/>
      <c r="K21" s="31"/>
      <c r="L21" s="31"/>
      <c r="M21" s="31"/>
      <c r="N21" s="31"/>
      <c r="O21" s="31"/>
      <c r="P21" s="31"/>
      <c r="Q21" s="31"/>
      <c r="R21" s="31"/>
      <c r="S21" s="31"/>
      <c r="T21" s="31"/>
      <c r="U21" s="31"/>
      <c r="V21" s="31"/>
      <c r="W21" s="31"/>
      <c r="X21" s="31"/>
      <c r="Y21" s="31"/>
      <c r="Z21" s="31"/>
      <c r="AA21" s="31"/>
      <c r="AB21" s="31"/>
      <c r="AC21" s="31"/>
      <c r="AD21" s="31"/>
      <c r="AE21" s="31"/>
      <c r="AF21" s="31"/>
    </row>
    <row r="22" ht="15.75" customHeight="1">
      <c r="A22" s="89" t="s">
        <v>153</v>
      </c>
      <c r="B22" s="98">
        <v>3.0</v>
      </c>
      <c r="C22" s="99" t="s">
        <v>159</v>
      </c>
      <c r="D22" s="99" t="s">
        <v>159</v>
      </c>
      <c r="E22" s="99" t="s">
        <v>159</v>
      </c>
      <c r="F22" s="100"/>
      <c r="G22" s="101"/>
      <c r="H22" s="102">
        <v>2.0</v>
      </c>
      <c r="I22" s="31"/>
      <c r="J22" s="103">
        <v>1.0</v>
      </c>
      <c r="K22" s="31"/>
      <c r="L22" s="31"/>
      <c r="M22" s="31"/>
      <c r="N22" s="31"/>
      <c r="O22" s="31"/>
      <c r="P22" s="31"/>
      <c r="Q22" s="31"/>
      <c r="R22" s="31"/>
      <c r="S22" s="31"/>
      <c r="T22" s="31"/>
      <c r="U22" s="31"/>
      <c r="V22" s="31"/>
      <c r="W22" s="31"/>
      <c r="X22" s="31"/>
      <c r="Y22" s="31"/>
      <c r="Z22" s="31"/>
      <c r="AA22" s="31"/>
      <c r="AB22" s="31"/>
      <c r="AC22" s="31"/>
      <c r="AD22" s="31"/>
      <c r="AE22" s="31"/>
      <c r="AF22" s="31"/>
    </row>
    <row r="23" ht="15.75" customHeight="1">
      <c r="A23" s="70" t="s">
        <v>153</v>
      </c>
      <c r="B23" s="105">
        <v>0.0</v>
      </c>
      <c r="C23" s="39" t="s">
        <v>165</v>
      </c>
      <c r="D23" s="107" t="s">
        <v>166</v>
      </c>
      <c r="E23" s="39" t="s">
        <v>168</v>
      </c>
      <c r="F23" s="40"/>
      <c r="G23" s="38" t="s">
        <v>39</v>
      </c>
      <c r="H23" s="109">
        <v>2.0</v>
      </c>
      <c r="I23" s="41"/>
      <c r="J23" s="41"/>
      <c r="K23" s="41"/>
      <c r="L23" s="41"/>
      <c r="M23" s="41"/>
      <c r="N23" s="41"/>
      <c r="O23" s="41"/>
      <c r="P23" s="41"/>
      <c r="Q23" s="41"/>
      <c r="R23" s="41"/>
      <c r="S23" s="41"/>
      <c r="T23" s="41"/>
      <c r="U23" s="41"/>
      <c r="V23" s="41"/>
      <c r="W23" s="41"/>
      <c r="X23" s="41"/>
      <c r="Y23" s="41"/>
      <c r="Z23" s="41"/>
      <c r="AA23" s="41"/>
      <c r="AB23" s="41"/>
      <c r="AC23" s="41"/>
      <c r="AD23" s="41"/>
      <c r="AE23" s="41"/>
      <c r="AF23" s="41"/>
    </row>
    <row r="24" ht="15.75" customHeight="1">
      <c r="A24" s="111"/>
      <c r="B24" s="112"/>
      <c r="C24" s="111"/>
      <c r="D24" s="111"/>
      <c r="E24" s="111"/>
      <c r="F24" s="31"/>
      <c r="G24" s="60"/>
      <c r="H24" s="95"/>
      <c r="I24" s="31"/>
      <c r="J24" s="31"/>
      <c r="K24" s="31"/>
      <c r="L24" s="31"/>
      <c r="M24" s="31"/>
      <c r="N24" s="31"/>
      <c r="O24" s="31"/>
      <c r="P24" s="31"/>
      <c r="Q24" s="31"/>
      <c r="R24" s="31"/>
      <c r="S24" s="31"/>
      <c r="T24" s="31"/>
      <c r="U24" s="31"/>
      <c r="V24" s="31"/>
      <c r="W24" s="31"/>
      <c r="X24" s="31"/>
      <c r="Y24" s="31"/>
      <c r="Z24" s="31"/>
      <c r="AA24" s="31"/>
      <c r="AB24" s="31"/>
      <c r="AC24" s="31"/>
      <c r="AD24" s="31"/>
      <c r="AE24" s="31"/>
      <c r="AF24" s="31"/>
    </row>
    <row r="25" ht="15.75" customHeight="1">
      <c r="A25" s="61" t="s">
        <v>171</v>
      </c>
      <c r="B25" s="102">
        <v>1.0</v>
      </c>
      <c r="C25" s="115" t="s">
        <v>172</v>
      </c>
      <c r="D25" s="115" t="s">
        <v>174</v>
      </c>
      <c r="E25" s="115" t="s">
        <v>174</v>
      </c>
      <c r="F25" s="31"/>
      <c r="G25" s="60"/>
      <c r="H25" s="95"/>
      <c r="I25" s="31"/>
      <c r="J25" s="31"/>
      <c r="K25" s="31"/>
      <c r="L25" s="31"/>
      <c r="M25" s="31"/>
      <c r="N25" s="31"/>
      <c r="O25" s="31"/>
      <c r="P25" s="31"/>
      <c r="Q25" s="31"/>
      <c r="R25" s="31"/>
      <c r="S25" s="31"/>
      <c r="T25" s="31"/>
      <c r="U25" s="31"/>
      <c r="V25" s="31"/>
      <c r="W25" s="31"/>
      <c r="X25" s="31"/>
      <c r="Y25" s="31"/>
      <c r="Z25" s="31"/>
      <c r="AA25" s="31"/>
      <c r="AB25" s="31"/>
      <c r="AC25" s="31"/>
      <c r="AD25" s="31"/>
      <c r="AE25" s="31"/>
      <c r="AF25" s="31"/>
    </row>
    <row r="26" ht="15.75" customHeight="1">
      <c r="A26" s="61" t="s">
        <v>171</v>
      </c>
      <c r="B26" s="102">
        <v>2.0</v>
      </c>
      <c r="C26" s="115" t="s">
        <v>185</v>
      </c>
      <c r="D26" s="115" t="s">
        <v>186</v>
      </c>
      <c r="E26" s="115" t="s">
        <v>186</v>
      </c>
      <c r="F26" s="31"/>
      <c r="G26" s="60"/>
      <c r="H26" s="95"/>
      <c r="I26" s="31"/>
      <c r="J26" s="31"/>
      <c r="K26" s="31"/>
      <c r="L26" s="31"/>
      <c r="M26" s="31"/>
      <c r="N26" s="31"/>
      <c r="O26" s="31"/>
      <c r="P26" s="31"/>
      <c r="Q26" s="31"/>
      <c r="R26" s="31"/>
      <c r="S26" s="31"/>
      <c r="T26" s="31"/>
      <c r="U26" s="31"/>
      <c r="V26" s="31"/>
      <c r="W26" s="31"/>
      <c r="X26" s="31"/>
      <c r="Y26" s="31"/>
      <c r="Z26" s="31"/>
      <c r="AA26" s="31"/>
      <c r="AB26" s="31"/>
      <c r="AC26" s="31"/>
      <c r="AD26" s="31"/>
      <c r="AE26" s="31"/>
      <c r="AF26" s="31"/>
    </row>
    <row r="27" ht="15.75" customHeight="1">
      <c r="A27" s="61"/>
      <c r="B27" s="102"/>
      <c r="C27" s="61"/>
      <c r="D27" s="61"/>
      <c r="E27" s="61"/>
      <c r="F27" s="31"/>
      <c r="G27" s="60"/>
      <c r="H27" s="95"/>
      <c r="I27" s="31"/>
      <c r="J27" s="31"/>
      <c r="K27" s="31"/>
      <c r="L27" s="31"/>
      <c r="M27" s="31"/>
      <c r="N27" s="31"/>
      <c r="O27" s="31"/>
      <c r="P27" s="31"/>
      <c r="Q27" s="31"/>
      <c r="R27" s="31"/>
      <c r="S27" s="31"/>
      <c r="T27" s="31"/>
      <c r="U27" s="31"/>
      <c r="V27" s="31"/>
      <c r="W27" s="31"/>
      <c r="X27" s="31"/>
      <c r="Y27" s="31"/>
      <c r="Z27" s="31"/>
      <c r="AA27" s="31"/>
      <c r="AB27" s="31"/>
      <c r="AC27" s="31"/>
      <c r="AD27" s="31"/>
      <c r="AE27" s="31"/>
      <c r="AF27" s="31"/>
    </row>
    <row r="28" ht="15.75" customHeight="1">
      <c r="A28" s="61" t="s">
        <v>198</v>
      </c>
      <c r="B28" s="102" t="s">
        <v>200</v>
      </c>
      <c r="C28" s="61" t="s">
        <v>203</v>
      </c>
      <c r="D28" s="61" t="s">
        <v>203</v>
      </c>
      <c r="E28" s="61" t="s">
        <v>203</v>
      </c>
      <c r="F28" s="31"/>
      <c r="G28" s="60"/>
      <c r="H28" s="95"/>
      <c r="I28" s="31"/>
      <c r="J28" s="31"/>
      <c r="K28" s="31"/>
      <c r="L28" s="31"/>
      <c r="M28" s="31"/>
      <c r="N28" s="31"/>
      <c r="O28" s="31"/>
      <c r="P28" s="31"/>
      <c r="Q28" s="31"/>
      <c r="R28" s="31"/>
      <c r="S28" s="31"/>
      <c r="T28" s="31"/>
      <c r="U28" s="31"/>
      <c r="V28" s="31"/>
      <c r="W28" s="31"/>
      <c r="X28" s="31"/>
      <c r="Y28" s="31"/>
      <c r="Z28" s="31"/>
      <c r="AA28" s="31"/>
      <c r="AB28" s="31"/>
      <c r="AC28" s="31"/>
      <c r="AD28" s="31"/>
      <c r="AE28" s="31"/>
      <c r="AF28" s="31"/>
    </row>
    <row r="29" ht="15.75" customHeight="1">
      <c r="A29" s="61"/>
      <c r="B29" s="102"/>
      <c r="C29" s="61"/>
      <c r="D29" s="61"/>
      <c r="E29" s="61"/>
      <c r="F29" s="31"/>
      <c r="G29" s="60"/>
      <c r="H29" s="95"/>
      <c r="I29" s="31"/>
      <c r="J29" s="31"/>
      <c r="K29" s="31"/>
      <c r="L29" s="31"/>
      <c r="M29" s="31"/>
      <c r="N29" s="31"/>
      <c r="O29" s="31"/>
      <c r="P29" s="31"/>
      <c r="Q29" s="31"/>
      <c r="R29" s="31"/>
      <c r="S29" s="31"/>
      <c r="T29" s="31"/>
      <c r="U29" s="31"/>
      <c r="V29" s="31"/>
      <c r="W29" s="31"/>
      <c r="X29" s="31"/>
      <c r="Y29" s="31"/>
      <c r="Z29" s="31"/>
      <c r="AA29" s="31"/>
      <c r="AB29" s="31"/>
      <c r="AC29" s="31"/>
      <c r="AD29" s="31"/>
      <c r="AE29" s="31"/>
      <c r="AF29" s="31"/>
    </row>
    <row r="30" ht="15.75" customHeight="1">
      <c r="A30" s="123" t="s">
        <v>210</v>
      </c>
      <c r="B30" s="124">
        <v>1.0</v>
      </c>
      <c r="C30" s="125" t="s">
        <v>211</v>
      </c>
      <c r="D30" s="126" t="s">
        <v>212</v>
      </c>
      <c r="E30" s="126" t="s">
        <v>213</v>
      </c>
      <c r="F30" s="127"/>
      <c r="G30" s="127"/>
      <c r="H30" s="54"/>
      <c r="I30" s="54"/>
      <c r="J30" s="54"/>
      <c r="K30" s="54"/>
      <c r="L30" s="54"/>
      <c r="M30" s="54"/>
      <c r="N30" s="54"/>
      <c r="O30" s="54"/>
      <c r="P30" s="54"/>
      <c r="Q30" s="54"/>
      <c r="R30" s="54"/>
      <c r="S30" s="54"/>
      <c r="T30" s="54"/>
      <c r="U30" s="54"/>
      <c r="V30" s="54"/>
      <c r="W30" s="54"/>
      <c r="X30" s="54"/>
      <c r="Y30" s="54"/>
      <c r="Z30" s="54"/>
      <c r="AA30" s="54"/>
      <c r="AB30" s="54"/>
      <c r="AC30" s="54"/>
      <c r="AD30" s="54"/>
      <c r="AE30" s="31"/>
      <c r="AF30" s="31"/>
    </row>
    <row r="31" ht="15.75" customHeight="1">
      <c r="A31" s="70" t="s">
        <v>210</v>
      </c>
      <c r="B31" s="105">
        <v>0.0</v>
      </c>
      <c r="C31" s="128" t="s">
        <v>221</v>
      </c>
      <c r="D31" s="128" t="s">
        <v>222</v>
      </c>
      <c r="E31" s="128" t="s">
        <v>223</v>
      </c>
      <c r="F31" s="38"/>
      <c r="G31" s="38"/>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31"/>
      <c r="AF31" s="31"/>
    </row>
    <row r="32" ht="15.75" customHeight="1">
      <c r="A32" s="61"/>
      <c r="B32" s="102"/>
      <c r="C32" s="61"/>
      <c r="D32" s="61"/>
      <c r="E32" s="61"/>
      <c r="F32" s="31"/>
      <c r="G32" s="60"/>
      <c r="H32" s="95"/>
      <c r="I32" s="31"/>
      <c r="J32" s="31"/>
      <c r="K32" s="31"/>
      <c r="L32" s="31"/>
      <c r="M32" s="31"/>
      <c r="N32" s="31"/>
      <c r="O32" s="31"/>
      <c r="P32" s="31"/>
      <c r="Q32" s="31"/>
      <c r="R32" s="31"/>
      <c r="S32" s="31"/>
      <c r="T32" s="31"/>
      <c r="U32" s="31"/>
      <c r="V32" s="31"/>
      <c r="W32" s="31"/>
      <c r="X32" s="31"/>
      <c r="Y32" s="31"/>
      <c r="Z32" s="31"/>
      <c r="AA32" s="31"/>
      <c r="AB32" s="31"/>
      <c r="AC32" s="31"/>
      <c r="AD32" s="31"/>
      <c r="AE32" s="31"/>
      <c r="AF32" s="31"/>
    </row>
    <row r="33" ht="15.75" customHeight="1">
      <c r="A33" s="123" t="s">
        <v>233</v>
      </c>
      <c r="B33" s="124">
        <v>1.0</v>
      </c>
      <c r="C33" s="130" t="s">
        <v>235</v>
      </c>
      <c r="D33" s="130" t="s">
        <v>236</v>
      </c>
      <c r="E33" s="130" t="s">
        <v>237</v>
      </c>
      <c r="F33" s="127"/>
      <c r="G33" s="127"/>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row>
    <row r="34" ht="15.75" customHeight="1">
      <c r="A34" s="89" t="s">
        <v>233</v>
      </c>
      <c r="B34" s="92">
        <v>2.0</v>
      </c>
      <c r="C34" s="29" t="s">
        <v>239</v>
      </c>
      <c r="D34" s="29" t="s">
        <v>240</v>
      </c>
      <c r="E34" s="29" t="s">
        <v>241</v>
      </c>
      <c r="F34" s="28"/>
      <c r="G34" s="28"/>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row>
    <row r="35" ht="15.75" customHeight="1">
      <c r="A35" s="89" t="s">
        <v>233</v>
      </c>
      <c r="B35" s="92">
        <v>3.0</v>
      </c>
      <c r="C35" s="29" t="s">
        <v>247</v>
      </c>
      <c r="D35" s="29" t="s">
        <v>248</v>
      </c>
      <c r="E35" s="29" t="s">
        <v>249</v>
      </c>
      <c r="F35" s="28"/>
      <c r="G35" s="28"/>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row>
    <row r="36" ht="15.75" customHeight="1">
      <c r="A36" s="89" t="s">
        <v>233</v>
      </c>
      <c r="B36" s="92">
        <v>4.0</v>
      </c>
      <c r="C36" s="29" t="s">
        <v>258</v>
      </c>
      <c r="D36" s="29" t="s">
        <v>259</v>
      </c>
      <c r="E36" s="29" t="s">
        <v>260</v>
      </c>
      <c r="F36" s="28"/>
      <c r="G36" s="28"/>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row>
    <row r="37" ht="15.75" customHeight="1">
      <c r="A37" s="89" t="s">
        <v>233</v>
      </c>
      <c r="B37" s="92">
        <v>5.0</v>
      </c>
      <c r="C37" s="29" t="s">
        <v>263</v>
      </c>
      <c r="D37" s="29" t="s">
        <v>264</v>
      </c>
      <c r="E37" s="29" t="s">
        <v>265</v>
      </c>
      <c r="F37" s="28"/>
      <c r="G37" s="28"/>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row>
    <row r="38" ht="15.75" customHeight="1">
      <c r="A38" s="89" t="s">
        <v>233</v>
      </c>
      <c r="B38" s="92">
        <v>6.0</v>
      </c>
      <c r="C38" s="29" t="s">
        <v>272</v>
      </c>
      <c r="D38" s="29" t="s">
        <v>275</v>
      </c>
      <c r="E38" s="93" t="s">
        <v>277</v>
      </c>
      <c r="F38" s="28"/>
      <c r="G38" s="28"/>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row>
    <row r="39" ht="15.75" customHeight="1">
      <c r="A39" s="89" t="s">
        <v>233</v>
      </c>
      <c r="B39" s="92">
        <v>7.0</v>
      </c>
      <c r="C39" s="29" t="s">
        <v>287</v>
      </c>
      <c r="D39" s="29" t="s">
        <v>287</v>
      </c>
      <c r="E39" s="29" t="s">
        <v>288</v>
      </c>
      <c r="F39" s="28"/>
      <c r="G39" s="28"/>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row>
    <row r="40" ht="15.75" customHeight="1">
      <c r="A40" s="89" t="s">
        <v>233</v>
      </c>
      <c r="B40" s="92">
        <v>8.0</v>
      </c>
      <c r="C40" s="29" t="s">
        <v>295</v>
      </c>
      <c r="D40" s="29" t="s">
        <v>297</v>
      </c>
      <c r="E40" s="29" t="s">
        <v>298</v>
      </c>
      <c r="F40" s="28"/>
      <c r="G40" s="28"/>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row>
    <row r="41" ht="15.75" customHeight="1">
      <c r="A41" s="89" t="s">
        <v>233</v>
      </c>
      <c r="B41" s="92">
        <v>9.0</v>
      </c>
      <c r="C41" s="29" t="s">
        <v>306</v>
      </c>
      <c r="D41" s="29" t="s">
        <v>310</v>
      </c>
      <c r="E41" s="93" t="s">
        <v>311</v>
      </c>
      <c r="F41" s="28"/>
      <c r="G41" s="28"/>
      <c r="H41" s="60"/>
      <c r="I41" s="60"/>
      <c r="J41" s="60"/>
      <c r="K41" s="60"/>
      <c r="L41" s="60"/>
      <c r="M41" s="60"/>
      <c r="N41" s="60"/>
      <c r="O41" s="60"/>
      <c r="P41" s="60"/>
      <c r="Q41" s="60"/>
      <c r="R41" s="60"/>
      <c r="S41" s="60"/>
      <c r="T41" s="60"/>
      <c r="U41" s="60"/>
      <c r="V41" s="60"/>
      <c r="W41" s="60"/>
      <c r="X41" s="60"/>
      <c r="Y41" s="60"/>
      <c r="Z41" s="60"/>
      <c r="AA41" s="60"/>
      <c r="AB41" s="60"/>
      <c r="AC41" s="60"/>
      <c r="AD41" s="60"/>
      <c r="AE41" s="60"/>
      <c r="AF41" s="60"/>
    </row>
    <row r="42" ht="15.75" customHeight="1">
      <c r="A42" s="89" t="s">
        <v>233</v>
      </c>
      <c r="B42" s="92">
        <v>10.0</v>
      </c>
      <c r="C42" s="29" t="s">
        <v>321</v>
      </c>
      <c r="D42" s="29" t="s">
        <v>323</v>
      </c>
      <c r="E42" s="29" t="s">
        <v>324</v>
      </c>
      <c r="F42" s="28"/>
      <c r="G42" s="28"/>
      <c r="H42" s="60"/>
      <c r="I42" s="60"/>
      <c r="J42" s="60"/>
      <c r="K42" s="60"/>
      <c r="L42" s="60"/>
      <c r="M42" s="60"/>
      <c r="N42" s="60"/>
      <c r="O42" s="60"/>
      <c r="P42" s="60"/>
      <c r="Q42" s="60"/>
      <c r="R42" s="60"/>
      <c r="S42" s="60"/>
      <c r="T42" s="60"/>
      <c r="U42" s="60"/>
      <c r="V42" s="60"/>
      <c r="W42" s="60"/>
      <c r="X42" s="60"/>
      <c r="Y42" s="60"/>
      <c r="Z42" s="60"/>
      <c r="AA42" s="60"/>
      <c r="AB42" s="60"/>
      <c r="AC42" s="60"/>
      <c r="AD42" s="60"/>
      <c r="AE42" s="60"/>
      <c r="AF42" s="60"/>
    </row>
    <row r="43" ht="15.75" customHeight="1">
      <c r="A43" s="89" t="s">
        <v>233</v>
      </c>
      <c r="B43" s="92">
        <v>11.0</v>
      </c>
      <c r="C43" s="29" t="s">
        <v>331</v>
      </c>
      <c r="D43" s="29" t="s">
        <v>333</v>
      </c>
      <c r="E43" s="29" t="s">
        <v>336</v>
      </c>
      <c r="F43" s="28"/>
      <c r="G43" s="28"/>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row>
    <row r="44" ht="15.75" customHeight="1">
      <c r="A44" s="89" t="s">
        <v>233</v>
      </c>
      <c r="B44" s="92">
        <v>13.0</v>
      </c>
      <c r="C44" s="29" t="s">
        <v>348</v>
      </c>
      <c r="D44" s="29" t="s">
        <v>349</v>
      </c>
      <c r="E44" s="29" t="s">
        <v>350</v>
      </c>
      <c r="F44" s="28"/>
      <c r="G44" s="28"/>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row>
    <row r="45" ht="15.75" customHeight="1">
      <c r="A45" s="89" t="s">
        <v>233</v>
      </c>
      <c r="B45" s="92">
        <v>14.0</v>
      </c>
      <c r="C45" s="29" t="s">
        <v>360</v>
      </c>
      <c r="D45" s="29" t="s">
        <v>361</v>
      </c>
      <c r="E45" s="29" t="s">
        <v>362</v>
      </c>
      <c r="F45" s="28"/>
      <c r="G45" s="28"/>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row>
    <row r="46" ht="15.75" customHeight="1">
      <c r="A46" s="70" t="s">
        <v>233</v>
      </c>
      <c r="B46" s="105">
        <v>-99.0</v>
      </c>
      <c r="C46" s="39" t="s">
        <v>373</v>
      </c>
      <c r="D46" s="39" t="s">
        <v>377</v>
      </c>
      <c r="E46" s="39" t="s">
        <v>379</v>
      </c>
      <c r="F46" s="38"/>
      <c r="G46" s="38"/>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row>
    <row r="47" ht="15.75" customHeight="1">
      <c r="A47" s="61"/>
      <c r="B47" s="102"/>
      <c r="C47" s="61"/>
      <c r="D47" s="61"/>
      <c r="E47" s="61"/>
      <c r="F47" s="31"/>
      <c r="G47" s="60"/>
      <c r="H47" s="95"/>
      <c r="I47" s="31"/>
      <c r="J47" s="31"/>
      <c r="K47" s="31"/>
      <c r="L47" s="31"/>
      <c r="M47" s="31"/>
      <c r="N47" s="31"/>
      <c r="O47" s="31"/>
      <c r="P47" s="31"/>
      <c r="Q47" s="31"/>
      <c r="R47" s="31"/>
      <c r="S47" s="31"/>
      <c r="T47" s="31"/>
      <c r="U47" s="31"/>
      <c r="V47" s="31"/>
      <c r="W47" s="31"/>
      <c r="X47" s="31"/>
      <c r="Y47" s="31"/>
      <c r="Z47" s="31"/>
      <c r="AA47" s="31"/>
      <c r="AB47" s="31"/>
      <c r="AC47" s="31"/>
      <c r="AD47" s="31"/>
      <c r="AE47" s="31"/>
      <c r="AF47" s="31"/>
    </row>
    <row r="48" ht="15.75" customHeight="1">
      <c r="A48" s="123" t="s">
        <v>396</v>
      </c>
      <c r="B48" s="124">
        <v>0.0</v>
      </c>
      <c r="C48" s="130" t="s">
        <v>397</v>
      </c>
      <c r="D48" s="130" t="s">
        <v>399</v>
      </c>
      <c r="E48" s="130" t="s">
        <v>403</v>
      </c>
      <c r="F48" s="127"/>
      <c r="G48" s="127"/>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row>
    <row r="49" ht="15.75" customHeight="1">
      <c r="A49" s="89" t="s">
        <v>396</v>
      </c>
      <c r="B49" s="92">
        <v>1.0</v>
      </c>
      <c r="C49" s="29" t="s">
        <v>409</v>
      </c>
      <c r="D49" s="29" t="s">
        <v>410</v>
      </c>
      <c r="E49" s="93" t="s">
        <v>411</v>
      </c>
      <c r="F49" s="28"/>
      <c r="G49" s="28"/>
      <c r="H49" s="60"/>
      <c r="I49" s="60"/>
      <c r="J49" s="60"/>
      <c r="K49" s="60"/>
      <c r="L49" s="60"/>
      <c r="M49" s="60"/>
      <c r="N49" s="60"/>
      <c r="O49" s="60"/>
      <c r="P49" s="60"/>
      <c r="Q49" s="60"/>
      <c r="R49" s="60"/>
      <c r="S49" s="60"/>
      <c r="T49" s="60"/>
      <c r="U49" s="60"/>
      <c r="V49" s="60"/>
      <c r="W49" s="60"/>
      <c r="X49" s="60"/>
      <c r="Y49" s="60"/>
      <c r="Z49" s="60"/>
      <c r="AA49" s="60"/>
      <c r="AB49" s="60"/>
      <c r="AC49" s="60"/>
      <c r="AD49" s="60"/>
      <c r="AE49" s="60"/>
      <c r="AF49" s="60"/>
    </row>
    <row r="50" ht="15.75" customHeight="1">
      <c r="A50" s="89" t="s">
        <v>396</v>
      </c>
      <c r="B50" s="92">
        <v>2.0</v>
      </c>
      <c r="C50" s="29" t="s">
        <v>421</v>
      </c>
      <c r="D50" s="29" t="s">
        <v>424</v>
      </c>
      <c r="E50" s="29" t="s">
        <v>426</v>
      </c>
      <c r="F50" s="28"/>
      <c r="G50" s="28"/>
      <c r="H50" s="60"/>
      <c r="I50" s="60"/>
      <c r="J50" s="60"/>
      <c r="K50" s="60"/>
      <c r="L50" s="60"/>
      <c r="M50" s="60"/>
      <c r="N50" s="60"/>
      <c r="O50" s="60"/>
      <c r="P50" s="60"/>
      <c r="Q50" s="60"/>
      <c r="R50" s="60"/>
      <c r="S50" s="60"/>
      <c r="T50" s="60"/>
      <c r="U50" s="60"/>
      <c r="V50" s="60"/>
      <c r="W50" s="60"/>
      <c r="X50" s="60"/>
      <c r="Y50" s="60"/>
      <c r="Z50" s="60"/>
      <c r="AA50" s="60"/>
      <c r="AB50" s="60"/>
      <c r="AC50" s="60"/>
      <c r="AD50" s="60"/>
      <c r="AE50" s="60"/>
      <c r="AF50" s="60"/>
    </row>
    <row r="51" ht="15.75" customHeight="1">
      <c r="A51" s="70" t="s">
        <v>396</v>
      </c>
      <c r="B51" s="105">
        <v>-999.0</v>
      </c>
      <c r="C51" s="39" t="s">
        <v>106</v>
      </c>
      <c r="D51" s="39" t="s">
        <v>107</v>
      </c>
      <c r="E51" s="39" t="s">
        <v>108</v>
      </c>
      <c r="F51" s="38"/>
      <c r="G51" s="38"/>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row>
    <row r="52" ht="15.75" customHeight="1">
      <c r="A52" s="61"/>
      <c r="B52" s="102"/>
      <c r="C52" s="61"/>
      <c r="D52" s="61"/>
      <c r="E52" s="61"/>
      <c r="F52" s="31"/>
      <c r="G52" s="60"/>
      <c r="H52" s="95"/>
      <c r="I52" s="31"/>
      <c r="J52" s="31"/>
      <c r="K52" s="31"/>
      <c r="L52" s="31"/>
      <c r="M52" s="31"/>
      <c r="N52" s="31"/>
      <c r="O52" s="31"/>
      <c r="P52" s="31"/>
      <c r="Q52" s="31"/>
      <c r="R52" s="31"/>
      <c r="S52" s="31"/>
      <c r="T52" s="31"/>
      <c r="U52" s="31"/>
      <c r="V52" s="31"/>
      <c r="W52" s="31"/>
      <c r="X52" s="31"/>
      <c r="Y52" s="31"/>
      <c r="Z52" s="31"/>
      <c r="AA52" s="31"/>
      <c r="AB52" s="31"/>
      <c r="AC52" s="31"/>
      <c r="AD52" s="31"/>
      <c r="AE52" s="31"/>
      <c r="AF52" s="31"/>
    </row>
    <row r="53" ht="15.75" customHeight="1">
      <c r="A53" s="123" t="s">
        <v>460</v>
      </c>
      <c r="B53" s="124">
        <v>1.0</v>
      </c>
      <c r="C53" s="125" t="s">
        <v>465</v>
      </c>
      <c r="D53" s="126" t="s">
        <v>466</v>
      </c>
      <c r="E53" s="126" t="s">
        <v>468</v>
      </c>
      <c r="F53" s="127"/>
      <c r="G53" s="127"/>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row>
    <row r="54" ht="15.75" customHeight="1">
      <c r="A54" s="89" t="s">
        <v>460</v>
      </c>
      <c r="B54" s="92">
        <v>2.0</v>
      </c>
      <c r="C54" s="145" t="s">
        <v>488</v>
      </c>
      <c r="D54" s="128" t="s">
        <v>491</v>
      </c>
      <c r="E54" s="128" t="s">
        <v>494</v>
      </c>
      <c r="F54" s="28"/>
      <c r="G54" s="28"/>
      <c r="H54" s="60"/>
      <c r="I54" s="60"/>
      <c r="J54" s="60"/>
      <c r="K54" s="60"/>
      <c r="L54" s="60"/>
      <c r="M54" s="60"/>
      <c r="N54" s="60"/>
      <c r="O54" s="60"/>
      <c r="P54" s="60"/>
      <c r="Q54" s="60"/>
      <c r="R54" s="60"/>
      <c r="S54" s="60"/>
      <c r="T54" s="60"/>
      <c r="U54" s="60"/>
      <c r="V54" s="60"/>
      <c r="W54" s="60"/>
      <c r="X54" s="60"/>
      <c r="Y54" s="60"/>
      <c r="Z54" s="60"/>
      <c r="AA54" s="60"/>
      <c r="AB54" s="60"/>
      <c r="AC54" s="60"/>
      <c r="AD54" s="60"/>
      <c r="AE54" s="60"/>
      <c r="AF54" s="60"/>
    </row>
    <row r="55" ht="15.75" customHeight="1">
      <c r="A55" s="89" t="s">
        <v>460</v>
      </c>
      <c r="B55" s="92">
        <v>3.0</v>
      </c>
      <c r="C55" s="145" t="s">
        <v>513</v>
      </c>
      <c r="D55" s="128" t="s">
        <v>513</v>
      </c>
      <c r="E55" s="128" t="s">
        <v>514</v>
      </c>
      <c r="F55" s="28"/>
      <c r="G55" s="28"/>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row>
    <row r="56" ht="15.75" customHeight="1">
      <c r="A56" s="89" t="s">
        <v>460</v>
      </c>
      <c r="B56" s="92">
        <v>4.0</v>
      </c>
      <c r="C56" s="111" t="s">
        <v>523</v>
      </c>
      <c r="D56" s="111" t="s">
        <v>525</v>
      </c>
      <c r="E56" s="147" t="s">
        <v>526</v>
      </c>
      <c r="F56" s="28"/>
      <c r="G56" s="28"/>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row>
    <row r="57" ht="15.75" customHeight="1">
      <c r="A57" s="89" t="s">
        <v>460</v>
      </c>
      <c r="B57" s="92">
        <v>5.0</v>
      </c>
      <c r="C57" s="111" t="s">
        <v>534</v>
      </c>
      <c r="D57" s="111" t="s">
        <v>536</v>
      </c>
      <c r="E57" s="147" t="s">
        <v>537</v>
      </c>
      <c r="F57" s="28"/>
      <c r="G57" s="28"/>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row>
    <row r="58" ht="15.75" customHeight="1">
      <c r="A58" s="89" t="s">
        <v>460</v>
      </c>
      <c r="B58" s="92">
        <v>6.0</v>
      </c>
      <c r="C58" s="111" t="s">
        <v>544</v>
      </c>
      <c r="D58" s="111" t="s">
        <v>545</v>
      </c>
      <c r="E58" s="147" t="s">
        <v>547</v>
      </c>
      <c r="F58" s="28"/>
      <c r="G58" s="28"/>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row>
    <row r="59" ht="15.75" customHeight="1">
      <c r="A59" s="89" t="s">
        <v>460</v>
      </c>
      <c r="B59" s="92">
        <v>7.0</v>
      </c>
      <c r="C59" s="111" t="s">
        <v>552</v>
      </c>
      <c r="D59" s="111" t="s">
        <v>553</v>
      </c>
      <c r="E59" s="147" t="s">
        <v>554</v>
      </c>
      <c r="F59" s="28"/>
      <c r="G59" s="28"/>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row>
    <row r="60" ht="15.75" customHeight="1">
      <c r="A60" s="89" t="s">
        <v>460</v>
      </c>
      <c r="B60" s="92">
        <v>8.0</v>
      </c>
      <c r="C60" s="111" t="s">
        <v>560</v>
      </c>
      <c r="D60" s="111" t="s">
        <v>561</v>
      </c>
      <c r="E60" s="147" t="s">
        <v>562</v>
      </c>
      <c r="F60" s="28"/>
      <c r="G60" s="28"/>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row>
    <row r="61" ht="15.75" customHeight="1">
      <c r="A61" s="70" t="s">
        <v>460</v>
      </c>
      <c r="B61" s="105">
        <v>-777.0</v>
      </c>
      <c r="C61" s="107" t="s">
        <v>570</v>
      </c>
      <c r="D61" s="107" t="s">
        <v>573</v>
      </c>
      <c r="E61" s="39" t="s">
        <v>574</v>
      </c>
      <c r="F61" s="38"/>
      <c r="G61" s="38"/>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row>
    <row r="62" ht="15.75" customHeight="1">
      <c r="A62" s="61"/>
      <c r="B62" s="102"/>
      <c r="C62" s="61"/>
      <c r="D62" s="61"/>
      <c r="E62" s="61"/>
      <c r="F62" s="31"/>
      <c r="G62" s="60"/>
      <c r="H62" s="95"/>
      <c r="I62" s="31"/>
      <c r="J62" s="31"/>
      <c r="K62" s="31"/>
      <c r="L62" s="31"/>
      <c r="M62" s="31"/>
      <c r="N62" s="31"/>
      <c r="O62" s="31"/>
      <c r="P62" s="31"/>
      <c r="Q62" s="31"/>
      <c r="R62" s="31"/>
      <c r="S62" s="31"/>
      <c r="T62" s="31"/>
      <c r="U62" s="31"/>
      <c r="V62" s="31"/>
      <c r="W62" s="31"/>
      <c r="X62" s="31"/>
      <c r="Y62" s="31"/>
      <c r="Z62" s="31"/>
      <c r="AA62" s="31"/>
      <c r="AB62" s="31"/>
      <c r="AC62" s="31"/>
      <c r="AD62" s="31"/>
      <c r="AE62" s="31"/>
      <c r="AF62" s="31"/>
    </row>
    <row r="63" ht="15.75" customHeight="1">
      <c r="A63" s="89" t="s">
        <v>587</v>
      </c>
      <c r="B63" s="89">
        <v>1.0</v>
      </c>
      <c r="C63" s="89" t="s">
        <v>590</v>
      </c>
      <c r="D63" s="89" t="s">
        <v>592</v>
      </c>
      <c r="E63" s="89" t="s">
        <v>593</v>
      </c>
      <c r="F63" s="127"/>
      <c r="G63" s="127"/>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ht="15.75" customHeight="1">
      <c r="A64" s="89" t="s">
        <v>587</v>
      </c>
      <c r="B64" s="89">
        <v>2.0</v>
      </c>
      <c r="C64" s="89" t="s">
        <v>600</v>
      </c>
      <c r="D64" s="89" t="s">
        <v>602</v>
      </c>
      <c r="E64" s="89" t="s">
        <v>603</v>
      </c>
      <c r="F64" s="28"/>
      <c r="G64" s="28"/>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row>
    <row r="65" ht="15.75" customHeight="1">
      <c r="A65" s="89" t="s">
        <v>587</v>
      </c>
      <c r="B65" s="89">
        <v>3.0</v>
      </c>
      <c r="C65" s="89" t="s">
        <v>609</v>
      </c>
      <c r="D65" s="89" t="s">
        <v>610</v>
      </c>
      <c r="E65" s="89" t="s">
        <v>614</v>
      </c>
      <c r="F65" s="38"/>
      <c r="G65" s="38"/>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row>
    <row r="66" ht="15.75" customHeight="1">
      <c r="A66" s="89"/>
      <c r="B66" s="89"/>
      <c r="C66" s="89"/>
      <c r="D66" s="89"/>
      <c r="E66" s="89"/>
      <c r="F66" s="31"/>
      <c r="G66" s="60"/>
      <c r="H66" s="95"/>
      <c r="I66" s="31"/>
      <c r="J66" s="31"/>
      <c r="K66" s="31"/>
      <c r="L66" s="31"/>
      <c r="M66" s="31"/>
      <c r="N66" s="31"/>
      <c r="O66" s="31"/>
      <c r="P66" s="31"/>
      <c r="Q66" s="31"/>
      <c r="R66" s="31"/>
      <c r="S66" s="31"/>
      <c r="T66" s="31"/>
      <c r="U66" s="31"/>
      <c r="V66" s="31"/>
      <c r="W66" s="31"/>
      <c r="X66" s="31"/>
      <c r="Y66" s="31"/>
      <c r="Z66" s="31"/>
      <c r="AA66" s="31"/>
      <c r="AB66" s="31"/>
      <c r="AC66" s="31"/>
      <c r="AD66" s="31"/>
      <c r="AE66" s="31"/>
      <c r="AF66" s="31"/>
    </row>
    <row r="67" ht="15.75" customHeight="1">
      <c r="A67" s="89" t="s">
        <v>623</v>
      </c>
      <c r="B67" s="89">
        <v>1.0</v>
      </c>
      <c r="C67" s="89" t="s">
        <v>624</v>
      </c>
      <c r="D67" s="89" t="s">
        <v>624</v>
      </c>
      <c r="E67" s="89" t="s">
        <v>626</v>
      </c>
      <c r="F67" s="127"/>
      <c r="G67" s="127"/>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row>
    <row r="68" ht="15.75" customHeight="1">
      <c r="A68" s="89" t="s">
        <v>623</v>
      </c>
      <c r="B68" s="89">
        <v>2.0</v>
      </c>
      <c r="C68" s="89" t="s">
        <v>635</v>
      </c>
      <c r="D68" s="89" t="s">
        <v>638</v>
      </c>
      <c r="E68" s="89" t="s">
        <v>639</v>
      </c>
      <c r="F68" s="28"/>
      <c r="G68" s="28"/>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row>
    <row r="69" ht="15.75" customHeight="1">
      <c r="A69" s="89" t="s">
        <v>623</v>
      </c>
      <c r="B69" s="89">
        <v>3.0</v>
      </c>
      <c r="C69" s="89" t="s">
        <v>648</v>
      </c>
      <c r="D69" s="89" t="s">
        <v>649</v>
      </c>
      <c r="E69" s="89" t="s">
        <v>650</v>
      </c>
      <c r="F69" s="38"/>
      <c r="G69" s="38"/>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row>
    <row r="70" ht="15.75" customHeight="1">
      <c r="A70" s="89"/>
      <c r="B70" s="89"/>
      <c r="C70" s="89"/>
      <c r="D70" s="89"/>
      <c r="E70" s="89"/>
      <c r="F70" s="38"/>
      <c r="G70" s="38"/>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row>
    <row r="71" ht="15.75" customHeight="1">
      <c r="A71" s="107"/>
      <c r="B71" s="107"/>
      <c r="C71" s="39"/>
      <c r="D71" s="39"/>
      <c r="E71" s="39"/>
      <c r="F71" s="38"/>
      <c r="G71" s="38"/>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row>
    <row r="72" ht="15.75" customHeight="1">
      <c r="A72" s="111"/>
      <c r="B72" s="111"/>
      <c r="C72" s="111"/>
      <c r="D72" s="111"/>
      <c r="E72" s="111"/>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row>
    <row r="73" ht="15.75" customHeight="1">
      <c r="A73" s="156" t="s">
        <v>679</v>
      </c>
      <c r="B73" s="158">
        <v>1.0</v>
      </c>
      <c r="C73" s="159" t="s">
        <v>685</v>
      </c>
      <c r="D73" s="159" t="s">
        <v>686</v>
      </c>
      <c r="E73" s="159" t="s">
        <v>687</v>
      </c>
      <c r="F73" s="160"/>
      <c r="G73" s="1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row>
    <row r="74" ht="15.75" customHeight="1">
      <c r="A74" s="89" t="s">
        <v>679</v>
      </c>
      <c r="B74" s="92">
        <v>2.0</v>
      </c>
      <c r="C74" s="29" t="s">
        <v>689</v>
      </c>
      <c r="D74" s="29" t="s">
        <v>690</v>
      </c>
      <c r="E74" s="93" t="s">
        <v>691</v>
      </c>
      <c r="F74" s="28"/>
      <c r="G74" s="28"/>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row>
    <row r="75" ht="15.75" customHeight="1">
      <c r="A75" s="89" t="s">
        <v>679</v>
      </c>
      <c r="B75" s="92">
        <v>3.0</v>
      </c>
      <c r="C75" s="29" t="s">
        <v>700</v>
      </c>
      <c r="D75" s="29" t="s">
        <v>701</v>
      </c>
      <c r="E75" s="93" t="s">
        <v>702</v>
      </c>
      <c r="F75" s="28"/>
      <c r="G75" s="28"/>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row>
    <row r="76" ht="15.75" customHeight="1">
      <c r="A76" s="89" t="s">
        <v>679</v>
      </c>
      <c r="B76" s="92">
        <v>4.0</v>
      </c>
      <c r="C76" s="29" t="s">
        <v>709</v>
      </c>
      <c r="D76" s="29" t="s">
        <v>710</v>
      </c>
      <c r="E76" s="93" t="s">
        <v>711</v>
      </c>
      <c r="F76" s="161"/>
      <c r="G76" s="161"/>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row>
    <row r="77" ht="15.75" customHeight="1">
      <c r="A77" s="89" t="s">
        <v>679</v>
      </c>
      <c r="B77" s="92">
        <v>5.0</v>
      </c>
      <c r="C77" s="29" t="s">
        <v>716</v>
      </c>
      <c r="D77" s="29" t="s">
        <v>717</v>
      </c>
      <c r="E77" s="93" t="s">
        <v>718</v>
      </c>
      <c r="F77" s="161"/>
      <c r="G77" s="28"/>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row>
    <row r="78" ht="15.75" customHeight="1">
      <c r="A78" s="89" t="s">
        <v>679</v>
      </c>
      <c r="B78" s="92">
        <v>6.0</v>
      </c>
      <c r="C78" s="29" t="s">
        <v>724</v>
      </c>
      <c r="D78" s="29" t="s">
        <v>725</v>
      </c>
      <c r="E78" s="93" t="s">
        <v>725</v>
      </c>
      <c r="F78" s="161"/>
      <c r="G78" s="161"/>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row>
    <row r="79" ht="15.75" customHeight="1">
      <c r="A79" s="89" t="s">
        <v>679</v>
      </c>
      <c r="B79" s="92">
        <v>-777.0</v>
      </c>
      <c r="C79" s="29" t="s">
        <v>570</v>
      </c>
      <c r="D79" s="29" t="s">
        <v>573</v>
      </c>
      <c r="E79" s="29" t="s">
        <v>574</v>
      </c>
      <c r="F79" s="28"/>
      <c r="G79" s="28"/>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row>
    <row r="80" ht="15.75" customHeight="1">
      <c r="A80" s="89" t="s">
        <v>679</v>
      </c>
      <c r="B80" s="92">
        <v>0.0</v>
      </c>
      <c r="C80" s="29" t="s">
        <v>165</v>
      </c>
      <c r="D80" s="29" t="s">
        <v>166</v>
      </c>
      <c r="E80" s="29" t="s">
        <v>168</v>
      </c>
      <c r="F80" s="28"/>
      <c r="G80" s="28"/>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row>
    <row r="81" ht="15.75" customHeight="1">
      <c r="A81" s="111"/>
      <c r="B81" s="111"/>
      <c r="C81" s="111"/>
      <c r="D81" s="111"/>
      <c r="E81" s="111"/>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row>
    <row r="82" ht="15.75" customHeight="1">
      <c r="A82" s="123" t="s">
        <v>739</v>
      </c>
      <c r="B82" s="124">
        <v>0.0</v>
      </c>
      <c r="C82" s="130" t="s">
        <v>741</v>
      </c>
      <c r="D82" s="130" t="s">
        <v>742</v>
      </c>
      <c r="E82" s="130" t="s">
        <v>743</v>
      </c>
      <c r="F82" s="127"/>
      <c r="G82" s="127"/>
      <c r="H82" s="54"/>
      <c r="I82" s="54"/>
      <c r="J82" s="54"/>
      <c r="K82" s="54"/>
      <c r="L82" s="54"/>
      <c r="M82" s="54"/>
      <c r="N82" s="54"/>
      <c r="O82" s="54"/>
      <c r="P82" s="54"/>
      <c r="Q82" s="54"/>
      <c r="R82" s="54"/>
      <c r="S82" s="54"/>
      <c r="T82" s="54"/>
      <c r="U82" s="54"/>
      <c r="V82" s="54"/>
      <c r="W82" s="54"/>
      <c r="X82" s="54"/>
      <c r="Y82" s="54"/>
      <c r="Z82" s="54"/>
      <c r="AA82" s="54"/>
      <c r="AB82" s="60"/>
      <c r="AC82" s="60"/>
      <c r="AD82" s="60"/>
      <c r="AE82" s="60"/>
      <c r="AF82" s="60"/>
    </row>
    <row r="83" ht="15.75" customHeight="1">
      <c r="A83" s="89" t="s">
        <v>739</v>
      </c>
      <c r="B83" s="92">
        <v>1.0</v>
      </c>
      <c r="C83" s="29" t="s">
        <v>752</v>
      </c>
      <c r="D83" s="29" t="s">
        <v>753</v>
      </c>
      <c r="E83" s="29" t="s">
        <v>754</v>
      </c>
      <c r="F83" s="28"/>
      <c r="G83" s="28"/>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row>
    <row r="84" ht="15.75" customHeight="1">
      <c r="A84" s="89" t="s">
        <v>739</v>
      </c>
      <c r="B84" s="92">
        <v>2.0</v>
      </c>
      <c r="C84" s="29" t="s">
        <v>758</v>
      </c>
      <c r="D84" s="29" t="s">
        <v>759</v>
      </c>
      <c r="E84" s="93" t="s">
        <v>762</v>
      </c>
      <c r="F84" s="28"/>
      <c r="G84" s="28"/>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row>
    <row r="85" ht="15.75" customHeight="1">
      <c r="A85" s="70" t="s">
        <v>739</v>
      </c>
      <c r="B85" s="105">
        <v>3.0</v>
      </c>
      <c r="C85" s="39" t="s">
        <v>765</v>
      </c>
      <c r="D85" s="29" t="s">
        <v>766</v>
      </c>
      <c r="E85" s="29" t="s">
        <v>767</v>
      </c>
      <c r="F85" s="38"/>
      <c r="G85" s="38"/>
      <c r="H85" s="129"/>
      <c r="I85" s="129"/>
      <c r="J85" s="129"/>
      <c r="K85" s="129"/>
      <c r="L85" s="129"/>
      <c r="M85" s="129"/>
      <c r="N85" s="129"/>
      <c r="O85" s="129"/>
      <c r="P85" s="129"/>
      <c r="Q85" s="129"/>
      <c r="R85" s="129"/>
      <c r="S85" s="129"/>
      <c r="T85" s="129"/>
      <c r="U85" s="129"/>
      <c r="V85" s="129"/>
      <c r="W85" s="129"/>
      <c r="X85" s="129"/>
      <c r="Y85" s="129"/>
      <c r="Z85" s="129"/>
      <c r="AA85" s="129"/>
      <c r="AB85" s="60"/>
      <c r="AC85" s="60"/>
      <c r="AD85" s="60"/>
      <c r="AE85" s="60"/>
      <c r="AF85" s="60"/>
    </row>
    <row r="86" ht="15.75" customHeight="1">
      <c r="A86" s="111"/>
      <c r="B86" s="111"/>
      <c r="C86" s="111"/>
      <c r="D86" s="111"/>
      <c r="E86" s="111"/>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row>
    <row r="87" ht="15.75" customHeight="1">
      <c r="A87" s="123" t="s">
        <v>233</v>
      </c>
      <c r="B87" s="124">
        <v>1.0</v>
      </c>
      <c r="C87" s="130" t="s">
        <v>235</v>
      </c>
      <c r="D87" s="130" t="s">
        <v>236</v>
      </c>
      <c r="E87" s="130" t="s">
        <v>237</v>
      </c>
      <c r="F87" s="127"/>
      <c r="G87" s="127"/>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row>
    <row r="88" ht="15.75" customHeight="1">
      <c r="A88" s="89" t="s">
        <v>233</v>
      </c>
      <c r="B88" s="92">
        <v>2.0</v>
      </c>
      <c r="C88" s="29" t="s">
        <v>239</v>
      </c>
      <c r="D88" s="29" t="s">
        <v>240</v>
      </c>
      <c r="E88" s="93" t="s">
        <v>241</v>
      </c>
      <c r="F88" s="28"/>
      <c r="G88" s="28"/>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row>
    <row r="89" ht="15.75" customHeight="1">
      <c r="A89" s="89" t="s">
        <v>233</v>
      </c>
      <c r="B89" s="92">
        <v>3.0</v>
      </c>
      <c r="C89" s="29" t="s">
        <v>247</v>
      </c>
      <c r="D89" s="29" t="s">
        <v>248</v>
      </c>
      <c r="E89" s="29" t="s">
        <v>249</v>
      </c>
      <c r="F89" s="28"/>
      <c r="G89" s="28"/>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row>
    <row r="90" ht="15.75" customHeight="1">
      <c r="A90" s="89" t="s">
        <v>233</v>
      </c>
      <c r="B90" s="92">
        <v>4.0</v>
      </c>
      <c r="C90" s="29" t="s">
        <v>258</v>
      </c>
      <c r="D90" s="29" t="s">
        <v>259</v>
      </c>
      <c r="E90" s="29" t="s">
        <v>260</v>
      </c>
      <c r="F90" s="28"/>
      <c r="G90" s="28"/>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row>
    <row r="91" ht="15.75" customHeight="1">
      <c r="A91" s="89" t="s">
        <v>233</v>
      </c>
      <c r="B91" s="92">
        <v>5.0</v>
      </c>
      <c r="C91" s="29" t="s">
        <v>263</v>
      </c>
      <c r="D91" s="29" t="s">
        <v>264</v>
      </c>
      <c r="E91" s="93" t="s">
        <v>265</v>
      </c>
      <c r="F91" s="28"/>
      <c r="G91" s="28"/>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row>
    <row r="92" ht="15.75" customHeight="1">
      <c r="A92" s="89" t="s">
        <v>233</v>
      </c>
      <c r="B92" s="92">
        <v>6.0</v>
      </c>
      <c r="C92" s="29" t="s">
        <v>272</v>
      </c>
      <c r="D92" s="29" t="s">
        <v>275</v>
      </c>
      <c r="E92" s="93" t="s">
        <v>277</v>
      </c>
      <c r="F92" s="161"/>
      <c r="G92" s="28"/>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row>
    <row r="93" ht="15.75" customHeight="1">
      <c r="A93" s="89" t="s">
        <v>233</v>
      </c>
      <c r="B93" s="92">
        <v>7.0</v>
      </c>
      <c r="C93" s="29" t="s">
        <v>287</v>
      </c>
      <c r="D93" s="29" t="s">
        <v>287</v>
      </c>
      <c r="E93" s="29" t="s">
        <v>288</v>
      </c>
      <c r="F93" s="28"/>
      <c r="G93" s="28"/>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row>
    <row r="94" ht="15.75" customHeight="1">
      <c r="A94" s="89" t="s">
        <v>233</v>
      </c>
      <c r="B94" s="92">
        <v>8.0</v>
      </c>
      <c r="C94" s="29" t="s">
        <v>295</v>
      </c>
      <c r="D94" s="29" t="s">
        <v>297</v>
      </c>
      <c r="E94" s="93" t="s">
        <v>298</v>
      </c>
      <c r="F94" s="28"/>
      <c r="G94" s="28"/>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row>
    <row r="95" ht="15.75" customHeight="1">
      <c r="A95" s="89" t="s">
        <v>233</v>
      </c>
      <c r="B95" s="92">
        <v>9.0</v>
      </c>
      <c r="C95" s="29" t="s">
        <v>306</v>
      </c>
      <c r="D95" s="29" t="s">
        <v>310</v>
      </c>
      <c r="E95" s="93" t="s">
        <v>311</v>
      </c>
      <c r="F95" s="161"/>
      <c r="G95" s="28"/>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row>
    <row r="96" ht="15.75" customHeight="1">
      <c r="A96" s="89" t="s">
        <v>233</v>
      </c>
      <c r="B96" s="92">
        <v>10.0</v>
      </c>
      <c r="C96" s="29" t="s">
        <v>321</v>
      </c>
      <c r="D96" s="29" t="s">
        <v>323</v>
      </c>
      <c r="E96" s="93" t="s">
        <v>324</v>
      </c>
      <c r="F96" s="28"/>
      <c r="G96" s="28"/>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row>
    <row r="97" ht="15.75" customHeight="1">
      <c r="A97" s="89" t="s">
        <v>233</v>
      </c>
      <c r="B97" s="92">
        <v>11.0</v>
      </c>
      <c r="C97" s="29" t="s">
        <v>331</v>
      </c>
      <c r="D97" s="29" t="s">
        <v>333</v>
      </c>
      <c r="E97" s="29" t="s">
        <v>336</v>
      </c>
      <c r="F97" s="28"/>
      <c r="G97" s="28"/>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row>
    <row r="98" ht="15.75" customHeight="1">
      <c r="A98" s="89" t="s">
        <v>233</v>
      </c>
      <c r="B98" s="92">
        <v>13.0</v>
      </c>
      <c r="C98" s="29" t="s">
        <v>348</v>
      </c>
      <c r="D98" s="29" t="s">
        <v>349</v>
      </c>
      <c r="E98" s="93" t="s">
        <v>350</v>
      </c>
      <c r="F98" s="28"/>
      <c r="G98" s="28"/>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row>
    <row r="99" ht="15.75" customHeight="1">
      <c r="A99" s="89" t="s">
        <v>233</v>
      </c>
      <c r="B99" s="92">
        <v>14.0</v>
      </c>
      <c r="C99" s="29" t="s">
        <v>360</v>
      </c>
      <c r="D99" s="29" t="s">
        <v>361</v>
      </c>
      <c r="E99" s="29" t="s">
        <v>362</v>
      </c>
      <c r="F99" s="28"/>
      <c r="G99" s="28"/>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row>
    <row r="100" ht="15.75" customHeight="1">
      <c r="A100" s="70" t="s">
        <v>233</v>
      </c>
      <c r="B100" s="105">
        <v>-99.0</v>
      </c>
      <c r="C100" s="39" t="s">
        <v>373</v>
      </c>
      <c r="D100" s="39" t="s">
        <v>377</v>
      </c>
      <c r="E100" s="78" t="s">
        <v>379</v>
      </c>
      <c r="F100" s="38"/>
      <c r="G100" s="38"/>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row>
    <row r="101" ht="15.75" customHeight="1">
      <c r="A101" s="111"/>
      <c r="B101" s="112"/>
      <c r="C101" s="111"/>
      <c r="D101" s="111"/>
      <c r="E101" s="173"/>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row>
    <row r="102" ht="15.75" customHeight="1">
      <c r="A102" s="123" t="s">
        <v>895</v>
      </c>
      <c r="B102" s="124">
        <v>0.0</v>
      </c>
      <c r="C102" s="130" t="s">
        <v>165</v>
      </c>
      <c r="D102" s="130" t="s">
        <v>166</v>
      </c>
      <c r="E102" s="174" t="s">
        <v>897</v>
      </c>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row>
    <row r="103" ht="15.75" customHeight="1">
      <c r="A103" s="89" t="s">
        <v>895</v>
      </c>
      <c r="B103" s="92">
        <v>1.0</v>
      </c>
      <c r="C103" s="29" t="s">
        <v>898</v>
      </c>
      <c r="D103" s="29" t="s">
        <v>900</v>
      </c>
      <c r="E103" s="93" t="s">
        <v>902</v>
      </c>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row>
    <row r="104" ht="15.75" customHeight="1">
      <c r="A104" s="89" t="s">
        <v>895</v>
      </c>
      <c r="B104" s="92">
        <v>2.0</v>
      </c>
      <c r="C104" s="29" t="s">
        <v>907</v>
      </c>
      <c r="D104" s="29" t="s">
        <v>909</v>
      </c>
      <c r="E104" s="93" t="s">
        <v>910</v>
      </c>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row>
    <row r="105" ht="15.75" customHeight="1">
      <c r="A105" s="89" t="s">
        <v>895</v>
      </c>
      <c r="B105" s="92">
        <v>3.0</v>
      </c>
      <c r="C105" s="29" t="s">
        <v>913</v>
      </c>
      <c r="D105" s="29" t="s">
        <v>914</v>
      </c>
      <c r="E105" s="29" t="s">
        <v>915</v>
      </c>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row>
    <row r="106" ht="15.75" customHeight="1">
      <c r="A106" s="89" t="s">
        <v>895</v>
      </c>
      <c r="B106" s="92">
        <v>4.0</v>
      </c>
      <c r="C106" s="29" t="s">
        <v>919</v>
      </c>
      <c r="D106" s="29" t="s">
        <v>920</v>
      </c>
      <c r="E106" s="93" t="s">
        <v>921</v>
      </c>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row>
    <row r="107" ht="15.75" customHeight="1">
      <c r="A107" s="89" t="s">
        <v>895</v>
      </c>
      <c r="B107" s="92">
        <v>5.0</v>
      </c>
      <c r="C107" s="29" t="s">
        <v>926</v>
      </c>
      <c r="D107" s="29" t="s">
        <v>927</v>
      </c>
      <c r="E107" s="93" t="s">
        <v>929</v>
      </c>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row>
    <row r="108" ht="15.75" customHeight="1">
      <c r="A108" s="70" t="s">
        <v>895</v>
      </c>
      <c r="B108" s="105">
        <v>6.0</v>
      </c>
      <c r="C108" s="39" t="s">
        <v>934</v>
      </c>
      <c r="D108" s="39" t="s">
        <v>935</v>
      </c>
      <c r="E108" s="39" t="s">
        <v>936</v>
      </c>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row>
    <row r="109" ht="15.75" customHeight="1">
      <c r="A109" s="111"/>
      <c r="B109" s="112"/>
      <c r="C109" s="111"/>
      <c r="D109" s="111"/>
      <c r="E109" s="173"/>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row>
    <row r="110" ht="15.75" customHeight="1">
      <c r="A110" s="123" t="s">
        <v>938</v>
      </c>
      <c r="B110" s="124">
        <v>1.0</v>
      </c>
      <c r="C110" s="130" t="s">
        <v>939</v>
      </c>
      <c r="D110" s="130" t="s">
        <v>939</v>
      </c>
      <c r="E110" s="130" t="s">
        <v>939</v>
      </c>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row>
    <row r="111" ht="15.75" customHeight="1">
      <c r="A111" s="89" t="s">
        <v>938</v>
      </c>
      <c r="B111" s="92">
        <v>2.0</v>
      </c>
      <c r="C111" s="29" t="s">
        <v>942</v>
      </c>
      <c r="D111" s="29" t="s">
        <v>942</v>
      </c>
      <c r="E111" s="29" t="s">
        <v>942</v>
      </c>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row>
    <row r="112" ht="15.75" customHeight="1">
      <c r="A112" s="89" t="s">
        <v>938</v>
      </c>
      <c r="B112" s="92">
        <v>3.0</v>
      </c>
      <c r="C112" s="29" t="s">
        <v>945</v>
      </c>
      <c r="D112" s="29" t="s">
        <v>945</v>
      </c>
      <c r="E112" s="29" t="s">
        <v>945</v>
      </c>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row>
    <row r="113" ht="15.75" customHeight="1">
      <c r="A113" s="89" t="s">
        <v>938</v>
      </c>
      <c r="B113" s="92">
        <v>4.0</v>
      </c>
      <c r="C113" s="29" t="s">
        <v>948</v>
      </c>
      <c r="D113" s="29" t="s">
        <v>948</v>
      </c>
      <c r="E113" s="29" t="s">
        <v>948</v>
      </c>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row>
    <row r="114" ht="15.75" customHeight="1">
      <c r="A114" s="89" t="s">
        <v>938</v>
      </c>
      <c r="B114" s="92">
        <v>5.0</v>
      </c>
      <c r="C114" s="29" t="s">
        <v>954</v>
      </c>
      <c r="D114" s="29" t="s">
        <v>954</v>
      </c>
      <c r="E114" s="29" t="s">
        <v>954</v>
      </c>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row>
    <row r="115" ht="15.75" customHeight="1">
      <c r="A115" s="89" t="s">
        <v>938</v>
      </c>
      <c r="B115" s="92">
        <v>6.0</v>
      </c>
      <c r="C115" s="29" t="s">
        <v>956</v>
      </c>
      <c r="D115" s="29" t="s">
        <v>956</v>
      </c>
      <c r="E115" s="29" t="s">
        <v>956</v>
      </c>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row>
    <row r="116" ht="15.75" customHeight="1">
      <c r="A116" s="89" t="s">
        <v>938</v>
      </c>
      <c r="B116" s="92">
        <v>7.0</v>
      </c>
      <c r="C116" s="29" t="s">
        <v>961</v>
      </c>
      <c r="D116" s="29" t="s">
        <v>961</v>
      </c>
      <c r="E116" s="29" t="s">
        <v>961</v>
      </c>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row>
    <row r="117" ht="15.75" customHeight="1">
      <c r="A117" s="70" t="s">
        <v>938</v>
      </c>
      <c r="B117" s="105">
        <v>8.0</v>
      </c>
      <c r="C117" s="39" t="s">
        <v>971</v>
      </c>
      <c r="D117" s="39" t="s">
        <v>971</v>
      </c>
      <c r="E117" s="39" t="s">
        <v>971</v>
      </c>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row>
    <row r="118" ht="15.75" customHeight="1">
      <c r="A118" s="111"/>
      <c r="B118" s="112"/>
      <c r="C118" s="111"/>
      <c r="D118" s="111"/>
      <c r="E118" s="173"/>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row>
    <row r="119" ht="15.75" customHeight="1">
      <c r="A119" s="177" t="s">
        <v>988</v>
      </c>
      <c r="B119" s="178" t="s">
        <v>993</v>
      </c>
      <c r="C119" s="178" t="s">
        <v>994</v>
      </c>
      <c r="D119" s="178" t="s">
        <v>994</v>
      </c>
      <c r="E119" s="178" t="s">
        <v>994</v>
      </c>
      <c r="F119" s="179"/>
      <c r="G119" s="179"/>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row>
    <row r="120" ht="15.75" customHeight="1">
      <c r="A120" s="177" t="s">
        <v>988</v>
      </c>
      <c r="B120" s="102">
        <v>-777.0</v>
      </c>
      <c r="C120" s="61" t="s">
        <v>570</v>
      </c>
      <c r="D120" s="29" t="s">
        <v>573</v>
      </c>
      <c r="E120" s="29" t="s">
        <v>1000</v>
      </c>
      <c r="F120" s="60"/>
      <c r="G120" s="95"/>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row>
    <row r="121" ht="15.75" customHeight="1">
      <c r="A121" s="111"/>
      <c r="B121" s="112"/>
      <c r="C121" s="111"/>
      <c r="D121" s="111"/>
      <c r="E121" s="111"/>
      <c r="F121" s="60"/>
      <c r="G121" s="95"/>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row>
    <row r="122" ht="15.75" customHeight="1">
      <c r="A122" s="123" t="s">
        <v>1015</v>
      </c>
      <c r="B122" s="124">
        <v>0.0</v>
      </c>
      <c r="C122" s="130" t="s">
        <v>165</v>
      </c>
      <c r="D122" s="130" t="s">
        <v>166</v>
      </c>
      <c r="E122" s="130" t="s">
        <v>168</v>
      </c>
      <c r="F122" s="127"/>
      <c r="G122" s="181">
        <v>1.0</v>
      </c>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row>
    <row r="123" ht="15.75" customHeight="1">
      <c r="A123" s="89" t="s">
        <v>1015</v>
      </c>
      <c r="B123" s="92">
        <v>1.0</v>
      </c>
      <c r="C123" s="29" t="s">
        <v>1030</v>
      </c>
      <c r="D123" s="29" t="s">
        <v>1030</v>
      </c>
      <c r="E123" s="29" t="s">
        <v>1032</v>
      </c>
      <c r="F123" s="28"/>
      <c r="G123" s="99">
        <v>2.0</v>
      </c>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row>
    <row r="124" ht="15.75" customHeight="1">
      <c r="A124" s="89" t="s">
        <v>1015</v>
      </c>
      <c r="B124" s="92">
        <v>2.0</v>
      </c>
      <c r="C124" s="29" t="s">
        <v>1046</v>
      </c>
      <c r="D124" s="29" t="s">
        <v>1047</v>
      </c>
      <c r="E124" s="29" t="s">
        <v>1048</v>
      </c>
      <c r="F124" s="28"/>
      <c r="G124" s="28"/>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row>
    <row r="125" ht="15.75" customHeight="1">
      <c r="A125" s="89" t="s">
        <v>1015</v>
      </c>
      <c r="B125" s="92">
        <v>3.0</v>
      </c>
      <c r="C125" s="29" t="s">
        <v>1054</v>
      </c>
      <c r="D125" s="29" t="s">
        <v>1055</v>
      </c>
      <c r="E125" s="29" t="s">
        <v>1054</v>
      </c>
      <c r="F125" s="28"/>
      <c r="G125" s="28"/>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row>
    <row r="126" ht="15.75" customHeight="1">
      <c r="A126" s="89" t="s">
        <v>1015</v>
      </c>
      <c r="B126" s="92">
        <v>4.0</v>
      </c>
      <c r="C126" s="29" t="s">
        <v>1068</v>
      </c>
      <c r="D126" s="29" t="s">
        <v>1068</v>
      </c>
      <c r="E126" s="29" t="s">
        <v>1068</v>
      </c>
      <c r="F126" s="28"/>
      <c r="G126" s="28"/>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row>
    <row r="127" ht="15.75" customHeight="1">
      <c r="A127" s="89" t="s">
        <v>1015</v>
      </c>
      <c r="B127" s="92">
        <v>5.0</v>
      </c>
      <c r="C127" s="29" t="s">
        <v>1071</v>
      </c>
      <c r="D127" s="29" t="s">
        <v>1072</v>
      </c>
      <c r="E127" s="29" t="s">
        <v>1074</v>
      </c>
      <c r="F127" s="28"/>
      <c r="G127" s="28"/>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row>
    <row r="128" ht="15.75" customHeight="1">
      <c r="A128" s="89" t="s">
        <v>1015</v>
      </c>
      <c r="B128" s="92">
        <v>6.0</v>
      </c>
      <c r="C128" s="29" t="s">
        <v>1089</v>
      </c>
      <c r="D128" s="29" t="s">
        <v>1090</v>
      </c>
      <c r="E128" s="93" t="s">
        <v>1093</v>
      </c>
      <c r="F128" s="28"/>
      <c r="G128" s="28"/>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row>
    <row r="129" ht="15.75" customHeight="1">
      <c r="A129" s="89" t="s">
        <v>1015</v>
      </c>
      <c r="B129" s="92">
        <v>7.0</v>
      </c>
      <c r="C129" s="29" t="s">
        <v>1098</v>
      </c>
      <c r="D129" s="29" t="s">
        <v>1099</v>
      </c>
      <c r="E129" s="29" t="s">
        <v>1098</v>
      </c>
      <c r="F129" s="28"/>
      <c r="G129" s="28"/>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row>
    <row r="130" ht="15.75" customHeight="1">
      <c r="A130" s="89" t="s">
        <v>1015</v>
      </c>
      <c r="B130" s="92">
        <v>8.0</v>
      </c>
      <c r="C130" s="29" t="s">
        <v>1102</v>
      </c>
      <c r="D130" s="29" t="s">
        <v>1102</v>
      </c>
      <c r="E130" s="29" t="s">
        <v>1102</v>
      </c>
      <c r="F130" s="28"/>
      <c r="G130" s="28"/>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row>
    <row r="131" ht="15.75" customHeight="1">
      <c r="A131" s="89" t="s">
        <v>1015</v>
      </c>
      <c r="B131" s="92">
        <v>9.0</v>
      </c>
      <c r="C131" s="29" t="s">
        <v>1110</v>
      </c>
      <c r="D131" s="29" t="s">
        <v>1110</v>
      </c>
      <c r="E131" s="29" t="s">
        <v>1110</v>
      </c>
      <c r="F131" s="28"/>
      <c r="G131" s="28"/>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row>
    <row r="132" ht="15.75" customHeight="1">
      <c r="A132" s="89" t="s">
        <v>1015</v>
      </c>
      <c r="B132" s="92">
        <v>10.0</v>
      </c>
      <c r="C132" s="29" t="s">
        <v>1116</v>
      </c>
      <c r="D132" s="29" t="s">
        <v>1117</v>
      </c>
      <c r="E132" s="29" t="s">
        <v>1118</v>
      </c>
      <c r="F132" s="28"/>
      <c r="G132" s="28"/>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row>
    <row r="133" ht="15.75" customHeight="1">
      <c r="A133" s="89" t="s">
        <v>1015</v>
      </c>
      <c r="B133" s="92">
        <v>11.0</v>
      </c>
      <c r="C133" s="29" t="s">
        <v>1126</v>
      </c>
      <c r="D133" s="29" t="s">
        <v>1127</v>
      </c>
      <c r="E133" s="29" t="s">
        <v>1126</v>
      </c>
      <c r="F133" s="28"/>
      <c r="G133" s="28"/>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row>
    <row r="134" ht="15.75" customHeight="1">
      <c r="A134" s="89" t="s">
        <v>1015</v>
      </c>
      <c r="B134" s="92">
        <v>12.0</v>
      </c>
      <c r="C134" s="29" t="s">
        <v>1130</v>
      </c>
      <c r="D134" s="29" t="s">
        <v>1130</v>
      </c>
      <c r="E134" s="29" t="s">
        <v>1130</v>
      </c>
      <c r="F134" s="28"/>
      <c r="G134" s="28"/>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row>
    <row r="135" ht="15.75" customHeight="1">
      <c r="A135" s="89" t="s">
        <v>1015</v>
      </c>
      <c r="B135" s="92">
        <v>13.0</v>
      </c>
      <c r="C135" s="29" t="s">
        <v>1139</v>
      </c>
      <c r="D135" s="29" t="s">
        <v>1140</v>
      </c>
      <c r="E135" s="29" t="s">
        <v>1139</v>
      </c>
      <c r="F135" s="28"/>
      <c r="G135" s="28"/>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row>
    <row r="136" ht="15.75" customHeight="1">
      <c r="A136" s="89" t="s">
        <v>1015</v>
      </c>
      <c r="B136" s="92">
        <v>14.0</v>
      </c>
      <c r="C136" s="29" t="s">
        <v>1150</v>
      </c>
      <c r="D136" s="29" t="s">
        <v>1150</v>
      </c>
      <c r="E136" s="29" t="s">
        <v>1150</v>
      </c>
      <c r="F136" s="28"/>
      <c r="G136" s="28"/>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row>
    <row r="137" ht="15.75" customHeight="1">
      <c r="A137" s="89" t="s">
        <v>1015</v>
      </c>
      <c r="B137" s="92">
        <v>15.0</v>
      </c>
      <c r="C137" s="29" t="s">
        <v>1158</v>
      </c>
      <c r="D137" s="29" t="s">
        <v>1159</v>
      </c>
      <c r="E137" s="29" t="s">
        <v>1158</v>
      </c>
      <c r="F137" s="28"/>
      <c r="G137" s="28"/>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row>
    <row r="138" ht="15.75" customHeight="1">
      <c r="A138" s="89" t="s">
        <v>1015</v>
      </c>
      <c r="B138" s="92">
        <v>16.0</v>
      </c>
      <c r="C138" s="29" t="s">
        <v>1168</v>
      </c>
      <c r="D138" s="29" t="s">
        <v>1169</v>
      </c>
      <c r="E138" s="29" t="s">
        <v>1168</v>
      </c>
      <c r="F138" s="28"/>
      <c r="G138" s="28"/>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row>
    <row r="139" ht="15.75" customHeight="1">
      <c r="A139" s="89" t="s">
        <v>1015</v>
      </c>
      <c r="B139" s="92">
        <v>17.0</v>
      </c>
      <c r="C139" s="29" t="s">
        <v>1170</v>
      </c>
      <c r="D139" s="29" t="s">
        <v>1171</v>
      </c>
      <c r="E139" s="29" t="s">
        <v>1172</v>
      </c>
      <c r="F139" s="28"/>
      <c r="G139" s="28"/>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row>
    <row r="140" ht="15.75" customHeight="1">
      <c r="A140" s="89" t="s">
        <v>1015</v>
      </c>
      <c r="B140" s="92">
        <v>18.0</v>
      </c>
      <c r="C140" s="29" t="s">
        <v>1177</v>
      </c>
      <c r="D140" s="29" t="s">
        <v>1177</v>
      </c>
      <c r="E140" s="29" t="s">
        <v>1178</v>
      </c>
      <c r="F140" s="28"/>
      <c r="G140" s="28"/>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row>
    <row r="141" ht="15.75" customHeight="1">
      <c r="A141" s="89" t="s">
        <v>1015</v>
      </c>
      <c r="B141" s="92">
        <v>19.0</v>
      </c>
      <c r="C141" s="29" t="s">
        <v>1186</v>
      </c>
      <c r="D141" s="29" t="s">
        <v>1186</v>
      </c>
      <c r="E141" s="29" t="s">
        <v>1188</v>
      </c>
      <c r="F141" s="28"/>
      <c r="G141" s="28"/>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row>
    <row r="142" ht="15.75" customHeight="1">
      <c r="A142" s="89" t="s">
        <v>1015</v>
      </c>
      <c r="B142" s="92">
        <v>20.0</v>
      </c>
      <c r="C142" s="29" t="s">
        <v>1196</v>
      </c>
      <c r="D142" s="29" t="s">
        <v>1197</v>
      </c>
      <c r="E142" s="93" t="s">
        <v>1198</v>
      </c>
      <c r="F142" s="28"/>
      <c r="G142" s="28"/>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row>
    <row r="143" ht="15.75" customHeight="1">
      <c r="A143" s="89" t="s">
        <v>1015</v>
      </c>
      <c r="B143" s="92">
        <v>21.0</v>
      </c>
      <c r="C143" s="29" t="s">
        <v>1207</v>
      </c>
      <c r="D143" s="29" t="s">
        <v>1208</v>
      </c>
      <c r="E143" s="29" t="s">
        <v>1210</v>
      </c>
      <c r="F143" s="28"/>
      <c r="G143" s="28"/>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row>
    <row r="144" ht="15.75" customHeight="1">
      <c r="A144" s="89" t="s">
        <v>1015</v>
      </c>
      <c r="B144" s="92">
        <v>-777.0</v>
      </c>
      <c r="C144" s="29" t="s">
        <v>570</v>
      </c>
      <c r="D144" s="29" t="s">
        <v>573</v>
      </c>
      <c r="E144" s="29" t="s">
        <v>1000</v>
      </c>
      <c r="F144" s="28"/>
      <c r="G144" s="28"/>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row>
    <row r="145" ht="15.75" customHeight="1">
      <c r="A145" s="70" t="s">
        <v>1015</v>
      </c>
      <c r="B145" s="105">
        <v>-999.0</v>
      </c>
      <c r="C145" s="39" t="s">
        <v>106</v>
      </c>
      <c r="D145" s="39" t="s">
        <v>107</v>
      </c>
      <c r="E145" s="39" t="s">
        <v>108</v>
      </c>
      <c r="F145" s="38"/>
      <c r="G145" s="38"/>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row>
    <row r="146" ht="15.75" customHeight="1">
      <c r="A146" s="111"/>
      <c r="B146" s="112"/>
      <c r="C146" s="111"/>
      <c r="D146" s="111"/>
      <c r="E146" s="173"/>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row>
    <row r="147" ht="15.75" customHeight="1">
      <c r="A147" s="123" t="s">
        <v>1241</v>
      </c>
      <c r="B147" s="124">
        <v>1.0</v>
      </c>
      <c r="C147" s="130" t="s">
        <v>1242</v>
      </c>
      <c r="D147" s="130" t="s">
        <v>1243</v>
      </c>
      <c r="E147" s="174" t="s">
        <v>1245</v>
      </c>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row>
    <row r="148" ht="15.75" customHeight="1">
      <c r="A148" s="89" t="s">
        <v>1241</v>
      </c>
      <c r="B148" s="92">
        <v>2.0</v>
      </c>
      <c r="C148" s="29" t="s">
        <v>1258</v>
      </c>
      <c r="D148" s="29" t="s">
        <v>1259</v>
      </c>
      <c r="E148" s="93" t="s">
        <v>1260</v>
      </c>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row>
    <row r="149" ht="15.75" customHeight="1">
      <c r="A149" s="89" t="s">
        <v>1241</v>
      </c>
      <c r="B149" s="92">
        <v>3.0</v>
      </c>
      <c r="C149" s="29" t="s">
        <v>1266</v>
      </c>
      <c r="D149" s="29" t="s">
        <v>1268</v>
      </c>
      <c r="E149" s="29" t="s">
        <v>1270</v>
      </c>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row>
    <row r="150" ht="15.75" customHeight="1">
      <c r="A150" s="89" t="s">
        <v>1241</v>
      </c>
      <c r="B150" s="92">
        <v>4.0</v>
      </c>
      <c r="C150" s="29" t="s">
        <v>1273</v>
      </c>
      <c r="D150" s="29" t="s">
        <v>1274</v>
      </c>
      <c r="E150" s="29" t="s">
        <v>1275</v>
      </c>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row>
    <row r="151" ht="15.75" customHeight="1">
      <c r="A151" s="70" t="s">
        <v>1241</v>
      </c>
      <c r="B151" s="105">
        <v>-777.0</v>
      </c>
      <c r="C151" s="39" t="s">
        <v>570</v>
      </c>
      <c r="D151" s="39" t="s">
        <v>573</v>
      </c>
      <c r="E151" s="39" t="s">
        <v>574</v>
      </c>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row>
    <row r="152" ht="15.75" customHeight="1">
      <c r="A152" s="111"/>
      <c r="B152" s="112"/>
      <c r="C152" s="111"/>
      <c r="D152" s="111"/>
      <c r="E152" s="173"/>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row>
    <row r="153" ht="15.75" customHeight="1">
      <c r="A153" s="123" t="s">
        <v>1302</v>
      </c>
      <c r="B153" s="124">
        <v>1.0</v>
      </c>
      <c r="C153" s="130" t="s">
        <v>1303</v>
      </c>
      <c r="D153" s="130" t="s">
        <v>1304</v>
      </c>
      <c r="E153" s="174" t="s">
        <v>1305</v>
      </c>
      <c r="F153" s="127"/>
      <c r="G153" s="127"/>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row>
    <row r="154" ht="15.75" customHeight="1">
      <c r="A154" s="89" t="s">
        <v>1302</v>
      </c>
      <c r="B154" s="92">
        <v>2.0</v>
      </c>
      <c r="C154" s="29" t="s">
        <v>1314</v>
      </c>
      <c r="D154" s="29" t="s">
        <v>1315</v>
      </c>
      <c r="E154" s="29" t="s">
        <v>1316</v>
      </c>
      <c r="F154" s="28"/>
      <c r="G154" s="28"/>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row>
    <row r="155" ht="15.75" customHeight="1">
      <c r="A155" s="89" t="s">
        <v>1302</v>
      </c>
      <c r="B155" s="92">
        <v>3.0</v>
      </c>
      <c r="C155" s="29" t="s">
        <v>1323</v>
      </c>
      <c r="D155" s="29" t="s">
        <v>1324</v>
      </c>
      <c r="E155" s="93" t="s">
        <v>1325</v>
      </c>
      <c r="F155" s="28"/>
      <c r="G155" s="28"/>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row>
    <row r="156" ht="15.75" customHeight="1">
      <c r="A156" s="89" t="s">
        <v>1302</v>
      </c>
      <c r="B156" s="92">
        <v>4.0</v>
      </c>
      <c r="C156" s="29" t="s">
        <v>1327</v>
      </c>
      <c r="D156" s="29" t="s">
        <v>1330</v>
      </c>
      <c r="E156" s="93" t="s">
        <v>1334</v>
      </c>
      <c r="F156" s="28"/>
      <c r="G156" s="28"/>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row>
    <row r="157" ht="15.75" customHeight="1">
      <c r="A157" s="89" t="s">
        <v>1302</v>
      </c>
      <c r="B157" s="92">
        <v>5.0</v>
      </c>
      <c r="C157" s="29" t="s">
        <v>1343</v>
      </c>
      <c r="D157" s="29" t="s">
        <v>1344</v>
      </c>
      <c r="E157" s="29" t="s">
        <v>1345</v>
      </c>
      <c r="F157" s="28"/>
      <c r="G157" s="28"/>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row>
    <row r="158" ht="15.75" customHeight="1">
      <c r="A158" s="89" t="s">
        <v>1302</v>
      </c>
      <c r="B158" s="92">
        <v>6.0</v>
      </c>
      <c r="C158" s="29" t="s">
        <v>1355</v>
      </c>
      <c r="D158" s="29" t="s">
        <v>1357</v>
      </c>
      <c r="E158" s="29" t="s">
        <v>1361</v>
      </c>
      <c r="F158" s="28"/>
      <c r="G158" s="28"/>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row>
    <row r="159" ht="15.75" customHeight="1">
      <c r="A159" s="89" t="s">
        <v>1302</v>
      </c>
      <c r="B159" s="92">
        <v>7.0</v>
      </c>
      <c r="C159" s="29" t="s">
        <v>1378</v>
      </c>
      <c r="D159" s="29" t="s">
        <v>1379</v>
      </c>
      <c r="E159" s="29" t="s">
        <v>1381</v>
      </c>
      <c r="F159" s="28"/>
      <c r="G159" s="28"/>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row>
    <row r="160" ht="15.75" customHeight="1">
      <c r="A160" s="89" t="s">
        <v>1302</v>
      </c>
      <c r="B160" s="92">
        <v>8.0</v>
      </c>
      <c r="C160" s="29" t="s">
        <v>1389</v>
      </c>
      <c r="D160" s="29" t="s">
        <v>1391</v>
      </c>
      <c r="E160" s="93" t="s">
        <v>1393</v>
      </c>
      <c r="F160" s="28"/>
      <c r="G160" s="28"/>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row>
    <row r="161" ht="15.75" customHeight="1">
      <c r="A161" s="89" t="s">
        <v>1302</v>
      </c>
      <c r="B161" s="92">
        <v>9.0</v>
      </c>
      <c r="C161" s="29" t="s">
        <v>1405</v>
      </c>
      <c r="D161" s="29" t="s">
        <v>1406</v>
      </c>
      <c r="E161" s="29" t="s">
        <v>1408</v>
      </c>
      <c r="F161" s="28"/>
      <c r="G161" s="28"/>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row>
    <row r="162" ht="15.75" customHeight="1">
      <c r="A162" s="70" t="s">
        <v>1302</v>
      </c>
      <c r="B162" s="105">
        <v>-777.0</v>
      </c>
      <c r="C162" s="39" t="s">
        <v>570</v>
      </c>
      <c r="D162" s="39" t="s">
        <v>573</v>
      </c>
      <c r="E162" s="39" t="s">
        <v>574</v>
      </c>
      <c r="F162" s="38"/>
      <c r="G162" s="38"/>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row>
    <row r="163" ht="15.75" customHeight="1">
      <c r="A163" s="111"/>
      <c r="B163" s="112"/>
      <c r="C163" s="111"/>
      <c r="D163" s="111"/>
      <c r="E163" s="173"/>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row>
    <row r="164" ht="15.75" customHeight="1">
      <c r="A164" s="123" t="s">
        <v>1442</v>
      </c>
      <c r="B164" s="124">
        <v>1.0</v>
      </c>
      <c r="C164" s="130" t="s">
        <v>1444</v>
      </c>
      <c r="D164" s="130" t="s">
        <v>1446</v>
      </c>
      <c r="E164" s="174" t="s">
        <v>1447</v>
      </c>
      <c r="F164" s="127"/>
      <c r="G164" s="206"/>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row>
    <row r="165" ht="15.75" customHeight="1">
      <c r="A165" s="89" t="s">
        <v>1442</v>
      </c>
      <c r="B165" s="92">
        <v>2.0</v>
      </c>
      <c r="C165" s="29" t="s">
        <v>1463</v>
      </c>
      <c r="D165" s="29" t="s">
        <v>1464</v>
      </c>
      <c r="E165" s="93" t="s">
        <v>1465</v>
      </c>
      <c r="F165" s="161"/>
      <c r="G165" s="28"/>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row>
    <row r="166" ht="15.75" customHeight="1">
      <c r="A166" s="89" t="s">
        <v>1442</v>
      </c>
      <c r="B166" s="92">
        <v>3.0</v>
      </c>
      <c r="C166" s="29" t="s">
        <v>1484</v>
      </c>
      <c r="D166" s="29" t="s">
        <v>920</v>
      </c>
      <c r="E166" s="93" t="s">
        <v>1485</v>
      </c>
      <c r="F166" s="161"/>
      <c r="G166" s="28"/>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row>
    <row r="167" ht="15.75" customHeight="1">
      <c r="A167" s="70" t="s">
        <v>1442</v>
      </c>
      <c r="B167" s="105">
        <v>4.0</v>
      </c>
      <c r="C167" s="39" t="s">
        <v>1493</v>
      </c>
      <c r="D167" s="39" t="s">
        <v>1494</v>
      </c>
      <c r="E167" s="78" t="s">
        <v>1496</v>
      </c>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row>
    <row r="168" ht="15.75" customHeight="1">
      <c r="A168" s="111"/>
      <c r="B168" s="112"/>
      <c r="C168" s="111"/>
      <c r="D168" s="111"/>
      <c r="E168" s="173"/>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row>
    <row r="169" ht="15.75" customHeight="1">
      <c r="A169" s="123" t="s">
        <v>1525</v>
      </c>
      <c r="B169" s="124">
        <v>1.0</v>
      </c>
      <c r="C169" s="130" t="s">
        <v>1528</v>
      </c>
      <c r="D169" s="130" t="s">
        <v>1528</v>
      </c>
      <c r="E169" s="130" t="s">
        <v>1529</v>
      </c>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60"/>
      <c r="AF169" s="60"/>
    </row>
    <row r="170" ht="15.75" customHeight="1">
      <c r="A170" s="89" t="s">
        <v>1525</v>
      </c>
      <c r="B170" s="92">
        <v>2.0</v>
      </c>
      <c r="C170" s="29" t="s">
        <v>1537</v>
      </c>
      <c r="D170" s="29" t="s">
        <v>1538</v>
      </c>
      <c r="E170" s="29" t="s">
        <v>1540</v>
      </c>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row>
    <row r="171" ht="15.75" customHeight="1">
      <c r="A171" s="89" t="s">
        <v>1525</v>
      </c>
      <c r="B171" s="92">
        <v>3.0</v>
      </c>
      <c r="C171" s="29" t="s">
        <v>1551</v>
      </c>
      <c r="D171" s="29" t="s">
        <v>1551</v>
      </c>
      <c r="E171" s="29" t="s">
        <v>1554</v>
      </c>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row>
    <row r="172" ht="15.75" customHeight="1">
      <c r="A172" s="89" t="s">
        <v>1525</v>
      </c>
      <c r="B172" s="92">
        <v>4.0</v>
      </c>
      <c r="C172" s="29" t="s">
        <v>1560</v>
      </c>
      <c r="D172" s="29" t="s">
        <v>1561</v>
      </c>
      <c r="E172" s="29" t="s">
        <v>1562</v>
      </c>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row>
    <row r="173" ht="15.75" customHeight="1">
      <c r="A173" s="89" t="s">
        <v>1525</v>
      </c>
      <c r="B173" s="92">
        <v>5.0</v>
      </c>
      <c r="C173" s="29" t="s">
        <v>1570</v>
      </c>
      <c r="D173" s="29" t="s">
        <v>1572</v>
      </c>
      <c r="E173" s="29" t="s">
        <v>1573</v>
      </c>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row>
    <row r="174" ht="15.75" customHeight="1">
      <c r="A174" s="89" t="s">
        <v>1525</v>
      </c>
      <c r="B174" s="92">
        <v>6.0</v>
      </c>
      <c r="C174" s="29" t="s">
        <v>1584</v>
      </c>
      <c r="D174" s="29" t="s">
        <v>1586</v>
      </c>
      <c r="E174" s="29" t="s">
        <v>1588</v>
      </c>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row>
    <row r="175" ht="15.75" customHeight="1">
      <c r="A175" s="89" t="s">
        <v>1525</v>
      </c>
      <c r="B175" s="92">
        <v>7.0</v>
      </c>
      <c r="C175" s="29" t="s">
        <v>1525</v>
      </c>
      <c r="D175" s="29" t="s">
        <v>1591</v>
      </c>
      <c r="E175" s="29" t="s">
        <v>1592</v>
      </c>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row>
    <row r="176" ht="15.75" customHeight="1">
      <c r="A176" s="89" t="s">
        <v>1525</v>
      </c>
      <c r="B176" s="92">
        <v>8.0</v>
      </c>
      <c r="C176" s="29" t="s">
        <v>1595</v>
      </c>
      <c r="D176" s="29" t="s">
        <v>1597</v>
      </c>
      <c r="E176" s="29" t="s">
        <v>1595</v>
      </c>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row>
    <row r="177" ht="15.75" customHeight="1">
      <c r="A177" s="89" t="s">
        <v>1525</v>
      </c>
      <c r="B177" s="92">
        <v>9.0</v>
      </c>
      <c r="C177" s="29" t="s">
        <v>1606</v>
      </c>
      <c r="D177" s="29" t="s">
        <v>1607</v>
      </c>
      <c r="E177" s="29" t="s">
        <v>1608</v>
      </c>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row>
    <row r="178" ht="15.75" customHeight="1">
      <c r="A178" s="89" t="s">
        <v>1525</v>
      </c>
      <c r="B178" s="92">
        <v>10.0</v>
      </c>
      <c r="C178" s="29" t="s">
        <v>1609</v>
      </c>
      <c r="D178" s="29" t="s">
        <v>1610</v>
      </c>
      <c r="E178" s="29" t="s">
        <v>1611</v>
      </c>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row>
    <row r="179" ht="15.75" customHeight="1">
      <c r="A179" s="89" t="s">
        <v>1525</v>
      </c>
      <c r="B179" s="92">
        <v>11.0</v>
      </c>
      <c r="C179" s="29" t="s">
        <v>1614</v>
      </c>
      <c r="D179" s="29" t="s">
        <v>1615</v>
      </c>
      <c r="E179" s="29" t="s">
        <v>1616</v>
      </c>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row>
    <row r="180" ht="15.75" customHeight="1">
      <c r="A180" s="70" t="s">
        <v>1525</v>
      </c>
      <c r="B180" s="105">
        <v>-777.0</v>
      </c>
      <c r="C180" s="39" t="s">
        <v>1617</v>
      </c>
      <c r="D180" s="39" t="s">
        <v>1618</v>
      </c>
      <c r="E180" s="39" t="s">
        <v>1619</v>
      </c>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60"/>
      <c r="AF180" s="60"/>
    </row>
    <row r="181" ht="15.75" customHeight="1">
      <c r="A181" s="111"/>
      <c r="B181" s="112"/>
      <c r="C181" s="111"/>
      <c r="D181" s="111"/>
      <c r="E181" s="173"/>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row>
    <row r="182" ht="15.75" customHeight="1">
      <c r="A182" s="123" t="s">
        <v>1625</v>
      </c>
      <c r="B182" s="124">
        <v>0.0</v>
      </c>
      <c r="C182" s="130" t="s">
        <v>165</v>
      </c>
      <c r="D182" s="130" t="s">
        <v>166</v>
      </c>
      <c r="E182" s="130" t="s">
        <v>168</v>
      </c>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60"/>
      <c r="AF182" s="60"/>
    </row>
    <row r="183" ht="15.75" customHeight="1">
      <c r="A183" s="89" t="s">
        <v>1625</v>
      </c>
      <c r="B183" s="92">
        <v>1.0</v>
      </c>
      <c r="C183" s="29" t="s">
        <v>1634</v>
      </c>
      <c r="D183" s="29" t="s">
        <v>1636</v>
      </c>
      <c r="E183" s="29" t="s">
        <v>1638</v>
      </c>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row>
    <row r="184" ht="15.75" customHeight="1">
      <c r="A184" s="89" t="s">
        <v>1625</v>
      </c>
      <c r="B184" s="92">
        <v>2.0</v>
      </c>
      <c r="C184" s="29" t="s">
        <v>1639</v>
      </c>
      <c r="D184" s="29" t="s">
        <v>1640</v>
      </c>
      <c r="E184" s="29" t="s">
        <v>1641</v>
      </c>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row>
    <row r="185" ht="15.75" customHeight="1">
      <c r="A185" s="89" t="s">
        <v>1625</v>
      </c>
      <c r="B185" s="92">
        <v>3.0</v>
      </c>
      <c r="C185" s="29" t="s">
        <v>1646</v>
      </c>
      <c r="D185" s="29" t="s">
        <v>1647</v>
      </c>
      <c r="E185" s="29" t="s">
        <v>1648</v>
      </c>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row>
    <row r="186" ht="15.75" customHeight="1">
      <c r="A186" s="89" t="s">
        <v>1625</v>
      </c>
      <c r="B186" s="92">
        <v>4.0</v>
      </c>
      <c r="C186" s="29" t="s">
        <v>1649</v>
      </c>
      <c r="D186" s="29" t="s">
        <v>1650</v>
      </c>
      <c r="E186" s="29" t="s">
        <v>1651</v>
      </c>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row>
    <row r="187" ht="15.75" customHeight="1">
      <c r="A187" s="89" t="s">
        <v>1625</v>
      </c>
      <c r="B187" s="92">
        <v>5.0</v>
      </c>
      <c r="C187" s="29" t="s">
        <v>1658</v>
      </c>
      <c r="D187" s="29" t="s">
        <v>1659</v>
      </c>
      <c r="E187" s="29" t="s">
        <v>1660</v>
      </c>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row>
    <row r="188" ht="15.75" customHeight="1">
      <c r="A188" s="89" t="s">
        <v>1625</v>
      </c>
      <c r="B188" s="92">
        <v>6.0</v>
      </c>
      <c r="C188" s="29" t="s">
        <v>1667</v>
      </c>
      <c r="D188" s="29" t="s">
        <v>1668</v>
      </c>
      <c r="E188" s="29" t="s">
        <v>1669</v>
      </c>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row>
    <row r="189" ht="15.75" customHeight="1">
      <c r="A189" s="89" t="s">
        <v>1625</v>
      </c>
      <c r="B189" s="92">
        <v>7.0</v>
      </c>
      <c r="C189" s="29" t="s">
        <v>1676</v>
      </c>
      <c r="D189" s="29" t="s">
        <v>1676</v>
      </c>
      <c r="E189" s="29" t="s">
        <v>1677</v>
      </c>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row>
    <row r="190" ht="15.75" customHeight="1">
      <c r="A190" s="89" t="s">
        <v>1625</v>
      </c>
      <c r="B190" s="92">
        <v>8.0</v>
      </c>
      <c r="C190" s="29" t="s">
        <v>1678</v>
      </c>
      <c r="D190" s="29" t="s">
        <v>1679</v>
      </c>
      <c r="E190" s="29" t="s">
        <v>1680</v>
      </c>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row>
    <row r="191" ht="15.75" customHeight="1">
      <c r="A191" s="89" t="s">
        <v>1625</v>
      </c>
      <c r="B191" s="92">
        <v>9.0</v>
      </c>
      <c r="C191" s="29" t="s">
        <v>1681</v>
      </c>
      <c r="D191" s="29" t="s">
        <v>1681</v>
      </c>
      <c r="E191" s="29" t="s">
        <v>1682</v>
      </c>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row>
    <row r="192" ht="15.75" customHeight="1">
      <c r="A192" s="89" t="s">
        <v>1625</v>
      </c>
      <c r="B192" s="92">
        <v>10.0</v>
      </c>
      <c r="C192" s="29" t="s">
        <v>1688</v>
      </c>
      <c r="D192" s="29" t="s">
        <v>1688</v>
      </c>
      <c r="E192" s="29" t="s">
        <v>1689</v>
      </c>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row>
    <row r="193" ht="15.75" customHeight="1">
      <c r="A193" s="89" t="s">
        <v>1625</v>
      </c>
      <c r="B193" s="92">
        <v>11.0</v>
      </c>
      <c r="C193" s="29" t="s">
        <v>1690</v>
      </c>
      <c r="D193" s="29" t="s">
        <v>1691</v>
      </c>
      <c r="E193" s="29" t="s">
        <v>1692</v>
      </c>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row>
    <row r="194" ht="15.75" customHeight="1">
      <c r="A194" s="89" t="s">
        <v>1625</v>
      </c>
      <c r="B194" s="92">
        <v>12.0</v>
      </c>
      <c r="C194" s="29" t="s">
        <v>1696</v>
      </c>
      <c r="D194" s="29" t="s">
        <v>1697</v>
      </c>
      <c r="E194" s="29" t="s">
        <v>1698</v>
      </c>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row>
    <row r="195" ht="15.75" customHeight="1">
      <c r="A195" s="89" t="s">
        <v>1625</v>
      </c>
      <c r="B195" s="92">
        <v>13.0</v>
      </c>
      <c r="C195" s="29" t="s">
        <v>1700</v>
      </c>
      <c r="D195" s="29" t="s">
        <v>1702</v>
      </c>
      <c r="E195" s="29" t="s">
        <v>1705</v>
      </c>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row>
    <row r="196" ht="15.75" customHeight="1">
      <c r="A196" s="89" t="s">
        <v>1625</v>
      </c>
      <c r="B196" s="92">
        <v>14.0</v>
      </c>
      <c r="C196" s="29" t="s">
        <v>1709</v>
      </c>
      <c r="D196" s="29" t="s">
        <v>1710</v>
      </c>
      <c r="E196" s="29" t="s">
        <v>1711</v>
      </c>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row>
    <row r="197" ht="15.75" customHeight="1">
      <c r="A197" s="89" t="s">
        <v>1625</v>
      </c>
      <c r="B197" s="92">
        <v>15.0</v>
      </c>
      <c r="C197" s="29" t="s">
        <v>1712</v>
      </c>
      <c r="D197" s="29" t="s">
        <v>1713</v>
      </c>
      <c r="E197" s="29" t="s">
        <v>1714</v>
      </c>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row>
    <row r="198" ht="15.75" customHeight="1">
      <c r="A198" s="89" t="s">
        <v>1625</v>
      </c>
      <c r="B198" s="92">
        <v>16.0</v>
      </c>
      <c r="C198" s="29" t="s">
        <v>1722</v>
      </c>
      <c r="D198" s="29" t="s">
        <v>1723</v>
      </c>
      <c r="E198" s="29" t="s">
        <v>1724</v>
      </c>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row>
    <row r="199" ht="15.75" customHeight="1">
      <c r="A199" s="89" t="s">
        <v>1625</v>
      </c>
      <c r="B199" s="92">
        <v>17.0</v>
      </c>
      <c r="C199" s="29" t="s">
        <v>1728</v>
      </c>
      <c r="D199" s="29" t="s">
        <v>1729</v>
      </c>
      <c r="E199" s="29" t="s">
        <v>1730</v>
      </c>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row>
    <row r="200" ht="15.75" customHeight="1">
      <c r="A200" s="89" t="s">
        <v>1625</v>
      </c>
      <c r="B200" s="92">
        <v>18.0</v>
      </c>
      <c r="C200" s="29" t="s">
        <v>1740</v>
      </c>
      <c r="D200" s="29" t="s">
        <v>1742</v>
      </c>
      <c r="E200" s="29" t="s">
        <v>1745</v>
      </c>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row>
    <row r="201" ht="15.75" customHeight="1">
      <c r="A201" s="89" t="s">
        <v>1625</v>
      </c>
      <c r="B201" s="92">
        <v>19.0</v>
      </c>
      <c r="C201" s="29" t="s">
        <v>1753</v>
      </c>
      <c r="D201" s="29" t="s">
        <v>1754</v>
      </c>
      <c r="E201" s="29" t="s">
        <v>1755</v>
      </c>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row>
    <row r="202" ht="15.75" customHeight="1">
      <c r="A202" s="89" t="s">
        <v>1625</v>
      </c>
      <c r="B202" s="92">
        <v>20.0</v>
      </c>
      <c r="C202" s="29" t="s">
        <v>1760</v>
      </c>
      <c r="D202" s="29" t="s">
        <v>1761</v>
      </c>
      <c r="E202" s="29" t="s">
        <v>1762</v>
      </c>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row>
    <row r="203" ht="15.75" customHeight="1">
      <c r="A203" s="89" t="s">
        <v>1625</v>
      </c>
      <c r="B203" s="92">
        <v>21.0</v>
      </c>
      <c r="C203" s="29" t="s">
        <v>1765</v>
      </c>
      <c r="D203" s="29" t="s">
        <v>1767</v>
      </c>
      <c r="E203" s="29" t="s">
        <v>1768</v>
      </c>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row>
    <row r="204" ht="15.75" customHeight="1">
      <c r="A204" s="89" t="s">
        <v>1625</v>
      </c>
      <c r="B204" s="92">
        <v>22.0</v>
      </c>
      <c r="C204" s="29" t="s">
        <v>1775</v>
      </c>
      <c r="D204" s="29" t="s">
        <v>1776</v>
      </c>
      <c r="E204" s="29" t="s">
        <v>1778</v>
      </c>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row>
    <row r="205" ht="15.75" customHeight="1">
      <c r="A205" s="89" t="s">
        <v>1625</v>
      </c>
      <c r="B205" s="92">
        <v>23.0</v>
      </c>
      <c r="C205" s="29" t="s">
        <v>1783</v>
      </c>
      <c r="D205" s="29" t="s">
        <v>1785</v>
      </c>
      <c r="E205" s="29" t="s">
        <v>1787</v>
      </c>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row>
    <row r="206" ht="15.75" customHeight="1">
      <c r="A206" s="89" t="s">
        <v>1625</v>
      </c>
      <c r="B206" s="92">
        <v>24.0</v>
      </c>
      <c r="C206" s="29" t="s">
        <v>1789</v>
      </c>
      <c r="D206" s="29" t="s">
        <v>1790</v>
      </c>
      <c r="E206" s="29" t="s">
        <v>1791</v>
      </c>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row>
    <row r="207" ht="15.75" customHeight="1">
      <c r="A207" s="70" t="s">
        <v>1625</v>
      </c>
      <c r="B207" s="105">
        <v>-777.0</v>
      </c>
      <c r="C207" s="39" t="s">
        <v>570</v>
      </c>
      <c r="D207" s="39" t="s">
        <v>573</v>
      </c>
      <c r="E207" s="39" t="s">
        <v>574</v>
      </c>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60"/>
      <c r="AF207" s="60"/>
    </row>
    <row r="208" ht="15.75" customHeight="1">
      <c r="A208" s="111"/>
      <c r="B208" s="112"/>
      <c r="C208" s="111"/>
      <c r="D208" s="111"/>
      <c r="E208" s="173"/>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row>
    <row r="209" ht="15.75" customHeight="1">
      <c r="A209" s="123" t="s">
        <v>1805</v>
      </c>
      <c r="B209" s="124">
        <v>1.0</v>
      </c>
      <c r="C209" s="130" t="s">
        <v>1808</v>
      </c>
      <c r="D209" s="130" t="s">
        <v>1809</v>
      </c>
      <c r="E209" s="130" t="s">
        <v>1810</v>
      </c>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60"/>
      <c r="AF209" s="60"/>
    </row>
    <row r="210" ht="15.75" customHeight="1">
      <c r="A210" s="89" t="s">
        <v>1805</v>
      </c>
      <c r="B210" s="92">
        <v>2.0</v>
      </c>
      <c r="C210" s="29" t="s">
        <v>1816</v>
      </c>
      <c r="D210" s="29" t="s">
        <v>1817</v>
      </c>
      <c r="E210" s="29" t="s">
        <v>1818</v>
      </c>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row>
    <row r="211" ht="15.75" customHeight="1">
      <c r="A211" s="89" t="s">
        <v>1805</v>
      </c>
      <c r="B211" s="92">
        <v>3.0</v>
      </c>
      <c r="C211" s="29" t="s">
        <v>1829</v>
      </c>
      <c r="D211" s="29" t="s">
        <v>1829</v>
      </c>
      <c r="E211" s="29" t="s">
        <v>1830</v>
      </c>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row>
    <row r="212" ht="15.75" customHeight="1">
      <c r="A212" s="89" t="s">
        <v>1805</v>
      </c>
      <c r="B212" s="92">
        <v>4.0</v>
      </c>
      <c r="C212" s="29" t="s">
        <v>1831</v>
      </c>
      <c r="D212" s="29" t="s">
        <v>1833</v>
      </c>
      <c r="E212" s="29" t="s">
        <v>1836</v>
      </c>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row>
    <row r="213" ht="15.75" customHeight="1">
      <c r="A213" s="89" t="s">
        <v>1805</v>
      </c>
      <c r="B213" s="92">
        <v>5.0</v>
      </c>
      <c r="C213" s="29" t="s">
        <v>1840</v>
      </c>
      <c r="D213" s="29" t="s">
        <v>1841</v>
      </c>
      <c r="E213" s="29" t="s">
        <v>1842</v>
      </c>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row>
    <row r="214" ht="15.75" customHeight="1">
      <c r="A214" s="89" t="s">
        <v>1805</v>
      </c>
      <c r="B214" s="92">
        <v>6.0</v>
      </c>
      <c r="C214" s="29" t="s">
        <v>1849</v>
      </c>
      <c r="D214" s="29" t="s">
        <v>1850</v>
      </c>
      <c r="E214" s="29" t="s">
        <v>1851</v>
      </c>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row>
    <row r="215" ht="15.75" customHeight="1">
      <c r="A215" s="89" t="s">
        <v>1805</v>
      </c>
      <c r="B215" s="92">
        <v>7.0</v>
      </c>
      <c r="C215" s="29" t="s">
        <v>1855</v>
      </c>
      <c r="D215" s="29" t="s">
        <v>1856</v>
      </c>
      <c r="E215" s="29" t="s">
        <v>1857</v>
      </c>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row>
    <row r="216" ht="15.75" customHeight="1">
      <c r="A216" s="89" t="s">
        <v>1805</v>
      </c>
      <c r="B216" s="92">
        <v>8.0</v>
      </c>
      <c r="C216" s="29" t="s">
        <v>1865</v>
      </c>
      <c r="D216" s="29" t="s">
        <v>1866</v>
      </c>
      <c r="E216" s="29" t="s">
        <v>1867</v>
      </c>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row>
    <row r="217" ht="15.75" customHeight="1">
      <c r="A217" s="89" t="s">
        <v>1805</v>
      </c>
      <c r="B217" s="92">
        <v>9.0</v>
      </c>
      <c r="C217" s="29" t="s">
        <v>1875</v>
      </c>
      <c r="D217" s="29" t="s">
        <v>1876</v>
      </c>
      <c r="E217" s="29" t="s">
        <v>1878</v>
      </c>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row>
    <row r="218" ht="15.75" customHeight="1">
      <c r="A218" s="89" t="s">
        <v>1805</v>
      </c>
      <c r="B218" s="92">
        <v>10.0</v>
      </c>
      <c r="C218" s="29" t="s">
        <v>1885</v>
      </c>
      <c r="D218" s="29" t="s">
        <v>1886</v>
      </c>
      <c r="E218" s="29" t="s">
        <v>1887</v>
      </c>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row>
    <row r="219" ht="15.75" customHeight="1">
      <c r="A219" s="89" t="s">
        <v>1805</v>
      </c>
      <c r="B219" s="92">
        <v>11.0</v>
      </c>
      <c r="C219" s="29" t="s">
        <v>1888</v>
      </c>
      <c r="D219" s="29" t="s">
        <v>1889</v>
      </c>
      <c r="E219" s="29" t="s">
        <v>1890</v>
      </c>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row>
    <row r="220" ht="15.75" customHeight="1">
      <c r="A220" s="89" t="s">
        <v>1805</v>
      </c>
      <c r="B220" s="92">
        <v>12.0</v>
      </c>
      <c r="C220" s="29" t="s">
        <v>1900</v>
      </c>
      <c r="D220" s="29" t="s">
        <v>1901</v>
      </c>
      <c r="E220" s="29" t="s">
        <v>1902</v>
      </c>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row>
    <row r="221" ht="15.75" customHeight="1">
      <c r="A221" s="70" t="s">
        <v>1805</v>
      </c>
      <c r="B221" s="105">
        <v>0.0</v>
      </c>
      <c r="C221" s="39" t="s">
        <v>165</v>
      </c>
      <c r="D221" s="39" t="s">
        <v>166</v>
      </c>
      <c r="E221" s="39" t="s">
        <v>168</v>
      </c>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60"/>
      <c r="AF221" s="60"/>
    </row>
    <row r="222" ht="15.75" customHeight="1">
      <c r="A222" s="70"/>
      <c r="B222" s="39"/>
      <c r="C222" s="39"/>
      <c r="D222" s="39"/>
      <c r="E222" s="3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60"/>
      <c r="AF222" s="60"/>
    </row>
    <row r="223" ht="15.75" customHeight="1">
      <c r="A223" s="89" t="s">
        <v>1922</v>
      </c>
      <c r="B223" s="92">
        <v>1.0</v>
      </c>
      <c r="C223" s="219" t="s">
        <v>1923</v>
      </c>
      <c r="D223" s="220" t="s">
        <v>1924</v>
      </c>
      <c r="E223" s="220" t="s">
        <v>1925</v>
      </c>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row>
    <row r="224" ht="15.75" customHeight="1">
      <c r="A224" s="89" t="s">
        <v>1922</v>
      </c>
      <c r="B224" s="92">
        <v>2.0</v>
      </c>
      <c r="C224" s="29" t="s">
        <v>1929</v>
      </c>
      <c r="D224" s="29" t="s">
        <v>1930</v>
      </c>
      <c r="E224" s="29" t="s">
        <v>1931</v>
      </c>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row>
    <row r="225" ht="15.75" customHeight="1">
      <c r="A225" s="89" t="s">
        <v>1922</v>
      </c>
      <c r="B225" s="92">
        <v>3.0</v>
      </c>
      <c r="C225" s="29" t="s">
        <v>1932</v>
      </c>
      <c r="D225" s="29" t="s">
        <v>1933</v>
      </c>
      <c r="E225" s="29" t="s">
        <v>1934</v>
      </c>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row>
    <row r="226" ht="15.75" customHeight="1">
      <c r="A226" s="89" t="s">
        <v>1922</v>
      </c>
      <c r="B226" s="92">
        <v>4.0</v>
      </c>
      <c r="C226" s="29" t="s">
        <v>1936</v>
      </c>
      <c r="D226" s="29" t="s">
        <v>1937</v>
      </c>
      <c r="E226" s="29" t="s">
        <v>1938</v>
      </c>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row>
    <row r="227" ht="15.75" customHeight="1">
      <c r="A227" s="89" t="s">
        <v>1922</v>
      </c>
      <c r="B227" s="92">
        <v>5.0</v>
      </c>
      <c r="C227" s="29" t="s">
        <v>1947</v>
      </c>
      <c r="D227" s="29" t="s">
        <v>1948</v>
      </c>
      <c r="E227" s="29" t="s">
        <v>1950</v>
      </c>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row>
    <row r="228" ht="15.75" customHeight="1">
      <c r="A228" s="89" t="s">
        <v>1922</v>
      </c>
      <c r="B228" s="92">
        <v>6.0</v>
      </c>
      <c r="C228" s="29" t="s">
        <v>1958</v>
      </c>
      <c r="D228" s="29" t="s">
        <v>1962</v>
      </c>
      <c r="E228" s="29" t="s">
        <v>1963</v>
      </c>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row>
    <row r="229" ht="15.75" customHeight="1">
      <c r="A229" s="89" t="s">
        <v>1922</v>
      </c>
      <c r="B229" s="92">
        <v>7.0</v>
      </c>
      <c r="C229" s="29" t="s">
        <v>1973</v>
      </c>
      <c r="D229" s="29" t="s">
        <v>1974</v>
      </c>
      <c r="E229" s="29" t="s">
        <v>1975</v>
      </c>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row>
    <row r="230" ht="15.75" customHeight="1">
      <c r="A230" s="70" t="s">
        <v>1922</v>
      </c>
      <c r="B230" s="105">
        <v>0.0</v>
      </c>
      <c r="C230" s="39" t="s">
        <v>165</v>
      </c>
      <c r="D230" s="39" t="s">
        <v>166</v>
      </c>
      <c r="E230" s="39" t="s">
        <v>168</v>
      </c>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60"/>
      <c r="AF230" s="60"/>
    </row>
    <row r="231" ht="15.75" customHeight="1">
      <c r="A231" s="111"/>
      <c r="B231" s="112"/>
      <c r="C231" s="111"/>
      <c r="D231" s="111"/>
      <c r="E231" s="173"/>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row>
    <row r="232" ht="15.75" customHeight="1">
      <c r="A232" s="123" t="s">
        <v>2004</v>
      </c>
      <c r="B232" s="124">
        <v>1.0</v>
      </c>
      <c r="C232" s="130" t="s">
        <v>2005</v>
      </c>
      <c r="D232" s="130" t="s">
        <v>2006</v>
      </c>
      <c r="E232" s="130" t="s">
        <v>2007</v>
      </c>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60"/>
      <c r="AF232" s="60"/>
    </row>
    <row r="233" ht="15.75" customHeight="1">
      <c r="A233" s="89" t="s">
        <v>2004</v>
      </c>
      <c r="B233" s="92">
        <v>2.0</v>
      </c>
      <c r="C233" s="29" t="s">
        <v>2013</v>
      </c>
      <c r="D233" s="29" t="s">
        <v>2014</v>
      </c>
      <c r="E233" s="29" t="s">
        <v>2015</v>
      </c>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row>
    <row r="234" ht="15.75" customHeight="1">
      <c r="A234" s="89" t="s">
        <v>2004</v>
      </c>
      <c r="B234" s="92">
        <v>3.0</v>
      </c>
      <c r="C234" s="29" t="s">
        <v>2017</v>
      </c>
      <c r="D234" s="29" t="s">
        <v>2018</v>
      </c>
      <c r="E234" s="29" t="s">
        <v>2019</v>
      </c>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row>
    <row r="235" ht="15.75" customHeight="1">
      <c r="A235" s="89" t="s">
        <v>2004</v>
      </c>
      <c r="B235" s="92">
        <v>4.0</v>
      </c>
      <c r="C235" s="29" t="s">
        <v>2026</v>
      </c>
      <c r="D235" s="29" t="s">
        <v>2027</v>
      </c>
      <c r="E235" s="29" t="s">
        <v>2028</v>
      </c>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row>
    <row r="236" ht="15.75" customHeight="1">
      <c r="A236" s="89" t="s">
        <v>2004</v>
      </c>
      <c r="B236" s="92">
        <v>5.0</v>
      </c>
      <c r="C236" s="29" t="s">
        <v>2039</v>
      </c>
      <c r="D236" s="29" t="s">
        <v>2040</v>
      </c>
      <c r="E236" s="29" t="s">
        <v>2041</v>
      </c>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row>
    <row r="237" ht="15.75" customHeight="1">
      <c r="A237" s="89" t="s">
        <v>2004</v>
      </c>
      <c r="B237" s="92">
        <v>6.0</v>
      </c>
      <c r="C237" s="29" t="s">
        <v>2054</v>
      </c>
      <c r="D237" s="29" t="s">
        <v>2055</v>
      </c>
      <c r="E237" s="29" t="s">
        <v>2056</v>
      </c>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row>
    <row r="238" ht="15.75" customHeight="1">
      <c r="A238" s="89" t="s">
        <v>2004</v>
      </c>
      <c r="B238" s="92">
        <v>7.0</v>
      </c>
      <c r="C238" s="29" t="s">
        <v>2061</v>
      </c>
      <c r="D238" s="29" t="s">
        <v>2064</v>
      </c>
      <c r="E238" s="29" t="s">
        <v>2065</v>
      </c>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row>
    <row r="239" ht="15.75" customHeight="1">
      <c r="A239" s="89" t="s">
        <v>2004</v>
      </c>
      <c r="B239" s="92">
        <v>8.0</v>
      </c>
      <c r="C239" s="29" t="s">
        <v>2070</v>
      </c>
      <c r="D239" s="29" t="s">
        <v>2070</v>
      </c>
      <c r="E239" s="29" t="s">
        <v>2071</v>
      </c>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row>
    <row r="240" ht="15.75" customHeight="1">
      <c r="A240" s="89" t="s">
        <v>2004</v>
      </c>
      <c r="B240" s="92">
        <v>9.0</v>
      </c>
      <c r="C240" s="29" t="s">
        <v>2075</v>
      </c>
      <c r="D240" s="29" t="s">
        <v>2076</v>
      </c>
      <c r="E240" s="29" t="s">
        <v>2078</v>
      </c>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row>
    <row r="241" ht="15.75" customHeight="1">
      <c r="A241" s="89" t="s">
        <v>2004</v>
      </c>
      <c r="B241" s="92">
        <v>10.0</v>
      </c>
      <c r="C241" s="29" t="s">
        <v>2082</v>
      </c>
      <c r="D241" s="29" t="s">
        <v>2083</v>
      </c>
      <c r="E241" s="29" t="s">
        <v>2085</v>
      </c>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row>
    <row r="242" ht="15.75" customHeight="1">
      <c r="A242" s="89" t="s">
        <v>2004</v>
      </c>
      <c r="B242" s="92">
        <v>11.0</v>
      </c>
      <c r="C242" s="29" t="s">
        <v>2093</v>
      </c>
      <c r="D242" s="29" t="s">
        <v>2094</v>
      </c>
      <c r="E242" s="29" t="s">
        <v>2096</v>
      </c>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row>
    <row r="243" ht="15.75" customHeight="1">
      <c r="A243" s="89" t="s">
        <v>2004</v>
      </c>
      <c r="B243" s="92">
        <v>12.0</v>
      </c>
      <c r="C243" s="29" t="s">
        <v>2103</v>
      </c>
      <c r="D243" s="29" t="s">
        <v>2104</v>
      </c>
      <c r="E243" s="29" t="s">
        <v>2105</v>
      </c>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row>
    <row r="244" ht="15.75" customHeight="1">
      <c r="A244" s="70" t="s">
        <v>2004</v>
      </c>
      <c r="B244" s="105">
        <v>-777.0</v>
      </c>
      <c r="C244" s="39" t="s">
        <v>570</v>
      </c>
      <c r="D244" s="39" t="s">
        <v>573</v>
      </c>
      <c r="E244" s="39" t="s">
        <v>2113</v>
      </c>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60"/>
      <c r="AF244" s="60"/>
    </row>
    <row r="245" ht="15.75" customHeight="1">
      <c r="A245" s="111"/>
      <c r="B245" s="112"/>
      <c r="C245" s="111"/>
      <c r="D245" s="111"/>
      <c r="E245" s="173"/>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row>
    <row r="246" ht="15.75" customHeight="1">
      <c r="A246" s="123" t="s">
        <v>2121</v>
      </c>
      <c r="B246" s="124">
        <v>1.0</v>
      </c>
      <c r="C246" s="130" t="s">
        <v>2122</v>
      </c>
      <c r="D246" s="130" t="s">
        <v>2123</v>
      </c>
      <c r="E246" s="174" t="s">
        <v>2124</v>
      </c>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60"/>
      <c r="AF246" s="60"/>
    </row>
    <row r="247" ht="15.75" customHeight="1">
      <c r="A247" s="89" t="s">
        <v>2121</v>
      </c>
      <c r="B247" s="92">
        <v>2.0</v>
      </c>
      <c r="C247" s="29" t="s">
        <v>2129</v>
      </c>
      <c r="D247" s="29" t="s">
        <v>2130</v>
      </c>
      <c r="E247" s="29" t="s">
        <v>2131</v>
      </c>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row>
    <row r="248" ht="15.75" customHeight="1">
      <c r="A248" s="89" t="s">
        <v>2121</v>
      </c>
      <c r="B248" s="92">
        <v>3.0</v>
      </c>
      <c r="C248" s="29" t="s">
        <v>2136</v>
      </c>
      <c r="D248" s="29" t="s">
        <v>2137</v>
      </c>
      <c r="E248" s="29" t="s">
        <v>2138</v>
      </c>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row>
    <row r="249" ht="15.75" customHeight="1">
      <c r="A249" s="89" t="s">
        <v>2121</v>
      </c>
      <c r="B249" s="92">
        <v>4.0</v>
      </c>
      <c r="C249" s="39" t="s">
        <v>2144</v>
      </c>
      <c r="D249" s="39" t="s">
        <v>2146</v>
      </c>
      <c r="E249" s="39" t="s">
        <v>2148</v>
      </c>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row>
    <row r="250" ht="15.75" customHeight="1">
      <c r="A250" s="89" t="s">
        <v>2121</v>
      </c>
      <c r="B250" s="92">
        <v>5.0</v>
      </c>
      <c r="C250" s="221" t="s">
        <v>2151</v>
      </c>
      <c r="D250" s="128" t="s">
        <v>2154</v>
      </c>
      <c r="E250" s="128" t="s">
        <v>2155</v>
      </c>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row>
    <row r="251" ht="15.75" customHeight="1">
      <c r="A251" s="89" t="s">
        <v>2121</v>
      </c>
      <c r="B251" s="92">
        <v>6.0</v>
      </c>
      <c r="C251" s="222" t="s">
        <v>2160</v>
      </c>
      <c r="D251" s="111" t="s">
        <v>2161</v>
      </c>
      <c r="E251" s="173" t="s">
        <v>2161</v>
      </c>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row>
    <row r="252" ht="15.75" customHeight="1">
      <c r="A252" s="70" t="s">
        <v>2121</v>
      </c>
      <c r="B252" s="105">
        <v>-777.0</v>
      </c>
      <c r="C252" s="39" t="s">
        <v>2162</v>
      </c>
      <c r="D252" s="39" t="s">
        <v>573</v>
      </c>
      <c r="E252" s="39" t="s">
        <v>2163</v>
      </c>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60"/>
      <c r="AF252" s="60"/>
    </row>
    <row r="253" ht="15.75" customHeight="1">
      <c r="A253" s="111"/>
      <c r="B253" s="112"/>
      <c r="C253" s="111"/>
      <c r="D253" s="111"/>
      <c r="E253" s="173"/>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row>
    <row r="254" ht="15.75" customHeight="1">
      <c r="A254" s="123" t="s">
        <v>2178</v>
      </c>
      <c r="B254" s="124">
        <v>1.0</v>
      </c>
      <c r="C254" s="130" t="s">
        <v>2180</v>
      </c>
      <c r="D254" s="130" t="s">
        <v>2182</v>
      </c>
      <c r="E254" s="174" t="s">
        <v>2183</v>
      </c>
      <c r="F254" s="206"/>
      <c r="G254" s="206"/>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row>
    <row r="255" ht="15.75" customHeight="1">
      <c r="A255" s="89" t="s">
        <v>2178</v>
      </c>
      <c r="B255" s="92">
        <v>2.0</v>
      </c>
      <c r="C255" s="29" t="s">
        <v>2129</v>
      </c>
      <c r="D255" s="29" t="s">
        <v>2130</v>
      </c>
      <c r="E255" s="93" t="s">
        <v>2185</v>
      </c>
      <c r="F255" s="161"/>
      <c r="G255" s="28"/>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row>
    <row r="256" ht="15.75" customHeight="1">
      <c r="A256" s="89" t="s">
        <v>2178</v>
      </c>
      <c r="B256" s="92">
        <v>3.0</v>
      </c>
      <c r="C256" s="29" t="s">
        <v>2136</v>
      </c>
      <c r="D256" s="29" t="s">
        <v>2137</v>
      </c>
      <c r="E256" s="93" t="s">
        <v>2186</v>
      </c>
      <c r="F256" s="28"/>
      <c r="G256" s="28"/>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row>
    <row r="257" ht="15.75" customHeight="1">
      <c r="A257" s="70" t="s">
        <v>2178</v>
      </c>
      <c r="B257" s="105">
        <v>-777.0</v>
      </c>
      <c r="C257" s="39" t="s">
        <v>2162</v>
      </c>
      <c r="D257" s="39" t="s">
        <v>573</v>
      </c>
      <c r="E257" s="78" t="s">
        <v>2163</v>
      </c>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row>
    <row r="258" ht="15.75" customHeight="1">
      <c r="A258" s="111"/>
      <c r="B258" s="112"/>
      <c r="C258" s="111"/>
      <c r="D258" s="111"/>
      <c r="E258" s="111"/>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row>
    <row r="259" ht="15.75" customHeight="1">
      <c r="A259" s="123" t="s">
        <v>2196</v>
      </c>
      <c r="B259" s="124">
        <v>0.0</v>
      </c>
      <c r="C259" s="130" t="s">
        <v>165</v>
      </c>
      <c r="D259" s="130" t="s">
        <v>166</v>
      </c>
      <c r="E259" s="130" t="s">
        <v>168</v>
      </c>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60"/>
      <c r="AF259" s="60"/>
    </row>
    <row r="260" ht="15.75" customHeight="1">
      <c r="A260" s="89" t="s">
        <v>2196</v>
      </c>
      <c r="B260" s="92">
        <v>1.0</v>
      </c>
      <c r="C260" s="29" t="s">
        <v>2208</v>
      </c>
      <c r="D260" s="29" t="s">
        <v>2209</v>
      </c>
      <c r="E260" s="29" t="s">
        <v>2211</v>
      </c>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row>
    <row r="261" ht="15.75" customHeight="1">
      <c r="A261" s="89" t="s">
        <v>2196</v>
      </c>
      <c r="B261" s="92">
        <v>2.0</v>
      </c>
      <c r="C261" s="29" t="s">
        <v>2217</v>
      </c>
      <c r="D261" s="29" t="s">
        <v>2218</v>
      </c>
      <c r="E261" s="93" t="s">
        <v>2220</v>
      </c>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row>
    <row r="262" ht="15.75" customHeight="1">
      <c r="A262" s="89" t="s">
        <v>2196</v>
      </c>
      <c r="B262" s="92">
        <v>3.0</v>
      </c>
      <c r="C262" s="29" t="s">
        <v>2226</v>
      </c>
      <c r="D262" s="29" t="s">
        <v>2227</v>
      </c>
      <c r="E262" s="29" t="s">
        <v>2228</v>
      </c>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row>
    <row r="263" ht="15.75" customHeight="1">
      <c r="A263" s="89" t="s">
        <v>2196</v>
      </c>
      <c r="B263" s="92">
        <v>4.0</v>
      </c>
      <c r="C263" s="29" t="s">
        <v>2229</v>
      </c>
      <c r="D263" s="29" t="s">
        <v>2230</v>
      </c>
      <c r="E263" s="93" t="s">
        <v>2231</v>
      </c>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row>
    <row r="264" ht="15.75" customHeight="1">
      <c r="A264" s="89" t="s">
        <v>2196</v>
      </c>
      <c r="B264" s="92">
        <v>5.0</v>
      </c>
      <c r="C264" s="29" t="s">
        <v>2233</v>
      </c>
      <c r="D264" s="29" t="s">
        <v>2234</v>
      </c>
      <c r="E264" s="29" t="s">
        <v>2236</v>
      </c>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row>
    <row r="265" ht="15.75" customHeight="1">
      <c r="A265" s="89" t="s">
        <v>2196</v>
      </c>
      <c r="B265" s="92">
        <v>6.0</v>
      </c>
      <c r="C265" s="29" t="s">
        <v>2241</v>
      </c>
      <c r="D265" s="29" t="s">
        <v>2243</v>
      </c>
      <c r="E265" s="29" t="s">
        <v>2244</v>
      </c>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row>
    <row r="266" ht="15.75" customHeight="1">
      <c r="A266" s="89" t="s">
        <v>2196</v>
      </c>
      <c r="B266" s="92">
        <v>7.0</v>
      </c>
      <c r="C266" s="29" t="s">
        <v>2253</v>
      </c>
      <c r="D266" s="29" t="s">
        <v>2254</v>
      </c>
      <c r="E266" s="29" t="s">
        <v>2255</v>
      </c>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row>
    <row r="267" ht="15.75" customHeight="1">
      <c r="A267" s="89" t="s">
        <v>2196</v>
      </c>
      <c r="B267" s="92">
        <v>8.0</v>
      </c>
      <c r="C267" s="29" t="s">
        <v>2260</v>
      </c>
      <c r="D267" s="29" t="s">
        <v>2261</v>
      </c>
      <c r="E267" s="93" t="s">
        <v>2262</v>
      </c>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row>
    <row r="268" ht="15.75" customHeight="1">
      <c r="A268" s="89" t="s">
        <v>2196</v>
      </c>
      <c r="B268" s="92">
        <v>9.0</v>
      </c>
      <c r="C268" s="29" t="s">
        <v>2273</v>
      </c>
      <c r="D268" s="29" t="s">
        <v>2275</v>
      </c>
      <c r="E268" s="29" t="s">
        <v>2276</v>
      </c>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row>
    <row r="269" ht="15.75" customHeight="1">
      <c r="A269" s="89" t="s">
        <v>2196</v>
      </c>
      <c r="B269" s="92">
        <v>10.0</v>
      </c>
      <c r="C269" s="29" t="s">
        <v>2281</v>
      </c>
      <c r="D269" s="29" t="s">
        <v>2282</v>
      </c>
      <c r="E269" s="29" t="s">
        <v>2283</v>
      </c>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row>
    <row r="270" ht="15.75" customHeight="1">
      <c r="A270" s="89" t="s">
        <v>2196</v>
      </c>
      <c r="B270" s="92">
        <v>11.0</v>
      </c>
      <c r="C270" s="29" t="s">
        <v>2284</v>
      </c>
      <c r="D270" s="29" t="s">
        <v>2285</v>
      </c>
      <c r="E270" s="93" t="s">
        <v>2286</v>
      </c>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row>
    <row r="271" ht="15.75" customHeight="1">
      <c r="A271" s="89" t="s">
        <v>2196</v>
      </c>
      <c r="B271" s="92">
        <v>12.0</v>
      </c>
      <c r="C271" s="29" t="s">
        <v>2294</v>
      </c>
      <c r="D271" s="29" t="s">
        <v>2296</v>
      </c>
      <c r="E271" s="93" t="s">
        <v>2298</v>
      </c>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row>
    <row r="272" ht="15.75" customHeight="1">
      <c r="A272" s="70" t="s">
        <v>2196</v>
      </c>
      <c r="B272" s="105">
        <v>-777.0</v>
      </c>
      <c r="C272" s="39" t="s">
        <v>570</v>
      </c>
      <c r="D272" s="39" t="s">
        <v>573</v>
      </c>
      <c r="E272" s="39" t="s">
        <v>2163</v>
      </c>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60"/>
      <c r="AF272" s="60"/>
    </row>
    <row r="273" ht="15.75" customHeight="1">
      <c r="A273" s="70"/>
      <c r="B273" s="39"/>
      <c r="C273" s="39"/>
      <c r="D273" s="39"/>
      <c r="E273" s="3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60"/>
      <c r="AF273" s="60"/>
    </row>
    <row r="274" ht="15.75" customHeight="1">
      <c r="A274" s="89" t="s">
        <v>2310</v>
      </c>
      <c r="B274" s="92">
        <v>1.0</v>
      </c>
      <c r="C274" s="29" t="s">
        <v>2311</v>
      </c>
      <c r="D274" s="29" t="s">
        <v>2312</v>
      </c>
      <c r="E274" s="29" t="s">
        <v>2314</v>
      </c>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row>
    <row r="275" ht="15.75" customHeight="1">
      <c r="A275" s="89" t="s">
        <v>2310</v>
      </c>
      <c r="B275" s="92">
        <v>2.0</v>
      </c>
      <c r="C275" s="29" t="s">
        <v>2319</v>
      </c>
      <c r="D275" s="29" t="s">
        <v>2321</v>
      </c>
      <c r="E275" s="29" t="s">
        <v>2324</v>
      </c>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row>
    <row r="276" ht="15.75" customHeight="1">
      <c r="A276" s="89" t="s">
        <v>2310</v>
      </c>
      <c r="B276" s="92">
        <v>3.0</v>
      </c>
      <c r="C276" s="29" t="s">
        <v>2332</v>
      </c>
      <c r="D276" s="29" t="s">
        <v>2333</v>
      </c>
      <c r="E276" s="29" t="s">
        <v>2334</v>
      </c>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row>
    <row r="277" ht="15.75" customHeight="1">
      <c r="A277" s="89" t="s">
        <v>2310</v>
      </c>
      <c r="B277" s="92">
        <v>4.0</v>
      </c>
      <c r="C277" s="29" t="s">
        <v>2335</v>
      </c>
      <c r="D277" s="29" t="s">
        <v>2336</v>
      </c>
      <c r="E277" s="29" t="s">
        <v>2337</v>
      </c>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row>
    <row r="278" ht="15.75" customHeight="1">
      <c r="A278" s="89" t="s">
        <v>2310</v>
      </c>
      <c r="B278" s="92">
        <v>5.0</v>
      </c>
      <c r="C278" s="29" t="s">
        <v>2344</v>
      </c>
      <c r="D278" s="29" t="s">
        <v>2345</v>
      </c>
      <c r="E278" s="29" t="s">
        <v>2346</v>
      </c>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row>
    <row r="279" ht="15.75" customHeight="1">
      <c r="A279" s="70" t="s">
        <v>2310</v>
      </c>
      <c r="B279" s="105">
        <v>0.0</v>
      </c>
      <c r="C279" s="39" t="s">
        <v>165</v>
      </c>
      <c r="D279" s="39" t="s">
        <v>166</v>
      </c>
      <c r="E279" s="39" t="s">
        <v>168</v>
      </c>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60"/>
      <c r="AF279" s="60"/>
    </row>
    <row r="280" ht="15.75" customHeight="1">
      <c r="A280" s="70"/>
      <c r="B280" s="39"/>
      <c r="C280" s="39"/>
      <c r="D280" s="39"/>
      <c r="E280" s="3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60"/>
      <c r="AF280" s="60"/>
    </row>
    <row r="281" ht="15.75" customHeight="1">
      <c r="A281" s="89" t="s">
        <v>2360</v>
      </c>
      <c r="B281" s="92">
        <v>1.0</v>
      </c>
      <c r="C281" s="29" t="s">
        <v>2361</v>
      </c>
      <c r="D281" s="29" t="s">
        <v>2362</v>
      </c>
      <c r="E281" s="29" t="s">
        <v>2363</v>
      </c>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row>
    <row r="282" ht="15.75" customHeight="1">
      <c r="A282" s="89" t="s">
        <v>2360</v>
      </c>
      <c r="B282" s="92">
        <v>2.0</v>
      </c>
      <c r="C282" s="29" t="s">
        <v>2374</v>
      </c>
      <c r="D282" s="29" t="s">
        <v>2376</v>
      </c>
      <c r="E282" s="29" t="s">
        <v>2377</v>
      </c>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row>
    <row r="283" ht="15.75" customHeight="1">
      <c r="A283" s="89" t="s">
        <v>2360</v>
      </c>
      <c r="B283" s="92">
        <v>3.0</v>
      </c>
      <c r="C283" s="29" t="s">
        <v>2383</v>
      </c>
      <c r="D283" s="29" t="s">
        <v>2386</v>
      </c>
      <c r="E283" s="93" t="s">
        <v>2387</v>
      </c>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row>
    <row r="284" ht="15.75" customHeight="1">
      <c r="A284" s="89" t="s">
        <v>2360</v>
      </c>
      <c r="B284" s="92">
        <v>4.0</v>
      </c>
      <c r="C284" s="29" t="s">
        <v>2398</v>
      </c>
      <c r="D284" s="29" t="s">
        <v>2399</v>
      </c>
      <c r="E284" s="29" t="s">
        <v>2400</v>
      </c>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row>
    <row r="285" ht="15.75" customHeight="1">
      <c r="A285" s="89" t="s">
        <v>2360</v>
      </c>
      <c r="B285" s="92">
        <v>5.0</v>
      </c>
      <c r="C285" s="29" t="s">
        <v>2410</v>
      </c>
      <c r="D285" s="29" t="s">
        <v>2412</v>
      </c>
      <c r="E285" s="29" t="s">
        <v>2413</v>
      </c>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row>
    <row r="286" ht="15.75" customHeight="1">
      <c r="A286" s="89" t="s">
        <v>2360</v>
      </c>
      <c r="B286" s="92">
        <v>6.0</v>
      </c>
      <c r="C286" s="29" t="s">
        <v>2425</v>
      </c>
      <c r="D286" s="29" t="s">
        <v>2427</v>
      </c>
      <c r="E286" s="29" t="s">
        <v>2428</v>
      </c>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row>
    <row r="287" ht="15.75" customHeight="1">
      <c r="A287" s="70" t="s">
        <v>2360</v>
      </c>
      <c r="B287" s="105">
        <v>0.0</v>
      </c>
      <c r="C287" s="39" t="s">
        <v>165</v>
      </c>
      <c r="D287" s="39" t="s">
        <v>166</v>
      </c>
      <c r="E287" s="39" t="s">
        <v>168</v>
      </c>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60"/>
      <c r="AF287" s="60"/>
    </row>
    <row r="288" ht="15.75" customHeight="1">
      <c r="A288" s="111"/>
      <c r="B288" s="112"/>
      <c r="C288" s="111"/>
      <c r="D288" s="111"/>
      <c r="E288" s="173"/>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row>
    <row r="289" ht="15.75" customHeight="1">
      <c r="A289" s="123" t="s">
        <v>2443</v>
      </c>
      <c r="B289" s="124">
        <v>0.0</v>
      </c>
      <c r="C289" s="130" t="s">
        <v>165</v>
      </c>
      <c r="D289" s="130" t="s">
        <v>166</v>
      </c>
      <c r="E289" s="130" t="s">
        <v>168</v>
      </c>
      <c r="F289" s="127"/>
      <c r="G289" s="127"/>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row>
    <row r="290" ht="15.75" customHeight="1">
      <c r="A290" s="89" t="s">
        <v>2443</v>
      </c>
      <c r="B290" s="92">
        <v>1.0</v>
      </c>
      <c r="C290" s="29" t="s">
        <v>2451</v>
      </c>
      <c r="D290" s="29" t="s">
        <v>2451</v>
      </c>
      <c r="E290" s="93" t="s">
        <v>2451</v>
      </c>
      <c r="F290" s="161"/>
      <c r="G290" s="28"/>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row>
    <row r="291" ht="15.75" customHeight="1">
      <c r="A291" s="89" t="s">
        <v>2443</v>
      </c>
      <c r="B291" s="92">
        <v>2.0</v>
      </c>
      <c r="C291" s="29" t="s">
        <v>2460</v>
      </c>
      <c r="D291" s="29" t="s">
        <v>2460</v>
      </c>
      <c r="E291" s="29" t="s">
        <v>2460</v>
      </c>
      <c r="F291" s="28"/>
      <c r="G291" s="28"/>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row>
    <row r="292" ht="15.75" customHeight="1">
      <c r="A292" s="89" t="s">
        <v>2443</v>
      </c>
      <c r="B292" s="92">
        <v>3.0</v>
      </c>
      <c r="C292" s="29" t="s">
        <v>2470</v>
      </c>
      <c r="D292" s="29" t="s">
        <v>2470</v>
      </c>
      <c r="E292" s="29" t="s">
        <v>2470</v>
      </c>
      <c r="F292" s="28"/>
      <c r="G292" s="28"/>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row>
    <row r="293" ht="15.75" customHeight="1">
      <c r="A293" s="89" t="s">
        <v>2443</v>
      </c>
      <c r="B293" s="92">
        <v>4.0</v>
      </c>
      <c r="C293" s="29" t="s">
        <v>2477</v>
      </c>
      <c r="D293" s="29" t="s">
        <v>2477</v>
      </c>
      <c r="E293" s="93" t="s">
        <v>2477</v>
      </c>
      <c r="F293" s="28"/>
      <c r="G293" s="28"/>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row>
    <row r="294" ht="15.75" customHeight="1">
      <c r="A294" s="89" t="s">
        <v>2443</v>
      </c>
      <c r="B294" s="92">
        <v>5.0</v>
      </c>
      <c r="C294" s="29" t="s">
        <v>2483</v>
      </c>
      <c r="D294" s="29" t="s">
        <v>2483</v>
      </c>
      <c r="E294" s="93" t="s">
        <v>2483</v>
      </c>
      <c r="F294" s="161"/>
      <c r="G294" s="161"/>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row>
    <row r="295" ht="15.75" customHeight="1">
      <c r="A295" s="70" t="s">
        <v>2443</v>
      </c>
      <c r="B295" s="105">
        <v>6.0</v>
      </c>
      <c r="C295" s="39" t="s">
        <v>2489</v>
      </c>
      <c r="D295" s="39" t="s">
        <v>2489</v>
      </c>
      <c r="E295" s="39" t="s">
        <v>2489</v>
      </c>
      <c r="F295" s="38"/>
      <c r="G295" s="38"/>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row>
    <row r="296" ht="15.75" customHeight="1">
      <c r="A296" s="70" t="s">
        <v>2443</v>
      </c>
      <c r="B296" s="105">
        <v>7.0</v>
      </c>
      <c r="C296" s="39" t="s">
        <v>2501</v>
      </c>
      <c r="D296" s="39" t="s">
        <v>2501</v>
      </c>
      <c r="E296" s="78" t="s">
        <v>2501</v>
      </c>
      <c r="F296" s="38"/>
      <c r="G296" s="38"/>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row>
    <row r="297" ht="15.75" customHeight="1">
      <c r="A297" s="89" t="s">
        <v>2443</v>
      </c>
      <c r="B297" s="92">
        <v>8.0</v>
      </c>
      <c r="C297" s="29" t="s">
        <v>2506</v>
      </c>
      <c r="D297" s="29" t="s">
        <v>2506</v>
      </c>
      <c r="E297" s="29" t="s">
        <v>2506</v>
      </c>
      <c r="F297" s="28"/>
      <c r="G297" s="28"/>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row>
    <row r="298" ht="15.75" customHeight="1">
      <c r="A298" s="89" t="s">
        <v>2443</v>
      </c>
      <c r="B298" s="92">
        <v>9.0</v>
      </c>
      <c r="C298" s="29" t="s">
        <v>2508</v>
      </c>
      <c r="D298" s="29" t="s">
        <v>2508</v>
      </c>
      <c r="E298" s="29" t="s">
        <v>2508</v>
      </c>
      <c r="F298" s="28"/>
      <c r="G298" s="28"/>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row>
    <row r="299" ht="15.75" customHeight="1">
      <c r="A299" s="89" t="s">
        <v>2443</v>
      </c>
      <c r="B299" s="92">
        <v>10.0</v>
      </c>
      <c r="C299" s="29" t="s">
        <v>2518</v>
      </c>
      <c r="D299" s="29" t="s">
        <v>2518</v>
      </c>
      <c r="E299" s="29" t="s">
        <v>2518</v>
      </c>
      <c r="F299" s="28"/>
      <c r="G299" s="28"/>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row>
    <row r="300" ht="15.75" customHeight="1">
      <c r="A300" s="89" t="s">
        <v>2443</v>
      </c>
      <c r="B300" s="92">
        <v>11.0</v>
      </c>
      <c r="C300" s="29" t="s">
        <v>2523</v>
      </c>
      <c r="D300" s="29" t="s">
        <v>2523</v>
      </c>
      <c r="E300" s="222" t="s">
        <v>2523</v>
      </c>
      <c r="F300" s="28"/>
      <c r="G300" s="28"/>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row>
    <row r="301" ht="15.75" customHeight="1">
      <c r="A301" s="89" t="s">
        <v>2443</v>
      </c>
      <c r="B301" s="92">
        <v>12.0</v>
      </c>
      <c r="C301" s="29" t="s">
        <v>2529</v>
      </c>
      <c r="D301" s="29" t="s">
        <v>2529</v>
      </c>
      <c r="E301" s="29" t="s">
        <v>2529</v>
      </c>
      <c r="F301" s="28"/>
      <c r="G301" s="28"/>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row>
    <row r="302" ht="15.75" customHeight="1">
      <c r="A302" s="70" t="s">
        <v>2443</v>
      </c>
      <c r="B302" s="105">
        <v>13.0</v>
      </c>
      <c r="C302" s="39" t="s">
        <v>2537</v>
      </c>
      <c r="D302" s="39" t="s">
        <v>2537</v>
      </c>
      <c r="E302" s="78" t="s">
        <v>2537</v>
      </c>
      <c r="F302" s="129"/>
      <c r="G302" s="38"/>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row>
    <row r="303" ht="15.75" customHeight="1">
      <c r="A303" s="70" t="s">
        <v>2443</v>
      </c>
      <c r="B303" s="105">
        <v>14.0</v>
      </c>
      <c r="C303" s="39" t="s">
        <v>2545</v>
      </c>
      <c r="D303" s="39" t="s">
        <v>2545</v>
      </c>
      <c r="E303" s="39" t="s">
        <v>2545</v>
      </c>
      <c r="F303" s="38"/>
      <c r="G303" s="38"/>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row>
    <row r="304" ht="15.75" customHeight="1">
      <c r="A304" s="89" t="s">
        <v>2443</v>
      </c>
      <c r="B304" s="92">
        <v>15.0</v>
      </c>
      <c r="C304" s="29" t="s">
        <v>2553</v>
      </c>
      <c r="D304" s="29" t="s">
        <v>2553</v>
      </c>
      <c r="E304" s="93" t="s">
        <v>2553</v>
      </c>
      <c r="F304" s="28"/>
      <c r="G304" s="28"/>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row>
    <row r="305" ht="15.75" customHeight="1">
      <c r="A305" s="89" t="s">
        <v>2443</v>
      </c>
      <c r="B305" s="92">
        <v>16.0</v>
      </c>
      <c r="C305" s="29" t="s">
        <v>2555</v>
      </c>
      <c r="D305" s="29" t="s">
        <v>2555</v>
      </c>
      <c r="E305" s="29" t="s">
        <v>2555</v>
      </c>
      <c r="F305" s="28"/>
      <c r="G305" s="28"/>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row>
    <row r="306" ht="15.75" customHeight="1">
      <c r="A306" s="89" t="s">
        <v>2443</v>
      </c>
      <c r="B306" s="92">
        <v>17.0</v>
      </c>
      <c r="C306" s="29" t="s">
        <v>2562</v>
      </c>
      <c r="D306" s="29" t="s">
        <v>2562</v>
      </c>
      <c r="E306" s="29" t="s">
        <v>2562</v>
      </c>
      <c r="F306" s="28"/>
      <c r="G306" s="28"/>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row>
    <row r="307" ht="15.75" customHeight="1">
      <c r="A307" s="89" t="s">
        <v>2443</v>
      </c>
      <c r="B307" s="92">
        <v>18.0</v>
      </c>
      <c r="C307" s="29" t="s">
        <v>2570</v>
      </c>
      <c r="D307" s="29" t="s">
        <v>2570</v>
      </c>
      <c r="E307" s="93" t="s">
        <v>2570</v>
      </c>
      <c r="F307" s="161"/>
      <c r="G307" s="161"/>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row>
    <row r="308" ht="15.75" customHeight="1">
      <c r="A308" s="70" t="s">
        <v>2443</v>
      </c>
      <c r="B308" s="105">
        <v>19.0</v>
      </c>
      <c r="C308" s="39" t="s">
        <v>2571</v>
      </c>
      <c r="D308" s="39" t="s">
        <v>2571</v>
      </c>
      <c r="E308" s="39" t="s">
        <v>2571</v>
      </c>
      <c r="F308" s="38"/>
      <c r="G308" s="38"/>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row>
    <row r="309" ht="15.75" customHeight="1">
      <c r="A309" s="70" t="s">
        <v>2443</v>
      </c>
      <c r="B309" s="105">
        <v>20.0</v>
      </c>
      <c r="C309" s="39" t="s">
        <v>2573</v>
      </c>
      <c r="D309" s="39" t="s">
        <v>2573</v>
      </c>
      <c r="E309" s="39" t="s">
        <v>2573</v>
      </c>
      <c r="F309" s="38"/>
      <c r="G309" s="38"/>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row>
    <row r="310" ht="15.75" customHeight="1">
      <c r="A310" s="89" t="s">
        <v>2443</v>
      </c>
      <c r="B310" s="92">
        <v>21.0</v>
      </c>
      <c r="C310" s="29" t="s">
        <v>2583</v>
      </c>
      <c r="D310" s="29" t="s">
        <v>2583</v>
      </c>
      <c r="E310" s="29" t="s">
        <v>2583</v>
      </c>
      <c r="F310" s="28"/>
      <c r="G310" s="28"/>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row>
    <row r="311" ht="15.75" customHeight="1">
      <c r="A311" s="89" t="s">
        <v>2443</v>
      </c>
      <c r="B311" s="92">
        <v>22.0</v>
      </c>
      <c r="C311" s="29" t="s">
        <v>2588</v>
      </c>
      <c r="D311" s="29" t="s">
        <v>2588</v>
      </c>
      <c r="E311" s="29" t="s">
        <v>2588</v>
      </c>
      <c r="F311" s="28"/>
      <c r="G311" s="28"/>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row>
    <row r="312" ht="15.75" customHeight="1">
      <c r="A312" s="89" t="s">
        <v>2443</v>
      </c>
      <c r="B312" s="92">
        <v>23.0</v>
      </c>
      <c r="C312" s="29" t="s">
        <v>2592</v>
      </c>
      <c r="D312" s="29" t="s">
        <v>2592</v>
      </c>
      <c r="E312" s="222" t="s">
        <v>2592</v>
      </c>
      <c r="F312" s="28"/>
      <c r="G312" s="28"/>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row>
    <row r="313" ht="15.75" customHeight="1">
      <c r="A313" s="70" t="s">
        <v>2443</v>
      </c>
      <c r="B313" s="105">
        <v>24.0</v>
      </c>
      <c r="C313" s="39" t="s">
        <v>2595</v>
      </c>
      <c r="D313" s="39" t="s">
        <v>2595</v>
      </c>
      <c r="E313" s="39" t="s">
        <v>2595</v>
      </c>
      <c r="F313" s="38"/>
      <c r="G313" s="38"/>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row>
    <row r="314" ht="15.75" customHeight="1">
      <c r="A314" s="70" t="s">
        <v>2443</v>
      </c>
      <c r="B314" s="105">
        <v>25.0</v>
      </c>
      <c r="C314" s="39" t="s">
        <v>2596</v>
      </c>
      <c r="D314" s="39" t="s">
        <v>2596</v>
      </c>
      <c r="E314" s="39" t="s">
        <v>2596</v>
      </c>
      <c r="F314" s="38"/>
      <c r="G314" s="38"/>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row>
    <row r="315" ht="15.75" customHeight="1">
      <c r="A315" s="89" t="s">
        <v>2443</v>
      </c>
      <c r="B315" s="92">
        <v>26.0</v>
      </c>
      <c r="C315" s="29" t="s">
        <v>2598</v>
      </c>
      <c r="D315" s="29" t="s">
        <v>2598</v>
      </c>
      <c r="E315" s="29" t="s">
        <v>2598</v>
      </c>
      <c r="F315" s="28"/>
      <c r="G315" s="28"/>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row>
    <row r="316" ht="15.75" customHeight="1">
      <c r="A316" s="89" t="s">
        <v>2443</v>
      </c>
      <c r="B316" s="92">
        <v>27.0</v>
      </c>
      <c r="C316" s="29" t="s">
        <v>2604</v>
      </c>
      <c r="D316" s="29" t="s">
        <v>2604</v>
      </c>
      <c r="E316" s="222" t="s">
        <v>2604</v>
      </c>
      <c r="F316" s="161"/>
      <c r="G316" s="161"/>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row>
    <row r="317" ht="15.75" customHeight="1">
      <c r="A317" s="89" t="s">
        <v>2443</v>
      </c>
      <c r="B317" s="92">
        <v>28.0</v>
      </c>
      <c r="C317" s="29" t="s">
        <v>2608</v>
      </c>
      <c r="D317" s="29" t="s">
        <v>2608</v>
      </c>
      <c r="E317" s="29" t="s">
        <v>2608</v>
      </c>
      <c r="F317" s="28"/>
      <c r="G317" s="28"/>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row>
    <row r="318" ht="15.75" customHeight="1">
      <c r="A318" s="89" t="s">
        <v>2443</v>
      </c>
      <c r="B318" s="92">
        <v>29.0</v>
      </c>
      <c r="C318" s="29" t="s">
        <v>2609</v>
      </c>
      <c r="D318" s="29" t="s">
        <v>2609</v>
      </c>
      <c r="E318" s="93" t="s">
        <v>2609</v>
      </c>
      <c r="F318" s="161"/>
      <c r="G318" s="28"/>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row>
    <row r="319" ht="15.75" customHeight="1">
      <c r="A319" s="89" t="s">
        <v>2443</v>
      </c>
      <c r="B319" s="92">
        <v>30.0</v>
      </c>
      <c r="C319" s="29" t="s">
        <v>2610</v>
      </c>
      <c r="D319" s="29" t="s">
        <v>2610</v>
      </c>
      <c r="E319" s="93" t="s">
        <v>2610</v>
      </c>
      <c r="F319" s="161"/>
      <c r="G319" s="161"/>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row>
    <row r="320" ht="15.75" customHeight="1">
      <c r="A320" s="89" t="s">
        <v>2443</v>
      </c>
      <c r="B320" s="92">
        <v>31.0</v>
      </c>
      <c r="C320" s="29" t="s">
        <v>2621</v>
      </c>
      <c r="D320" s="29" t="s">
        <v>2621</v>
      </c>
      <c r="E320" s="222" t="s">
        <v>2621</v>
      </c>
      <c r="F320" s="28"/>
      <c r="G320" s="28"/>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row>
    <row r="321" ht="15.75" customHeight="1">
      <c r="A321" s="70" t="s">
        <v>2443</v>
      </c>
      <c r="B321" s="105">
        <v>32.0</v>
      </c>
      <c r="C321" s="39" t="s">
        <v>2626</v>
      </c>
      <c r="D321" s="39" t="s">
        <v>2626</v>
      </c>
      <c r="E321" s="39" t="s">
        <v>2626</v>
      </c>
      <c r="F321" s="38"/>
      <c r="G321" s="38"/>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row>
    <row r="322" ht="15.75" customHeight="1">
      <c r="A322" s="70" t="s">
        <v>2443</v>
      </c>
      <c r="B322" s="105">
        <v>33.0</v>
      </c>
      <c r="C322" s="39" t="s">
        <v>2633</v>
      </c>
      <c r="D322" s="39" t="s">
        <v>2633</v>
      </c>
      <c r="E322" s="78" t="s">
        <v>2633</v>
      </c>
      <c r="F322" s="38"/>
      <c r="G322" s="38"/>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row>
    <row r="323" ht="15.75" customHeight="1">
      <c r="A323" s="89" t="s">
        <v>2443</v>
      </c>
      <c r="B323" s="92">
        <v>34.0</v>
      </c>
      <c r="C323" s="29" t="s">
        <v>2634</v>
      </c>
      <c r="D323" s="29" t="s">
        <v>2634</v>
      </c>
      <c r="E323" s="93" t="s">
        <v>2634</v>
      </c>
      <c r="F323" s="28"/>
      <c r="G323" s="28"/>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row>
    <row r="324" ht="15.75" customHeight="1">
      <c r="A324" s="89" t="s">
        <v>2443</v>
      </c>
      <c r="B324" s="92">
        <v>35.0</v>
      </c>
      <c r="C324" s="29" t="s">
        <v>2650</v>
      </c>
      <c r="D324" s="29" t="s">
        <v>2650</v>
      </c>
      <c r="E324" s="29" t="s">
        <v>2650</v>
      </c>
      <c r="F324" s="28"/>
      <c r="G324" s="28"/>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row>
    <row r="325" ht="15.75" customHeight="1">
      <c r="A325" s="89" t="s">
        <v>2443</v>
      </c>
      <c r="B325" s="92">
        <v>36.0</v>
      </c>
      <c r="C325" s="29" t="s">
        <v>2655</v>
      </c>
      <c r="D325" s="29" t="s">
        <v>2655</v>
      </c>
      <c r="E325" s="29" t="s">
        <v>2655</v>
      </c>
      <c r="F325" s="28"/>
      <c r="G325" s="28"/>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row>
    <row r="326" ht="15.75" customHeight="1">
      <c r="A326" s="89" t="s">
        <v>2443</v>
      </c>
      <c r="B326" s="92">
        <v>37.0</v>
      </c>
      <c r="C326" s="29" t="s">
        <v>2659</v>
      </c>
      <c r="D326" s="29" t="s">
        <v>2659</v>
      </c>
      <c r="E326" s="29" t="s">
        <v>2659</v>
      </c>
      <c r="F326" s="28"/>
      <c r="G326" s="28"/>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row>
    <row r="327" ht="15.75" customHeight="1">
      <c r="A327" s="89" t="s">
        <v>2443</v>
      </c>
      <c r="B327" s="92">
        <v>38.0</v>
      </c>
      <c r="C327" s="29" t="s">
        <v>2665</v>
      </c>
      <c r="D327" s="29" t="s">
        <v>2665</v>
      </c>
      <c r="E327" s="29" t="s">
        <v>2665</v>
      </c>
      <c r="F327" s="28"/>
      <c r="G327" s="28"/>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row>
    <row r="328" ht="15.75" customHeight="1">
      <c r="A328" s="89" t="s">
        <v>2443</v>
      </c>
      <c r="B328" s="92">
        <v>39.0</v>
      </c>
      <c r="C328" s="29" t="s">
        <v>2671</v>
      </c>
      <c r="D328" s="29" t="s">
        <v>2671</v>
      </c>
      <c r="E328" s="93" t="s">
        <v>2671</v>
      </c>
      <c r="F328" s="161"/>
      <c r="G328" s="161"/>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row>
    <row r="329" ht="15.75" customHeight="1">
      <c r="A329" s="89" t="s">
        <v>2443</v>
      </c>
      <c r="B329" s="92">
        <v>40.0</v>
      </c>
      <c r="C329" s="29" t="s">
        <v>2683</v>
      </c>
      <c r="D329" s="29" t="s">
        <v>2683</v>
      </c>
      <c r="E329" s="29" t="s">
        <v>2683</v>
      </c>
      <c r="F329" s="28"/>
      <c r="G329" s="28"/>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row>
    <row r="330" ht="15.75" customHeight="1">
      <c r="A330" s="70" t="s">
        <v>2443</v>
      </c>
      <c r="B330" s="105">
        <v>41.0</v>
      </c>
      <c r="C330" s="39" t="s">
        <v>2688</v>
      </c>
      <c r="D330" s="39" t="s">
        <v>2688</v>
      </c>
      <c r="E330" s="39" t="s">
        <v>2688</v>
      </c>
      <c r="F330" s="38"/>
      <c r="G330" s="38"/>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row>
    <row r="331" ht="15.75" customHeight="1">
      <c r="A331" s="70" t="s">
        <v>2443</v>
      </c>
      <c r="B331" s="105">
        <v>42.0</v>
      </c>
      <c r="C331" s="39" t="s">
        <v>2695</v>
      </c>
      <c r="D331" s="39" t="s">
        <v>2695</v>
      </c>
      <c r="E331" s="39" t="s">
        <v>2695</v>
      </c>
      <c r="F331" s="38"/>
      <c r="G331" s="38"/>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row>
    <row r="332" ht="15.75" customHeight="1">
      <c r="A332" s="111"/>
      <c r="B332" s="112"/>
      <c r="C332" s="111"/>
      <c r="D332" s="111"/>
      <c r="E332" s="173"/>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row>
    <row r="333" ht="15.75" customHeight="1">
      <c r="A333" s="111"/>
      <c r="B333" s="112"/>
      <c r="C333" s="111"/>
      <c r="D333" s="111"/>
      <c r="E333" s="173"/>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row>
    <row r="334" ht="15.75" customHeight="1">
      <c r="A334" s="123" t="s">
        <v>2709</v>
      </c>
      <c r="B334" s="124">
        <v>0.0</v>
      </c>
      <c r="C334" s="130" t="s">
        <v>165</v>
      </c>
      <c r="D334" s="130" t="s">
        <v>166</v>
      </c>
      <c r="E334" s="130" t="s">
        <v>168</v>
      </c>
      <c r="F334" s="127"/>
      <c r="G334" s="181">
        <v>0.0</v>
      </c>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row>
    <row r="335" ht="15.75" customHeight="1">
      <c r="A335" s="89" t="s">
        <v>2709</v>
      </c>
      <c r="B335" s="92">
        <v>2.0</v>
      </c>
      <c r="C335" s="29" t="s">
        <v>1046</v>
      </c>
      <c r="D335" s="29" t="s">
        <v>1047</v>
      </c>
      <c r="E335" s="29" t="s">
        <v>1048</v>
      </c>
      <c r="F335" s="28"/>
      <c r="G335" s="27">
        <v>1.0</v>
      </c>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row>
    <row r="336" ht="15.75" customHeight="1">
      <c r="A336" s="89" t="s">
        <v>2709</v>
      </c>
      <c r="B336" s="92">
        <v>3.0</v>
      </c>
      <c r="C336" s="29" t="s">
        <v>1054</v>
      </c>
      <c r="D336" s="29" t="s">
        <v>1055</v>
      </c>
      <c r="E336" s="29" t="s">
        <v>1054</v>
      </c>
      <c r="F336" s="28"/>
      <c r="G336" s="27">
        <v>2.0</v>
      </c>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row>
    <row r="337" ht="15.75" customHeight="1">
      <c r="A337" s="89" t="s">
        <v>2709</v>
      </c>
      <c r="B337" s="92">
        <v>4.0</v>
      </c>
      <c r="C337" s="29" t="s">
        <v>1068</v>
      </c>
      <c r="D337" s="29" t="s">
        <v>1068</v>
      </c>
      <c r="E337" s="29" t="s">
        <v>1068</v>
      </c>
      <c r="F337" s="28"/>
      <c r="G337" s="27">
        <v>3.0</v>
      </c>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row>
    <row r="338" ht="15.75" customHeight="1">
      <c r="A338" s="89" t="s">
        <v>2709</v>
      </c>
      <c r="B338" s="92">
        <v>5.0</v>
      </c>
      <c r="C338" s="29" t="s">
        <v>1071</v>
      </c>
      <c r="D338" s="29" t="s">
        <v>1072</v>
      </c>
      <c r="E338" s="29" t="s">
        <v>1074</v>
      </c>
      <c r="F338" s="28"/>
      <c r="G338" s="27">
        <v>4.0</v>
      </c>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row>
    <row r="339" ht="15.75" customHeight="1">
      <c r="A339" s="89" t="s">
        <v>2709</v>
      </c>
      <c r="B339" s="92">
        <v>6.0</v>
      </c>
      <c r="C339" s="29" t="s">
        <v>1089</v>
      </c>
      <c r="D339" s="29" t="s">
        <v>1090</v>
      </c>
      <c r="E339" s="93" t="s">
        <v>1093</v>
      </c>
      <c r="F339" s="28"/>
      <c r="G339" s="27">
        <v>5.0</v>
      </c>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row>
    <row r="340" ht="15.75" customHeight="1">
      <c r="A340" s="89" t="s">
        <v>2709</v>
      </c>
      <c r="B340" s="92">
        <v>7.0</v>
      </c>
      <c r="C340" s="29" t="s">
        <v>1098</v>
      </c>
      <c r="D340" s="29" t="s">
        <v>1099</v>
      </c>
      <c r="E340" s="29" t="s">
        <v>1098</v>
      </c>
      <c r="F340" s="28"/>
      <c r="G340" s="27">
        <v>6.0</v>
      </c>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row>
    <row r="341" ht="15.75" customHeight="1">
      <c r="A341" s="89" t="s">
        <v>2709</v>
      </c>
      <c r="B341" s="92">
        <v>8.0</v>
      </c>
      <c r="C341" s="29" t="s">
        <v>1102</v>
      </c>
      <c r="D341" s="29" t="s">
        <v>1102</v>
      </c>
      <c r="E341" s="29" t="s">
        <v>1102</v>
      </c>
      <c r="F341" s="28"/>
      <c r="G341" s="27">
        <v>7.0</v>
      </c>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row>
    <row r="342" ht="15.75" customHeight="1">
      <c r="A342" s="89" t="s">
        <v>2709</v>
      </c>
      <c r="B342" s="92">
        <v>9.0</v>
      </c>
      <c r="C342" s="29" t="s">
        <v>1110</v>
      </c>
      <c r="D342" s="29" t="s">
        <v>1110</v>
      </c>
      <c r="E342" s="29" t="s">
        <v>1110</v>
      </c>
      <c r="F342" s="28"/>
      <c r="G342" s="27">
        <v>8.0</v>
      </c>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row>
    <row r="343" ht="15.75" customHeight="1">
      <c r="A343" s="89" t="s">
        <v>2709</v>
      </c>
      <c r="B343" s="92">
        <v>10.0</v>
      </c>
      <c r="C343" s="29" t="s">
        <v>1116</v>
      </c>
      <c r="D343" s="29" t="s">
        <v>1117</v>
      </c>
      <c r="E343" s="29" t="s">
        <v>1118</v>
      </c>
      <c r="F343" s="28"/>
      <c r="G343" s="27">
        <v>9.0</v>
      </c>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row>
    <row r="344" ht="15.75" customHeight="1">
      <c r="A344" s="89" t="s">
        <v>2709</v>
      </c>
      <c r="B344" s="92">
        <v>11.0</v>
      </c>
      <c r="C344" s="29" t="s">
        <v>1126</v>
      </c>
      <c r="D344" s="29" t="s">
        <v>1127</v>
      </c>
      <c r="E344" s="29" t="s">
        <v>1126</v>
      </c>
      <c r="F344" s="28"/>
      <c r="G344" s="27">
        <v>10.0</v>
      </c>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row>
    <row r="345" ht="15.75" customHeight="1">
      <c r="A345" s="89" t="s">
        <v>2709</v>
      </c>
      <c r="B345" s="92">
        <v>12.0</v>
      </c>
      <c r="C345" s="29" t="s">
        <v>1130</v>
      </c>
      <c r="D345" s="29" t="s">
        <v>1130</v>
      </c>
      <c r="E345" s="29" t="s">
        <v>1130</v>
      </c>
      <c r="F345" s="28"/>
      <c r="G345" s="27">
        <v>11.0</v>
      </c>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row>
    <row r="346" ht="15.75" customHeight="1">
      <c r="A346" s="89" t="s">
        <v>2709</v>
      </c>
      <c r="B346" s="92">
        <v>13.0</v>
      </c>
      <c r="C346" s="29" t="s">
        <v>1139</v>
      </c>
      <c r="D346" s="29" t="s">
        <v>1140</v>
      </c>
      <c r="E346" s="29" t="s">
        <v>1139</v>
      </c>
      <c r="F346" s="28"/>
      <c r="G346" s="27">
        <v>12.0</v>
      </c>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row>
    <row r="347" ht="15.75" customHeight="1">
      <c r="A347" s="89" t="s">
        <v>2709</v>
      </c>
      <c r="B347" s="92">
        <v>14.0</v>
      </c>
      <c r="C347" s="29" t="s">
        <v>1150</v>
      </c>
      <c r="D347" s="29" t="s">
        <v>1150</v>
      </c>
      <c r="E347" s="29" t="s">
        <v>1150</v>
      </c>
      <c r="F347" s="28"/>
      <c r="G347" s="27">
        <v>13.0</v>
      </c>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row>
    <row r="348" ht="15.75" customHeight="1">
      <c r="A348" s="89" t="s">
        <v>2709</v>
      </c>
      <c r="B348" s="92">
        <v>15.0</v>
      </c>
      <c r="C348" s="29" t="s">
        <v>1158</v>
      </c>
      <c r="D348" s="29" t="s">
        <v>1159</v>
      </c>
      <c r="E348" s="29" t="s">
        <v>1158</v>
      </c>
      <c r="F348" s="28"/>
      <c r="G348" s="27">
        <v>14.0</v>
      </c>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row>
    <row r="349" ht="15.75" customHeight="1">
      <c r="A349" s="89" t="s">
        <v>2709</v>
      </c>
      <c r="B349" s="92">
        <v>16.0</v>
      </c>
      <c r="C349" s="29" t="s">
        <v>1168</v>
      </c>
      <c r="D349" s="29" t="s">
        <v>1169</v>
      </c>
      <c r="E349" s="29" t="s">
        <v>1168</v>
      </c>
      <c r="F349" s="28"/>
      <c r="G349" s="27">
        <v>15.0</v>
      </c>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row>
    <row r="350" ht="15.75" customHeight="1">
      <c r="A350" s="89" t="s">
        <v>2709</v>
      </c>
      <c r="B350" s="92">
        <v>17.0</v>
      </c>
      <c r="C350" s="29" t="s">
        <v>1170</v>
      </c>
      <c r="D350" s="29" t="s">
        <v>1171</v>
      </c>
      <c r="E350" s="29" t="s">
        <v>1172</v>
      </c>
      <c r="F350" s="28"/>
      <c r="G350" s="27">
        <v>16.0</v>
      </c>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row>
    <row r="351" ht="15.75" customHeight="1">
      <c r="A351" s="89" t="s">
        <v>2709</v>
      </c>
      <c r="B351" s="92">
        <v>18.0</v>
      </c>
      <c r="C351" s="29" t="s">
        <v>1177</v>
      </c>
      <c r="D351" s="29" t="s">
        <v>1177</v>
      </c>
      <c r="E351" s="29" t="s">
        <v>1178</v>
      </c>
      <c r="F351" s="28"/>
      <c r="G351" s="27">
        <v>17.0</v>
      </c>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row>
    <row r="352" ht="15.75" customHeight="1">
      <c r="A352" s="89" t="s">
        <v>2709</v>
      </c>
      <c r="B352" s="92">
        <v>19.0</v>
      </c>
      <c r="C352" s="29" t="s">
        <v>1186</v>
      </c>
      <c r="D352" s="29" t="s">
        <v>1186</v>
      </c>
      <c r="E352" s="29" t="s">
        <v>1188</v>
      </c>
      <c r="F352" s="28"/>
      <c r="G352" s="27">
        <v>18.0</v>
      </c>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row>
    <row r="353" ht="15.75" customHeight="1">
      <c r="A353" s="89" t="s">
        <v>2709</v>
      </c>
      <c r="B353" s="92">
        <v>20.0</v>
      </c>
      <c r="C353" s="29" t="s">
        <v>1196</v>
      </c>
      <c r="D353" s="29" t="s">
        <v>1197</v>
      </c>
      <c r="E353" s="93" t="s">
        <v>1198</v>
      </c>
      <c r="F353" s="28"/>
      <c r="G353" s="27">
        <v>19.0</v>
      </c>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row>
    <row r="354" ht="15.75" customHeight="1">
      <c r="A354" s="89" t="s">
        <v>2709</v>
      </c>
      <c r="B354" s="92">
        <v>21.0</v>
      </c>
      <c r="C354" s="29" t="s">
        <v>1207</v>
      </c>
      <c r="D354" s="29" t="s">
        <v>1208</v>
      </c>
      <c r="E354" s="29" t="s">
        <v>1210</v>
      </c>
      <c r="F354" s="28"/>
      <c r="G354" s="27">
        <v>20.0</v>
      </c>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row>
    <row r="355" ht="15.75" customHeight="1">
      <c r="A355" s="89" t="s">
        <v>2709</v>
      </c>
      <c r="B355" s="92">
        <v>-777.0</v>
      </c>
      <c r="C355" s="29" t="s">
        <v>570</v>
      </c>
      <c r="D355" s="29" t="s">
        <v>573</v>
      </c>
      <c r="E355" s="29" t="s">
        <v>1000</v>
      </c>
      <c r="F355" s="28"/>
      <c r="G355" s="27">
        <v>-777.0</v>
      </c>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row>
    <row r="356" ht="15.75" customHeight="1">
      <c r="A356" s="70" t="s">
        <v>2709</v>
      </c>
      <c r="B356" s="105">
        <v>-999.0</v>
      </c>
      <c r="C356" s="39" t="s">
        <v>106</v>
      </c>
      <c r="D356" s="39" t="s">
        <v>107</v>
      </c>
      <c r="E356" s="39" t="s">
        <v>108</v>
      </c>
      <c r="F356" s="38"/>
      <c r="G356" s="36">
        <v>-999.0</v>
      </c>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row>
    <row r="357" ht="15.75" customHeight="1">
      <c r="A357" s="111"/>
      <c r="B357" s="112"/>
      <c r="C357" s="111"/>
      <c r="D357" s="111"/>
      <c r="E357" s="173"/>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row>
    <row r="358" ht="15.75" customHeight="1">
      <c r="A358" s="123" t="s">
        <v>2822</v>
      </c>
      <c r="B358" s="124">
        <v>1.0</v>
      </c>
      <c r="C358" s="130" t="s">
        <v>2826</v>
      </c>
      <c r="D358" s="250" t="s">
        <v>2826</v>
      </c>
      <c r="E358" s="250" t="s">
        <v>2827</v>
      </c>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row>
    <row r="359" ht="15.75" customHeight="1">
      <c r="A359" s="89" t="s">
        <v>2822</v>
      </c>
      <c r="B359" s="92">
        <v>2.0</v>
      </c>
      <c r="C359" s="29" t="s">
        <v>2834</v>
      </c>
      <c r="D359" s="111" t="s">
        <v>2835</v>
      </c>
      <c r="E359" s="111" t="s">
        <v>2834</v>
      </c>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row>
    <row r="360" ht="15.75" customHeight="1">
      <c r="A360" s="89" t="s">
        <v>2822</v>
      </c>
      <c r="B360" s="92">
        <v>3.0</v>
      </c>
      <c r="C360" s="29" t="s">
        <v>2837</v>
      </c>
      <c r="D360" s="111" t="s">
        <v>2838</v>
      </c>
      <c r="E360" s="111" t="s">
        <v>2840</v>
      </c>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row>
    <row r="361" ht="15.75" customHeight="1">
      <c r="A361" s="70" t="s">
        <v>2822</v>
      </c>
      <c r="B361" s="105">
        <v>4.0</v>
      </c>
      <c r="C361" s="39" t="s">
        <v>2847</v>
      </c>
      <c r="D361" s="107" t="s">
        <v>2848</v>
      </c>
      <c r="E361" s="107" t="s">
        <v>2849</v>
      </c>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row>
    <row r="362" ht="15.75" customHeight="1">
      <c r="A362" s="70" t="s">
        <v>2822</v>
      </c>
      <c r="B362" s="105">
        <v>-777.0</v>
      </c>
      <c r="C362" s="39" t="s">
        <v>570</v>
      </c>
      <c r="D362" s="39" t="s">
        <v>573</v>
      </c>
      <c r="E362" s="39" t="s">
        <v>2113</v>
      </c>
      <c r="F362" s="38"/>
      <c r="G362" s="38"/>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row>
    <row r="363" ht="15.75" customHeight="1">
      <c r="A363" s="111"/>
      <c r="B363" s="112"/>
      <c r="C363" s="111"/>
      <c r="D363" s="111"/>
      <c r="E363" s="173"/>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row>
    <row r="364" ht="15.75" customHeight="1">
      <c r="A364" s="123" t="s">
        <v>2867</v>
      </c>
      <c r="B364" s="124">
        <v>1.0</v>
      </c>
      <c r="C364" s="130" t="s">
        <v>2868</v>
      </c>
      <c r="D364" s="130" t="s">
        <v>2869</v>
      </c>
      <c r="E364" s="130" t="s">
        <v>2870</v>
      </c>
      <c r="F364" s="127"/>
      <c r="G364" s="127"/>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row>
    <row r="365" ht="15.75" customHeight="1">
      <c r="A365" s="89" t="s">
        <v>2867</v>
      </c>
      <c r="B365" s="92">
        <v>2.0</v>
      </c>
      <c r="C365" s="29" t="s">
        <v>2878</v>
      </c>
      <c r="D365" s="29" t="s">
        <v>2879</v>
      </c>
      <c r="E365" s="93" t="s">
        <v>2880</v>
      </c>
      <c r="F365" s="28"/>
      <c r="G365" s="28"/>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row>
    <row r="366" ht="15.75" customHeight="1">
      <c r="A366" s="89" t="s">
        <v>2867</v>
      </c>
      <c r="B366" s="92">
        <v>3.0</v>
      </c>
      <c r="C366" s="29" t="s">
        <v>2888</v>
      </c>
      <c r="D366" s="29" t="s">
        <v>2889</v>
      </c>
      <c r="E366" s="93" t="s">
        <v>2890</v>
      </c>
      <c r="F366" s="28"/>
      <c r="G366" s="28"/>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row>
    <row r="367" ht="15.75" customHeight="1">
      <c r="A367" s="89" t="s">
        <v>2867</v>
      </c>
      <c r="B367" s="251">
        <v>4.0</v>
      </c>
      <c r="C367" s="147" t="s">
        <v>2898</v>
      </c>
      <c r="D367" s="111" t="s">
        <v>2899</v>
      </c>
      <c r="E367" s="173" t="s">
        <v>2900</v>
      </c>
      <c r="F367" s="101"/>
      <c r="G367" s="101"/>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row>
    <row r="368" ht="15.75" customHeight="1">
      <c r="A368" s="70" t="s">
        <v>2867</v>
      </c>
      <c r="B368" s="105">
        <v>-777.0</v>
      </c>
      <c r="C368" s="39" t="s">
        <v>570</v>
      </c>
      <c r="D368" s="39" t="s">
        <v>573</v>
      </c>
      <c r="E368" s="39" t="s">
        <v>574</v>
      </c>
      <c r="F368" s="38"/>
      <c r="G368" s="38"/>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row>
    <row r="369" ht="15.75" customHeight="1">
      <c r="A369" s="70"/>
      <c r="B369" s="39"/>
      <c r="C369" s="39"/>
      <c r="D369" s="39"/>
      <c r="E369" s="39"/>
      <c r="F369" s="38"/>
      <c r="G369" s="38"/>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row>
    <row r="370" ht="15.75" customHeight="1">
      <c r="A370" s="89" t="s">
        <v>2917</v>
      </c>
      <c r="B370" s="92">
        <v>0.0</v>
      </c>
      <c r="C370" s="29" t="s">
        <v>165</v>
      </c>
      <c r="D370" s="29" t="s">
        <v>166</v>
      </c>
      <c r="E370" s="29" t="s">
        <v>168</v>
      </c>
      <c r="F370" s="28"/>
      <c r="G370" s="28"/>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row>
    <row r="371" ht="15.75" customHeight="1">
      <c r="A371" s="89" t="s">
        <v>2917</v>
      </c>
      <c r="B371" s="92">
        <v>1.0</v>
      </c>
      <c r="C371" s="29" t="s">
        <v>2928</v>
      </c>
      <c r="D371" s="29" t="s">
        <v>2929</v>
      </c>
      <c r="E371" s="93" t="s">
        <v>2930</v>
      </c>
      <c r="F371" s="28"/>
      <c r="G371" s="28"/>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row>
    <row r="372" ht="15.75" customHeight="1">
      <c r="A372" s="89" t="s">
        <v>2917</v>
      </c>
      <c r="B372" s="92">
        <v>2.0</v>
      </c>
      <c r="C372" s="29" t="s">
        <v>2933</v>
      </c>
      <c r="D372" s="29" t="s">
        <v>2935</v>
      </c>
      <c r="E372" s="29" t="s">
        <v>2936</v>
      </c>
      <c r="F372" s="28"/>
      <c r="G372" s="28"/>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row>
    <row r="373" ht="15.75" customHeight="1">
      <c r="A373" s="89" t="s">
        <v>2917</v>
      </c>
      <c r="B373" s="92">
        <v>3.0</v>
      </c>
      <c r="C373" s="29" t="s">
        <v>2938</v>
      </c>
      <c r="D373" s="29" t="s">
        <v>2939</v>
      </c>
      <c r="E373" s="93" t="s">
        <v>2940</v>
      </c>
      <c r="F373" s="28"/>
      <c r="G373" s="28"/>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row>
    <row r="374" ht="15.75" customHeight="1">
      <c r="A374" s="89" t="s">
        <v>2917</v>
      </c>
      <c r="B374" s="92">
        <v>4.0</v>
      </c>
      <c r="C374" s="29" t="s">
        <v>2948</v>
      </c>
      <c r="D374" s="29" t="s">
        <v>2950</v>
      </c>
      <c r="E374" s="93" t="s">
        <v>2952</v>
      </c>
      <c r="F374" s="28"/>
      <c r="G374" s="28"/>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row>
    <row r="375" ht="15.75" customHeight="1">
      <c r="A375" s="89" t="s">
        <v>2917</v>
      </c>
      <c r="B375" s="92">
        <v>5.0</v>
      </c>
      <c r="C375" s="29" t="s">
        <v>2957</v>
      </c>
      <c r="D375" s="29" t="s">
        <v>2958</v>
      </c>
      <c r="E375" s="93" t="s">
        <v>2959</v>
      </c>
      <c r="F375" s="28"/>
      <c r="G375" s="28"/>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row>
    <row r="376" ht="15.75" customHeight="1">
      <c r="A376" s="70" t="s">
        <v>2917</v>
      </c>
      <c r="B376" s="105">
        <v>6.0</v>
      </c>
      <c r="C376" s="39" t="s">
        <v>2964</v>
      </c>
      <c r="D376" s="39" t="s">
        <v>2965</v>
      </c>
      <c r="E376" s="78" t="s">
        <v>2967</v>
      </c>
      <c r="F376" s="38"/>
      <c r="G376" s="38"/>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row>
    <row r="377" ht="15.75" customHeight="1">
      <c r="A377" s="70" t="s">
        <v>2917</v>
      </c>
      <c r="B377" s="105">
        <v>-777.0</v>
      </c>
      <c r="C377" s="39" t="s">
        <v>570</v>
      </c>
      <c r="D377" s="39" t="s">
        <v>573</v>
      </c>
      <c r="E377" s="39" t="s">
        <v>2113</v>
      </c>
      <c r="F377" s="38"/>
      <c r="G377" s="38"/>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row>
    <row r="378" ht="15.75" customHeight="1">
      <c r="A378" s="70" t="s">
        <v>2917</v>
      </c>
      <c r="B378" s="105">
        <v>-999.0</v>
      </c>
      <c r="C378" s="39" t="s">
        <v>106</v>
      </c>
      <c r="D378" s="39" t="s">
        <v>107</v>
      </c>
      <c r="E378" s="39" t="s">
        <v>108</v>
      </c>
      <c r="F378" s="38"/>
      <c r="G378" s="38"/>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row>
    <row r="379" ht="15.75" customHeight="1">
      <c r="A379" s="70"/>
      <c r="B379" s="39"/>
      <c r="C379" s="39"/>
      <c r="D379" s="39"/>
      <c r="E379" s="39"/>
      <c r="F379" s="38"/>
      <c r="G379" s="38"/>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row>
    <row r="380" ht="15.75" customHeight="1">
      <c r="A380" s="89" t="s">
        <v>2004</v>
      </c>
      <c r="B380" s="92">
        <v>1.0</v>
      </c>
      <c r="C380" s="29" t="s">
        <v>2005</v>
      </c>
      <c r="D380" s="29" t="s">
        <v>2006</v>
      </c>
      <c r="E380" s="29" t="s">
        <v>2007</v>
      </c>
      <c r="F380" s="28"/>
      <c r="G380" s="28"/>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row>
    <row r="381" ht="15.75" customHeight="1">
      <c r="A381" s="89" t="s">
        <v>2004</v>
      </c>
      <c r="B381" s="92">
        <v>2.0</v>
      </c>
      <c r="C381" s="29" t="s">
        <v>2013</v>
      </c>
      <c r="D381" s="29" t="s">
        <v>2014</v>
      </c>
      <c r="E381" s="29" t="s">
        <v>2015</v>
      </c>
      <c r="F381" s="28"/>
      <c r="G381" s="28"/>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row>
    <row r="382" ht="15.75" customHeight="1">
      <c r="A382" s="89" t="s">
        <v>2004</v>
      </c>
      <c r="B382" s="92">
        <v>3.0</v>
      </c>
      <c r="C382" s="29" t="s">
        <v>2017</v>
      </c>
      <c r="D382" s="29" t="s">
        <v>2018</v>
      </c>
      <c r="E382" s="93" t="s">
        <v>2019</v>
      </c>
      <c r="F382" s="28"/>
      <c r="G382" s="28"/>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row>
    <row r="383" ht="15.75" customHeight="1">
      <c r="A383" s="89" t="s">
        <v>2004</v>
      </c>
      <c r="B383" s="92">
        <v>4.0</v>
      </c>
      <c r="C383" s="29" t="s">
        <v>2026</v>
      </c>
      <c r="D383" s="29" t="s">
        <v>2027</v>
      </c>
      <c r="E383" s="29" t="s">
        <v>2028</v>
      </c>
      <c r="F383" s="28"/>
      <c r="G383" s="28"/>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row>
    <row r="384" ht="15.75" customHeight="1">
      <c r="A384" s="89" t="s">
        <v>2004</v>
      </c>
      <c r="B384" s="92">
        <v>5.0</v>
      </c>
      <c r="C384" s="29" t="s">
        <v>2039</v>
      </c>
      <c r="D384" s="29" t="s">
        <v>2040</v>
      </c>
      <c r="E384" s="29" t="s">
        <v>2041</v>
      </c>
      <c r="F384" s="28"/>
      <c r="G384" s="28"/>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row>
    <row r="385" ht="15.75" customHeight="1">
      <c r="A385" s="89" t="s">
        <v>2004</v>
      </c>
      <c r="B385" s="92">
        <v>6.0</v>
      </c>
      <c r="C385" s="29" t="s">
        <v>2054</v>
      </c>
      <c r="D385" s="29" t="s">
        <v>2055</v>
      </c>
      <c r="E385" s="93" t="s">
        <v>2056</v>
      </c>
      <c r="F385" s="28"/>
      <c r="G385" s="28"/>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row>
    <row r="386" ht="15.75" customHeight="1">
      <c r="A386" s="89" t="s">
        <v>2004</v>
      </c>
      <c r="B386" s="92">
        <v>7.0</v>
      </c>
      <c r="C386" s="29" t="s">
        <v>2061</v>
      </c>
      <c r="D386" s="29" t="s">
        <v>3031</v>
      </c>
      <c r="E386" s="29" t="s">
        <v>2065</v>
      </c>
      <c r="F386" s="28"/>
      <c r="G386" s="28"/>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row>
    <row r="387" ht="15.75" customHeight="1">
      <c r="A387" s="89" t="s">
        <v>2004</v>
      </c>
      <c r="B387" s="92">
        <v>8.0</v>
      </c>
      <c r="C387" s="29" t="s">
        <v>2070</v>
      </c>
      <c r="D387" s="29" t="s">
        <v>2070</v>
      </c>
      <c r="E387" s="29" t="s">
        <v>2071</v>
      </c>
      <c r="F387" s="28"/>
      <c r="G387" s="28"/>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row>
    <row r="388" ht="15.75" customHeight="1">
      <c r="A388" s="89" t="s">
        <v>2004</v>
      </c>
      <c r="B388" s="92">
        <v>9.0</v>
      </c>
      <c r="C388" s="29" t="s">
        <v>2075</v>
      </c>
      <c r="D388" s="29" t="s">
        <v>2076</v>
      </c>
      <c r="E388" s="93" t="s">
        <v>2078</v>
      </c>
      <c r="F388" s="28"/>
      <c r="G388" s="28"/>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row>
    <row r="389" ht="15.75" customHeight="1">
      <c r="A389" s="89" t="s">
        <v>2004</v>
      </c>
      <c r="B389" s="92">
        <v>10.0</v>
      </c>
      <c r="C389" s="29" t="s">
        <v>2082</v>
      </c>
      <c r="D389" s="29" t="s">
        <v>2083</v>
      </c>
      <c r="E389" s="29" t="s">
        <v>2085</v>
      </c>
      <c r="F389" s="28"/>
      <c r="G389" s="28"/>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row>
    <row r="390" ht="15.75" customHeight="1">
      <c r="A390" s="89" t="s">
        <v>2004</v>
      </c>
      <c r="B390" s="92">
        <v>11.0</v>
      </c>
      <c r="C390" s="29" t="s">
        <v>2093</v>
      </c>
      <c r="D390" s="29" t="s">
        <v>2094</v>
      </c>
      <c r="E390" s="93" t="s">
        <v>2096</v>
      </c>
      <c r="F390" s="28"/>
      <c r="G390" s="28"/>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row>
    <row r="391" ht="15.75" customHeight="1">
      <c r="A391" s="89" t="s">
        <v>2004</v>
      </c>
      <c r="B391" s="92">
        <v>12.0</v>
      </c>
      <c r="C391" s="29" t="s">
        <v>2103</v>
      </c>
      <c r="D391" s="29" t="s">
        <v>2104</v>
      </c>
      <c r="E391" s="29" t="s">
        <v>2105</v>
      </c>
      <c r="F391" s="28"/>
      <c r="G391" s="28"/>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row>
    <row r="392" ht="15.75" customHeight="1">
      <c r="A392" s="70" t="s">
        <v>2004</v>
      </c>
      <c r="B392" s="105">
        <v>-777.0</v>
      </c>
      <c r="C392" s="39" t="s">
        <v>570</v>
      </c>
      <c r="D392" s="39" t="s">
        <v>573</v>
      </c>
      <c r="E392" s="39" t="s">
        <v>2113</v>
      </c>
      <c r="F392" s="38"/>
      <c r="G392" s="38"/>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row>
    <row r="393" ht="15.75" customHeight="1">
      <c r="A393" s="70"/>
      <c r="B393" s="39"/>
      <c r="C393" s="39"/>
      <c r="D393" s="39"/>
      <c r="E393" s="39"/>
      <c r="F393" s="38"/>
      <c r="G393" s="38"/>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row>
    <row r="394" ht="15.75" customHeight="1">
      <c r="A394" s="89" t="s">
        <v>3085</v>
      </c>
      <c r="B394" s="92">
        <v>1.0</v>
      </c>
      <c r="C394" s="29" t="s">
        <v>3089</v>
      </c>
      <c r="D394" s="29" t="s">
        <v>3090</v>
      </c>
      <c r="E394" s="93" t="s">
        <v>3091</v>
      </c>
      <c r="F394" s="28"/>
      <c r="G394" s="28"/>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row>
    <row r="395" ht="15.75" customHeight="1">
      <c r="A395" s="89" t="s">
        <v>3085</v>
      </c>
      <c r="B395" s="92">
        <v>2.0</v>
      </c>
      <c r="C395" s="29" t="s">
        <v>3098</v>
      </c>
      <c r="D395" s="29" t="s">
        <v>3099</v>
      </c>
      <c r="E395" s="93" t="s">
        <v>3102</v>
      </c>
      <c r="F395" s="28"/>
      <c r="G395" s="28"/>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row>
    <row r="396" ht="15.75" customHeight="1">
      <c r="A396" s="89" t="s">
        <v>3085</v>
      </c>
      <c r="B396" s="92">
        <v>3.0</v>
      </c>
      <c r="C396" s="29" t="s">
        <v>3113</v>
      </c>
      <c r="D396" s="29" t="s">
        <v>3117</v>
      </c>
      <c r="E396" s="93" t="s">
        <v>3118</v>
      </c>
      <c r="F396" s="28"/>
      <c r="G396" s="28"/>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row>
    <row r="397" ht="15.75" customHeight="1">
      <c r="A397" s="89" t="s">
        <v>3085</v>
      </c>
      <c r="B397" s="92">
        <v>4.0</v>
      </c>
      <c r="C397" s="29" t="s">
        <v>3132</v>
      </c>
      <c r="D397" s="29" t="s">
        <v>3133</v>
      </c>
      <c r="E397" s="93" t="s">
        <v>3134</v>
      </c>
      <c r="F397" s="161"/>
      <c r="G397" s="28"/>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row>
    <row r="398" ht="15.75" customHeight="1">
      <c r="A398" s="89" t="s">
        <v>3085</v>
      </c>
      <c r="B398" s="92">
        <v>5.0</v>
      </c>
      <c r="C398" s="29" t="s">
        <v>3143</v>
      </c>
      <c r="D398" s="29" t="s">
        <v>3144</v>
      </c>
      <c r="E398" s="29" t="s">
        <v>3145</v>
      </c>
      <c r="F398" s="28"/>
      <c r="G398" s="28"/>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row>
    <row r="399" ht="15.75" customHeight="1">
      <c r="A399" s="70" t="s">
        <v>3085</v>
      </c>
      <c r="B399" s="105">
        <v>-777.0</v>
      </c>
      <c r="C399" s="39" t="s">
        <v>570</v>
      </c>
      <c r="D399" s="39" t="s">
        <v>573</v>
      </c>
      <c r="E399" s="39" t="s">
        <v>2113</v>
      </c>
      <c r="F399" s="38"/>
      <c r="G399" s="38"/>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row>
    <row r="400" ht="15.75" customHeight="1">
      <c r="A400" s="70"/>
      <c r="B400" s="39"/>
      <c r="C400" s="39"/>
      <c r="D400" s="39"/>
      <c r="E400" s="39"/>
      <c r="F400" s="38"/>
      <c r="G400" s="38"/>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row>
    <row r="401" ht="15.75" customHeight="1">
      <c r="A401" s="70"/>
      <c r="B401" s="39"/>
      <c r="C401" s="39"/>
      <c r="D401" s="39"/>
      <c r="E401" s="39"/>
      <c r="F401" s="38"/>
      <c r="G401" s="38"/>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row>
    <row r="402" ht="15.75" customHeight="1">
      <c r="A402" s="89" t="s">
        <v>3177</v>
      </c>
      <c r="B402" s="92">
        <v>1.0</v>
      </c>
      <c r="C402" s="29" t="s">
        <v>3180</v>
      </c>
      <c r="D402" s="29" t="s">
        <v>3181</v>
      </c>
      <c r="E402" s="29" t="s">
        <v>3182</v>
      </c>
      <c r="F402" s="28"/>
      <c r="G402" s="28"/>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row>
    <row r="403" ht="15.75" customHeight="1">
      <c r="A403" s="89" t="s">
        <v>3177</v>
      </c>
      <c r="B403" s="92">
        <v>2.0</v>
      </c>
      <c r="C403" s="29" t="s">
        <v>3186</v>
      </c>
      <c r="D403" s="29" t="s">
        <v>3187</v>
      </c>
      <c r="E403" s="93" t="s">
        <v>3188</v>
      </c>
      <c r="F403" s="161"/>
      <c r="G403" s="28"/>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row>
    <row r="404" ht="15.75" customHeight="1">
      <c r="A404" s="89" t="s">
        <v>3177</v>
      </c>
      <c r="B404" s="92">
        <v>3.0</v>
      </c>
      <c r="C404" s="29" t="s">
        <v>3198</v>
      </c>
      <c r="D404" s="29" t="s">
        <v>3199</v>
      </c>
      <c r="E404" s="93" t="s">
        <v>3200</v>
      </c>
      <c r="F404" s="161"/>
      <c r="G404" s="28"/>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row>
    <row r="405" ht="15.75" customHeight="1">
      <c r="A405" s="70" t="s">
        <v>3177</v>
      </c>
      <c r="B405" s="105">
        <v>4.0</v>
      </c>
      <c r="C405" s="39" t="s">
        <v>3205</v>
      </c>
      <c r="D405" s="39" t="s">
        <v>3206</v>
      </c>
      <c r="E405" s="78" t="s">
        <v>3208</v>
      </c>
      <c r="F405" s="38"/>
      <c r="G405" s="38"/>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row>
    <row r="406" ht="15.75" customHeight="1">
      <c r="A406" s="70"/>
      <c r="B406" s="39"/>
      <c r="C406" s="39"/>
      <c r="D406" s="39"/>
      <c r="E406" s="39"/>
      <c r="F406" s="38"/>
      <c r="G406" s="38"/>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row>
    <row r="407" ht="15.75" customHeight="1">
      <c r="A407" s="89" t="s">
        <v>3232</v>
      </c>
      <c r="B407" s="92">
        <v>1.0</v>
      </c>
      <c r="C407" s="29" t="s">
        <v>3233</v>
      </c>
      <c r="D407" s="29" t="s">
        <v>3234</v>
      </c>
      <c r="E407" s="29" t="s">
        <v>3235</v>
      </c>
      <c r="F407" s="28"/>
      <c r="G407" s="28"/>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row>
    <row r="408" ht="15.75" customHeight="1">
      <c r="A408" s="89" t="s">
        <v>3232</v>
      </c>
      <c r="B408" s="92">
        <v>2.0</v>
      </c>
      <c r="C408" s="29" t="s">
        <v>3239</v>
      </c>
      <c r="D408" s="29" t="s">
        <v>3242</v>
      </c>
      <c r="E408" s="93" t="s">
        <v>3244</v>
      </c>
      <c r="F408" s="161"/>
      <c r="G408" s="161"/>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row>
    <row r="409" ht="15.75" customHeight="1">
      <c r="A409" s="89" t="s">
        <v>3232</v>
      </c>
      <c r="B409" s="92">
        <v>3.0</v>
      </c>
      <c r="C409" s="29" t="s">
        <v>3251</v>
      </c>
      <c r="D409" s="29" t="s">
        <v>3252</v>
      </c>
      <c r="E409" s="93" t="s">
        <v>3253</v>
      </c>
      <c r="F409" s="28"/>
      <c r="G409" s="28"/>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row>
    <row r="410" ht="15.75" customHeight="1">
      <c r="A410" s="89" t="s">
        <v>3232</v>
      </c>
      <c r="B410" s="92">
        <v>4.0</v>
      </c>
      <c r="C410" s="29" t="s">
        <v>3266</v>
      </c>
      <c r="D410" s="29" t="s">
        <v>3267</v>
      </c>
      <c r="E410" s="29" t="s">
        <v>3268</v>
      </c>
      <c r="F410" s="28"/>
      <c r="G410" s="28"/>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row>
    <row r="411" ht="15.75" customHeight="1">
      <c r="A411" s="89" t="s">
        <v>3232</v>
      </c>
      <c r="B411" s="92">
        <v>5.0</v>
      </c>
      <c r="C411" s="29" t="s">
        <v>3279</v>
      </c>
      <c r="D411" s="93" t="s">
        <v>3280</v>
      </c>
      <c r="E411" s="29"/>
      <c r="F411" s="28"/>
      <c r="G411" s="28"/>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row>
    <row r="412" ht="15.75" customHeight="1">
      <c r="A412" s="89" t="s">
        <v>3232</v>
      </c>
      <c r="B412" s="92">
        <v>8.0</v>
      </c>
      <c r="C412" s="29" t="s">
        <v>3293</v>
      </c>
      <c r="D412" s="29" t="s">
        <v>3294</v>
      </c>
      <c r="E412" s="93" t="s">
        <v>3295</v>
      </c>
      <c r="F412" s="161"/>
      <c r="G412" s="28"/>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row>
    <row r="413" ht="15.75" customHeight="1">
      <c r="A413" s="70" t="s">
        <v>3232</v>
      </c>
      <c r="B413" s="105">
        <v>-777.0</v>
      </c>
      <c r="C413" s="39" t="s">
        <v>3306</v>
      </c>
      <c r="D413" s="39" t="s">
        <v>3307</v>
      </c>
      <c r="E413" s="39" t="s">
        <v>2113</v>
      </c>
      <c r="F413" s="38"/>
      <c r="G413" s="38"/>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row>
    <row r="414" ht="15.75" customHeight="1">
      <c r="A414" s="70"/>
      <c r="B414" s="39"/>
      <c r="C414" s="39"/>
      <c r="D414" s="39"/>
      <c r="E414" s="39"/>
      <c r="F414" s="38"/>
      <c r="G414" s="38"/>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row>
    <row r="415" ht="15.75" customHeight="1">
      <c r="A415" s="89" t="s">
        <v>3331</v>
      </c>
      <c r="B415" s="92">
        <v>0.0</v>
      </c>
      <c r="C415" s="29" t="s">
        <v>3332</v>
      </c>
      <c r="D415" s="29" t="s">
        <v>3333</v>
      </c>
      <c r="E415" s="93" t="s">
        <v>3334</v>
      </c>
      <c r="F415" s="28"/>
      <c r="G415" s="28"/>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row>
    <row r="416" ht="15.75" customHeight="1">
      <c r="A416" s="89" t="s">
        <v>3331</v>
      </c>
      <c r="B416" s="92">
        <v>1.0</v>
      </c>
      <c r="C416" s="29" t="s">
        <v>3342</v>
      </c>
      <c r="D416" s="29" t="s">
        <v>3343</v>
      </c>
      <c r="E416" s="93" t="s">
        <v>3344</v>
      </c>
      <c r="F416" s="161"/>
      <c r="G416" s="28"/>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row>
    <row r="417" ht="15.75" customHeight="1">
      <c r="A417" s="89" t="s">
        <v>3331</v>
      </c>
      <c r="B417" s="92">
        <v>2.0</v>
      </c>
      <c r="C417" s="29" t="s">
        <v>3351</v>
      </c>
      <c r="D417" s="29" t="s">
        <v>3352</v>
      </c>
      <c r="E417" s="93" t="s">
        <v>3353</v>
      </c>
      <c r="F417" s="28"/>
      <c r="G417" s="28"/>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row>
    <row r="418" ht="15.75" customHeight="1">
      <c r="A418" s="89" t="s">
        <v>3331</v>
      </c>
      <c r="B418" s="92">
        <v>3.0</v>
      </c>
      <c r="C418" s="29" t="s">
        <v>3363</v>
      </c>
      <c r="D418" s="29" t="s">
        <v>3364</v>
      </c>
      <c r="E418" s="93" t="s">
        <v>3367</v>
      </c>
      <c r="F418" s="28"/>
      <c r="G418" s="28"/>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row>
    <row r="419" ht="15.75" customHeight="1">
      <c r="A419" s="89" t="s">
        <v>3331</v>
      </c>
      <c r="B419" s="92">
        <v>4.0</v>
      </c>
      <c r="C419" s="29" t="s">
        <v>3376</v>
      </c>
      <c r="D419" s="29" t="s">
        <v>3377</v>
      </c>
      <c r="E419" s="29" t="s">
        <v>3378</v>
      </c>
      <c r="F419" s="28"/>
      <c r="G419" s="28"/>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row>
    <row r="420" ht="15.75" customHeight="1">
      <c r="A420" s="89" t="s">
        <v>3331</v>
      </c>
      <c r="B420" s="92">
        <v>5.0</v>
      </c>
      <c r="C420" s="29" t="s">
        <v>3383</v>
      </c>
      <c r="D420" s="29" t="s">
        <v>3384</v>
      </c>
      <c r="E420" s="93" t="s">
        <v>3385</v>
      </c>
      <c r="F420" s="161"/>
      <c r="G420" s="28"/>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row>
    <row r="421" ht="15.75" customHeight="1">
      <c r="A421" s="89" t="s">
        <v>3331</v>
      </c>
      <c r="B421" s="92">
        <v>6.0</v>
      </c>
      <c r="C421" s="29" t="s">
        <v>3396</v>
      </c>
      <c r="D421" s="29" t="s">
        <v>3397</v>
      </c>
      <c r="E421" s="29" t="s">
        <v>3398</v>
      </c>
      <c r="F421" s="28"/>
      <c r="G421" s="28"/>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row>
    <row r="422" ht="15.75" customHeight="1">
      <c r="A422" s="70" t="s">
        <v>3331</v>
      </c>
      <c r="B422" s="105">
        <v>7.0</v>
      </c>
      <c r="C422" s="39" t="s">
        <v>3405</v>
      </c>
      <c r="D422" s="39" t="s">
        <v>3407</v>
      </c>
      <c r="E422" s="78" t="s">
        <v>3408</v>
      </c>
      <c r="F422" s="38"/>
      <c r="G422" s="38"/>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row>
    <row r="423" ht="15.75" customHeight="1">
      <c r="A423" s="111"/>
      <c r="B423" s="112"/>
      <c r="C423" s="111"/>
      <c r="D423" s="111"/>
      <c r="E423" s="173"/>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row>
    <row r="424" ht="15.75" customHeight="1">
      <c r="A424" s="89" t="s">
        <v>587</v>
      </c>
      <c r="B424" s="89">
        <v>1.0</v>
      </c>
      <c r="C424" s="89" t="s">
        <v>590</v>
      </c>
      <c r="D424" s="89" t="s">
        <v>592</v>
      </c>
      <c r="E424" s="89" t="s">
        <v>593</v>
      </c>
      <c r="F424" s="127"/>
      <c r="G424" s="127"/>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row>
    <row r="425" ht="15.75" customHeight="1">
      <c r="A425" s="89" t="s">
        <v>587</v>
      </c>
      <c r="B425" s="89">
        <v>2.0</v>
      </c>
      <c r="C425" s="89" t="s">
        <v>600</v>
      </c>
      <c r="D425" s="89" t="s">
        <v>602</v>
      </c>
      <c r="E425" s="89" t="s">
        <v>603</v>
      </c>
      <c r="F425" s="28"/>
      <c r="G425" s="28"/>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row>
    <row r="426" ht="15.75" customHeight="1">
      <c r="A426" s="89" t="s">
        <v>587</v>
      </c>
      <c r="B426" s="89">
        <v>3.0</v>
      </c>
      <c r="C426" s="89" t="s">
        <v>609</v>
      </c>
      <c r="D426" s="89" t="s">
        <v>610</v>
      </c>
      <c r="E426" s="89" t="s">
        <v>614</v>
      </c>
      <c r="F426" s="38"/>
      <c r="G426" s="38"/>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row>
    <row r="427" ht="15.75" customHeight="1">
      <c r="A427" s="89"/>
      <c r="B427" s="89"/>
      <c r="C427" s="89"/>
      <c r="D427" s="89"/>
      <c r="E427" s="89"/>
      <c r="F427" s="38"/>
      <c r="G427" s="38"/>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row>
    <row r="428" ht="15.75" customHeight="1">
      <c r="A428" s="89" t="s">
        <v>623</v>
      </c>
      <c r="B428" s="89">
        <v>1.0</v>
      </c>
      <c r="C428" s="89" t="s">
        <v>624</v>
      </c>
      <c r="D428" s="89" t="s">
        <v>624</v>
      </c>
      <c r="E428" s="89" t="s">
        <v>626</v>
      </c>
      <c r="F428" s="28"/>
      <c r="G428" s="28"/>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row>
    <row r="429" ht="15.75" customHeight="1">
      <c r="A429" s="89" t="s">
        <v>623</v>
      </c>
      <c r="B429" s="89">
        <v>2.0</v>
      </c>
      <c r="C429" s="89" t="s">
        <v>635</v>
      </c>
      <c r="D429" s="89" t="s">
        <v>638</v>
      </c>
      <c r="E429" s="89" t="s">
        <v>639</v>
      </c>
      <c r="F429" s="28"/>
      <c r="G429" s="28"/>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row>
    <row r="430" ht="15.75" customHeight="1">
      <c r="A430" s="89" t="s">
        <v>623</v>
      </c>
      <c r="B430" s="89">
        <v>3.0</v>
      </c>
      <c r="C430" s="89" t="s">
        <v>648</v>
      </c>
      <c r="D430" s="89" t="s">
        <v>649</v>
      </c>
      <c r="E430" s="89" t="s">
        <v>650</v>
      </c>
      <c r="F430" s="38"/>
      <c r="G430" s="38"/>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row>
    <row r="431" ht="15.75" customHeight="1">
      <c r="A431" s="89"/>
      <c r="B431" s="89"/>
      <c r="C431" s="89"/>
      <c r="D431" s="89"/>
      <c r="E431" s="89"/>
      <c r="F431" s="38"/>
      <c r="G431" s="38"/>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row>
    <row r="432" ht="15.75" customHeight="1">
      <c r="A432" s="89" t="s">
        <v>3472</v>
      </c>
      <c r="B432" s="89">
        <v>1.0</v>
      </c>
      <c r="C432" s="89" t="s">
        <v>3477</v>
      </c>
      <c r="D432" s="89" t="s">
        <v>3480</v>
      </c>
      <c r="E432" s="89" t="s">
        <v>3481</v>
      </c>
      <c r="F432" s="28"/>
      <c r="G432" s="28"/>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row>
    <row r="433" ht="15.75" customHeight="1">
      <c r="A433" s="89" t="s">
        <v>3472</v>
      </c>
      <c r="B433" s="89">
        <v>2.0</v>
      </c>
      <c r="C433" s="89" t="s">
        <v>3482</v>
      </c>
      <c r="D433" s="89" t="s">
        <v>3483</v>
      </c>
      <c r="E433" s="89" t="s">
        <v>3484</v>
      </c>
      <c r="F433" s="28"/>
      <c r="G433" s="28"/>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row>
    <row r="434" ht="15.75" customHeight="1">
      <c r="A434" s="89" t="s">
        <v>3472</v>
      </c>
      <c r="B434" s="89">
        <v>3.0</v>
      </c>
      <c r="C434" s="89" t="s">
        <v>3491</v>
      </c>
      <c r="D434" s="89" t="s">
        <v>3494</v>
      </c>
      <c r="E434" s="89" t="s">
        <v>3496</v>
      </c>
      <c r="F434" s="38"/>
      <c r="G434" s="38"/>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row>
    <row r="435" ht="15.75" customHeight="1">
      <c r="A435" s="89"/>
      <c r="B435" s="89"/>
      <c r="C435" s="89"/>
      <c r="D435" s="89"/>
      <c r="E435" s="89"/>
      <c r="F435" s="38"/>
      <c r="G435" s="38"/>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row>
    <row r="436" ht="15.75" customHeight="1">
      <c r="A436" s="89" t="s">
        <v>3511</v>
      </c>
      <c r="B436" s="89">
        <v>1.0</v>
      </c>
      <c r="C436" s="89" t="s">
        <v>3512</v>
      </c>
      <c r="D436" s="89" t="s">
        <v>3513</v>
      </c>
      <c r="E436" s="89" t="s">
        <v>3514</v>
      </c>
      <c r="F436" s="28"/>
      <c r="G436" s="28"/>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row>
    <row r="437" ht="15.75" customHeight="1">
      <c r="A437" s="89" t="s">
        <v>3511</v>
      </c>
      <c r="B437" s="89">
        <v>2.0</v>
      </c>
      <c r="C437" s="89" t="s">
        <v>3523</v>
      </c>
      <c r="D437" s="89" t="s">
        <v>3524</v>
      </c>
      <c r="E437" s="89" t="s">
        <v>3525</v>
      </c>
      <c r="F437" s="28"/>
      <c r="G437" s="28"/>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row>
    <row r="438" ht="15.75" customHeight="1">
      <c r="A438" s="89" t="s">
        <v>3511</v>
      </c>
      <c r="B438" s="89">
        <v>3.0</v>
      </c>
      <c r="C438" s="89" t="s">
        <v>3526</v>
      </c>
      <c r="D438" s="89" t="s">
        <v>3527</v>
      </c>
      <c r="E438" s="89" t="s">
        <v>3528</v>
      </c>
      <c r="F438" s="28"/>
      <c r="G438" s="28"/>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row>
    <row r="439" ht="15.75" customHeight="1">
      <c r="A439" s="89" t="s">
        <v>3511</v>
      </c>
      <c r="B439" s="89">
        <v>4.0</v>
      </c>
      <c r="C439" s="89" t="s">
        <v>3536</v>
      </c>
      <c r="D439" s="89" t="s">
        <v>3540</v>
      </c>
      <c r="E439" s="89" t="s">
        <v>3541</v>
      </c>
      <c r="F439" s="129"/>
      <c r="G439" s="38"/>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row>
    <row r="440" ht="15.75" customHeight="1">
      <c r="A440" s="89"/>
      <c r="B440" s="89"/>
      <c r="C440" s="89"/>
      <c r="D440" s="89"/>
      <c r="E440" s="89"/>
      <c r="F440" s="38"/>
      <c r="G440" s="38"/>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row>
    <row r="441" ht="15.75" customHeight="1">
      <c r="A441" s="89" t="s">
        <v>3554</v>
      </c>
      <c r="B441" s="89">
        <v>1.0</v>
      </c>
      <c r="C441" s="89" t="s">
        <v>3555</v>
      </c>
      <c r="D441" s="89" t="s">
        <v>3556</v>
      </c>
      <c r="E441" s="89" t="s">
        <v>3557</v>
      </c>
      <c r="F441" s="28"/>
      <c r="G441" s="28"/>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row>
    <row r="442" ht="15.75" customHeight="1">
      <c r="A442" s="89" t="s">
        <v>3554</v>
      </c>
      <c r="B442" s="89">
        <v>2.0</v>
      </c>
      <c r="C442" s="89" t="s">
        <v>3567</v>
      </c>
      <c r="D442" s="89" t="s">
        <v>3569</v>
      </c>
      <c r="E442" s="89" t="s">
        <v>3571</v>
      </c>
      <c r="F442" s="38"/>
      <c r="G442" s="38"/>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row>
    <row r="443" ht="15.75" customHeight="1">
      <c r="A443" s="111"/>
      <c r="B443" s="112"/>
      <c r="C443" s="111"/>
      <c r="D443" s="111"/>
      <c r="E443" s="173"/>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row>
    <row r="444" ht="15.75" customHeight="1">
      <c r="A444" s="123" t="s">
        <v>3582</v>
      </c>
      <c r="B444" s="124">
        <v>1.0</v>
      </c>
      <c r="C444" s="130" t="s">
        <v>3583</v>
      </c>
      <c r="D444" s="130" t="s">
        <v>3584</v>
      </c>
      <c r="E444" s="130" t="s">
        <v>3585</v>
      </c>
      <c r="F444" s="127"/>
      <c r="G444" s="127"/>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row>
    <row r="445" ht="15.75" customHeight="1">
      <c r="A445" s="89" t="s">
        <v>3582</v>
      </c>
      <c r="B445" s="92">
        <v>2.0</v>
      </c>
      <c r="C445" s="29" t="s">
        <v>3590</v>
      </c>
      <c r="D445" s="29" t="s">
        <v>3592</v>
      </c>
      <c r="E445" s="29" t="s">
        <v>3593</v>
      </c>
      <c r="F445" s="28"/>
      <c r="G445" s="28"/>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row>
    <row r="446" ht="15.75" customHeight="1">
      <c r="A446" s="89" t="s">
        <v>3582</v>
      </c>
      <c r="B446" s="92">
        <v>3.0</v>
      </c>
      <c r="C446" s="29" t="s">
        <v>3599</v>
      </c>
      <c r="D446" s="29" t="s">
        <v>3600</v>
      </c>
      <c r="E446" s="93" t="s">
        <v>3601</v>
      </c>
      <c r="F446" s="28"/>
      <c r="G446" s="28"/>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row>
    <row r="447" ht="15.75" customHeight="1">
      <c r="A447" s="89" t="s">
        <v>3582</v>
      </c>
      <c r="B447" s="92">
        <v>-777.0</v>
      </c>
      <c r="C447" s="29" t="s">
        <v>570</v>
      </c>
      <c r="D447" s="29" t="s">
        <v>573</v>
      </c>
      <c r="E447" s="29" t="s">
        <v>574</v>
      </c>
      <c r="F447" s="28"/>
      <c r="G447" s="28"/>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row>
    <row r="448" ht="15.75" customHeight="1">
      <c r="A448" s="70" t="s">
        <v>3582</v>
      </c>
      <c r="B448" s="105">
        <v>0.0</v>
      </c>
      <c r="C448" s="39" t="s">
        <v>165</v>
      </c>
      <c r="D448" s="39" t="s">
        <v>166</v>
      </c>
      <c r="E448" s="39" t="s">
        <v>168</v>
      </c>
      <c r="F448" s="38"/>
      <c r="G448" s="38"/>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row>
    <row r="449" ht="15.75" customHeight="1">
      <c r="A449" s="111"/>
      <c r="B449" s="112"/>
      <c r="C449" s="111"/>
      <c r="D449" s="111"/>
      <c r="E449" s="173"/>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row>
    <row r="450" ht="15.75" customHeight="1">
      <c r="A450" s="123" t="s">
        <v>3631</v>
      </c>
      <c r="B450" s="124">
        <v>0.0</v>
      </c>
      <c r="C450" s="130" t="s">
        <v>3633</v>
      </c>
      <c r="D450" s="130" t="s">
        <v>3635</v>
      </c>
      <c r="E450" s="174" t="s">
        <v>3637</v>
      </c>
      <c r="F450" s="127"/>
      <c r="G450" s="127"/>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row>
    <row r="451" ht="15.75" customHeight="1">
      <c r="A451" s="89" t="s">
        <v>3631</v>
      </c>
      <c r="B451" s="92">
        <v>1.0</v>
      </c>
      <c r="C451" s="29" t="s">
        <v>3642</v>
      </c>
      <c r="D451" s="29" t="s">
        <v>3643</v>
      </c>
      <c r="E451" s="29" t="s">
        <v>3644</v>
      </c>
      <c r="F451" s="28"/>
      <c r="G451" s="28"/>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row>
    <row r="452" ht="15.75" customHeight="1">
      <c r="A452" s="70" t="s">
        <v>3631</v>
      </c>
      <c r="B452" s="105">
        <v>2.0</v>
      </c>
      <c r="C452" s="39" t="s">
        <v>3654</v>
      </c>
      <c r="D452" s="39" t="s">
        <v>3655</v>
      </c>
      <c r="E452" s="39" t="s">
        <v>3656</v>
      </c>
      <c r="F452" s="38"/>
      <c r="G452" s="38"/>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row>
    <row r="453" ht="15.75" customHeight="1">
      <c r="A453" s="111"/>
      <c r="B453" s="112"/>
      <c r="C453" s="111"/>
      <c r="D453" s="111"/>
      <c r="E453" s="173"/>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row>
    <row r="454" ht="15.75" customHeight="1">
      <c r="A454" s="111"/>
      <c r="B454" s="112"/>
      <c r="C454" s="111"/>
      <c r="D454" s="111"/>
      <c r="E454" s="173"/>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row>
    <row r="455" ht="15.75" customHeight="1">
      <c r="A455" s="70"/>
      <c r="B455" s="39"/>
      <c r="C455" s="39"/>
      <c r="D455" s="39"/>
      <c r="E455" s="39"/>
      <c r="F455" s="38"/>
      <c r="G455" s="38"/>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row>
    <row r="456" ht="15.75" customHeight="1">
      <c r="A456" s="89" t="s">
        <v>3680</v>
      </c>
      <c r="B456" s="92">
        <v>1.0</v>
      </c>
      <c r="C456" s="29" t="s">
        <v>3681</v>
      </c>
      <c r="D456" s="29" t="s">
        <v>3682</v>
      </c>
      <c r="E456" s="29" t="s">
        <v>3683</v>
      </c>
      <c r="F456" s="28"/>
      <c r="G456" s="28"/>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row>
    <row r="457" ht="15.75" customHeight="1">
      <c r="A457" s="89" t="s">
        <v>3680</v>
      </c>
      <c r="B457" s="92">
        <v>2.0</v>
      </c>
      <c r="C457" s="29" t="s">
        <v>3691</v>
      </c>
      <c r="D457" s="29" t="s">
        <v>3693</v>
      </c>
      <c r="E457" s="93" t="s">
        <v>3695</v>
      </c>
      <c r="F457" s="28"/>
      <c r="G457" s="28"/>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row>
    <row r="458" ht="15.75" customHeight="1">
      <c r="A458" s="89" t="s">
        <v>3680</v>
      </c>
      <c r="B458" s="92">
        <v>3.0</v>
      </c>
      <c r="C458" s="29" t="s">
        <v>3703</v>
      </c>
      <c r="D458" s="29" t="s">
        <v>3704</v>
      </c>
      <c r="E458" s="93" t="s">
        <v>3705</v>
      </c>
      <c r="F458" s="161"/>
      <c r="G458" s="28"/>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row>
    <row r="459" ht="15.75" customHeight="1">
      <c r="A459" s="89" t="s">
        <v>3680</v>
      </c>
      <c r="B459" s="92">
        <v>4.0</v>
      </c>
      <c r="C459" s="29" t="s">
        <v>3713</v>
      </c>
      <c r="D459" s="29" t="s">
        <v>3715</v>
      </c>
      <c r="E459" s="29" t="s">
        <v>3716</v>
      </c>
      <c r="F459" s="28"/>
      <c r="G459" s="28"/>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row>
    <row r="460" ht="15.75" customHeight="1">
      <c r="A460" s="70" t="s">
        <v>3680</v>
      </c>
      <c r="B460" s="105">
        <v>5.0</v>
      </c>
      <c r="C460" s="39" t="s">
        <v>3735</v>
      </c>
      <c r="D460" s="39" t="s">
        <v>3736</v>
      </c>
      <c r="E460" s="39" t="s">
        <v>3737</v>
      </c>
      <c r="F460" s="38"/>
      <c r="G460" s="38"/>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row>
    <row r="461" ht="15.75" customHeight="1">
      <c r="A461" s="70"/>
      <c r="B461" s="39"/>
      <c r="C461" s="39"/>
      <c r="D461" s="39"/>
      <c r="E461" s="39"/>
      <c r="F461" s="38"/>
      <c r="G461" s="38"/>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row>
    <row r="462" ht="15.75" customHeight="1">
      <c r="A462" s="89" t="s">
        <v>3744</v>
      </c>
      <c r="B462" s="92">
        <v>1.0</v>
      </c>
      <c r="C462" s="29" t="s">
        <v>3745</v>
      </c>
      <c r="D462" s="29" t="s">
        <v>3747</v>
      </c>
      <c r="E462" s="93" t="s">
        <v>3749</v>
      </c>
      <c r="F462" s="28"/>
      <c r="G462" s="28"/>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row>
    <row r="463" ht="15.75" customHeight="1">
      <c r="A463" s="89" t="s">
        <v>3744</v>
      </c>
      <c r="B463" s="92">
        <v>2.0</v>
      </c>
      <c r="C463" s="29" t="s">
        <v>3758</v>
      </c>
      <c r="D463" s="29" t="s">
        <v>3759</v>
      </c>
      <c r="E463" s="29" t="s">
        <v>3760</v>
      </c>
      <c r="F463" s="28"/>
      <c r="G463" s="28"/>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row>
    <row r="464" ht="15.75" customHeight="1">
      <c r="A464" s="89" t="s">
        <v>3744</v>
      </c>
      <c r="B464" s="92">
        <v>3.0</v>
      </c>
      <c r="C464" s="29" t="s">
        <v>3767</v>
      </c>
      <c r="D464" s="29" t="s">
        <v>3768</v>
      </c>
      <c r="E464" s="93" t="s">
        <v>3770</v>
      </c>
      <c r="F464" s="28"/>
      <c r="G464" s="28"/>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row>
    <row r="465" ht="15.75" customHeight="1">
      <c r="A465" s="89" t="s">
        <v>3744</v>
      </c>
      <c r="B465" s="92">
        <v>4.0</v>
      </c>
      <c r="C465" s="29" t="s">
        <v>3774</v>
      </c>
      <c r="D465" s="29" t="s">
        <v>3775</v>
      </c>
      <c r="E465" s="29" t="s">
        <v>3776</v>
      </c>
      <c r="F465" s="28"/>
      <c r="G465" s="28"/>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row>
    <row r="466" ht="15.75" customHeight="1">
      <c r="A466" s="70" t="s">
        <v>3744</v>
      </c>
      <c r="B466" s="105">
        <v>5.0</v>
      </c>
      <c r="C466" s="39" t="s">
        <v>3782</v>
      </c>
      <c r="D466" s="39" t="s">
        <v>3784</v>
      </c>
      <c r="E466" s="39" t="s">
        <v>3786</v>
      </c>
      <c r="F466" s="38"/>
      <c r="G466" s="38"/>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row>
    <row r="467" ht="15.75" customHeight="1">
      <c r="A467" s="111"/>
      <c r="B467" s="112"/>
      <c r="C467" s="111"/>
      <c r="D467" s="111"/>
      <c r="E467" s="173"/>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row>
    <row r="468" ht="15.75" customHeight="1">
      <c r="A468" s="123" t="s">
        <v>3792</v>
      </c>
      <c r="B468" s="124">
        <v>1.0</v>
      </c>
      <c r="C468" s="130" t="s">
        <v>3796</v>
      </c>
      <c r="D468" s="130" t="s">
        <v>3797</v>
      </c>
      <c r="E468" s="174" t="s">
        <v>3798</v>
      </c>
      <c r="F468" s="127"/>
      <c r="G468" s="127"/>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row>
    <row r="469" ht="15.75" customHeight="1">
      <c r="A469" s="89" t="s">
        <v>3792</v>
      </c>
      <c r="B469" s="92">
        <v>2.0</v>
      </c>
      <c r="C469" s="29" t="s">
        <v>3812</v>
      </c>
      <c r="D469" s="29" t="s">
        <v>3813</v>
      </c>
      <c r="E469" s="93" t="s">
        <v>3814</v>
      </c>
      <c r="F469" s="28"/>
      <c r="G469" s="28"/>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row>
    <row r="470" ht="15.75" customHeight="1">
      <c r="A470" s="89" t="s">
        <v>3792</v>
      </c>
      <c r="B470" s="92">
        <v>3.0</v>
      </c>
      <c r="C470" s="29" t="s">
        <v>3815</v>
      </c>
      <c r="D470" s="29" t="s">
        <v>3816</v>
      </c>
      <c r="E470" s="29" t="s">
        <v>3817</v>
      </c>
      <c r="F470" s="28"/>
      <c r="G470" s="28"/>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row>
    <row r="471" ht="15.75" customHeight="1">
      <c r="A471" s="70" t="s">
        <v>3792</v>
      </c>
      <c r="B471" s="105">
        <v>4.0</v>
      </c>
      <c r="C471" s="39" t="s">
        <v>3824</v>
      </c>
      <c r="D471" s="39" t="s">
        <v>3825</v>
      </c>
      <c r="E471" s="39" t="s">
        <v>3826</v>
      </c>
      <c r="F471" s="38"/>
      <c r="G471" s="38"/>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row>
    <row r="472" ht="15.75" customHeight="1">
      <c r="A472" s="111"/>
      <c r="B472" s="112"/>
      <c r="C472" s="111"/>
      <c r="D472" s="111"/>
      <c r="E472" s="173"/>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row>
    <row r="473" ht="15.75" customHeight="1">
      <c r="A473" s="123" t="s">
        <v>3844</v>
      </c>
      <c r="B473" s="124">
        <v>1.0</v>
      </c>
      <c r="C473" s="130" t="s">
        <v>3845</v>
      </c>
      <c r="D473" s="130" t="s">
        <v>3846</v>
      </c>
      <c r="E473" s="174" t="s">
        <v>3848</v>
      </c>
      <c r="F473" s="127"/>
      <c r="G473" s="127"/>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row>
    <row r="474" ht="15.75" customHeight="1">
      <c r="A474" s="89" t="s">
        <v>3844</v>
      </c>
      <c r="B474" s="92">
        <v>2.0</v>
      </c>
      <c r="C474" s="29" t="s">
        <v>3857</v>
      </c>
      <c r="D474" s="29" t="s">
        <v>3860</v>
      </c>
      <c r="E474" s="93" t="s">
        <v>3862</v>
      </c>
      <c r="F474" s="28"/>
      <c r="G474" s="28"/>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row>
    <row r="475" ht="15.75" customHeight="1">
      <c r="A475" s="89" t="s">
        <v>3844</v>
      </c>
      <c r="B475" s="92">
        <v>3.0</v>
      </c>
      <c r="C475" s="29" t="s">
        <v>3866</v>
      </c>
      <c r="D475" s="29" t="s">
        <v>3867</v>
      </c>
      <c r="E475" s="93" t="s">
        <v>3868</v>
      </c>
      <c r="F475" s="28"/>
      <c r="G475" s="28"/>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row>
    <row r="476" ht="15.75" customHeight="1">
      <c r="A476" s="70" t="s">
        <v>3844</v>
      </c>
      <c r="B476" s="105">
        <v>4.0</v>
      </c>
      <c r="C476" s="39" t="s">
        <v>3875</v>
      </c>
      <c r="D476" s="39" t="s">
        <v>3876</v>
      </c>
      <c r="E476" s="78" t="s">
        <v>3868</v>
      </c>
      <c r="F476" s="38"/>
      <c r="G476" s="38"/>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row>
    <row r="477" ht="15.75" customHeight="1">
      <c r="A477" s="70"/>
      <c r="B477" s="39"/>
      <c r="C477" s="39"/>
      <c r="D477" s="39"/>
      <c r="E477" s="39"/>
      <c r="F477" s="38"/>
      <c r="G477" s="38"/>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row>
    <row r="478" ht="15.75" customHeight="1">
      <c r="A478" s="89" t="s">
        <v>3885</v>
      </c>
      <c r="B478" s="92">
        <v>1.0</v>
      </c>
      <c r="C478" s="29" t="s">
        <v>3886</v>
      </c>
      <c r="D478" s="29" t="s">
        <v>3889</v>
      </c>
      <c r="E478" s="29" t="s">
        <v>3891</v>
      </c>
      <c r="F478" s="28"/>
      <c r="G478" s="28"/>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row>
    <row r="479" ht="15.75" customHeight="1">
      <c r="A479" s="89" t="s">
        <v>3885</v>
      </c>
      <c r="B479" s="92">
        <v>2.0</v>
      </c>
      <c r="C479" s="29" t="s">
        <v>3898</v>
      </c>
      <c r="D479" s="29" t="s">
        <v>3900</v>
      </c>
      <c r="E479" s="29" t="s">
        <v>3902</v>
      </c>
      <c r="F479" s="28"/>
      <c r="G479" s="28"/>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row>
    <row r="480" ht="15.75" customHeight="1">
      <c r="A480" s="70" t="s">
        <v>3885</v>
      </c>
      <c r="B480" s="105">
        <v>3.0</v>
      </c>
      <c r="C480" s="39" t="s">
        <v>3905</v>
      </c>
      <c r="D480" s="39" t="s">
        <v>3906</v>
      </c>
      <c r="E480" s="39" t="s">
        <v>3909</v>
      </c>
      <c r="F480" s="38"/>
      <c r="G480" s="38"/>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row>
    <row r="481" ht="15.75" customHeight="1">
      <c r="A481" s="70"/>
      <c r="B481" s="39"/>
      <c r="C481" s="39"/>
      <c r="D481" s="39"/>
      <c r="E481" s="39"/>
      <c r="F481" s="38"/>
      <c r="G481" s="38"/>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row>
    <row r="482" ht="15.75" customHeight="1">
      <c r="A482" s="89" t="s">
        <v>3922</v>
      </c>
      <c r="B482" s="92">
        <v>1.0</v>
      </c>
      <c r="C482" s="29" t="s">
        <v>3926</v>
      </c>
      <c r="D482" s="29" t="s">
        <v>3927</v>
      </c>
      <c r="E482" s="93" t="s">
        <v>3928</v>
      </c>
      <c r="F482" s="28"/>
      <c r="G482" s="28"/>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row>
    <row r="483" ht="15.75" customHeight="1">
      <c r="A483" s="70" t="s">
        <v>3922</v>
      </c>
      <c r="B483" s="105">
        <v>2.0</v>
      </c>
      <c r="C483" s="39" t="s">
        <v>3934</v>
      </c>
      <c r="D483" s="39" t="s">
        <v>3935</v>
      </c>
      <c r="E483" s="78" t="s">
        <v>3936</v>
      </c>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row>
    <row r="484" ht="15.75" customHeight="1">
      <c r="A484" s="70"/>
      <c r="B484" s="39"/>
      <c r="C484" s="39"/>
      <c r="D484" s="39"/>
      <c r="E484" s="39"/>
      <c r="F484" s="38"/>
      <c r="G484" s="38"/>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row>
    <row r="485" ht="15.75" customHeight="1">
      <c r="A485" s="89" t="s">
        <v>3951</v>
      </c>
      <c r="B485" s="92">
        <v>1.0</v>
      </c>
      <c r="C485" s="29" t="s">
        <v>3952</v>
      </c>
      <c r="D485" s="29" t="s">
        <v>3954</v>
      </c>
      <c r="E485" s="93" t="s">
        <v>3956</v>
      </c>
      <c r="F485" s="161"/>
      <c r="G485" s="161"/>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row>
    <row r="486" ht="15.75" customHeight="1">
      <c r="A486" s="89" t="s">
        <v>3951</v>
      </c>
      <c r="B486" s="92">
        <v>2.0</v>
      </c>
      <c r="C486" s="29" t="s">
        <v>3962</v>
      </c>
      <c r="D486" s="29" t="s">
        <v>3964</v>
      </c>
      <c r="E486" s="93" t="s">
        <v>3967</v>
      </c>
      <c r="F486" s="161"/>
      <c r="G486" s="161"/>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row>
    <row r="487" ht="15.75" customHeight="1">
      <c r="A487" s="70" t="s">
        <v>3951</v>
      </c>
      <c r="B487" s="105">
        <v>3.0</v>
      </c>
      <c r="C487" s="39" t="s">
        <v>3974</v>
      </c>
      <c r="D487" s="39" t="s">
        <v>3975</v>
      </c>
      <c r="E487" s="78" t="s">
        <v>3976</v>
      </c>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row>
    <row r="488" ht="15.75" customHeight="1">
      <c r="A488" s="70"/>
      <c r="B488" s="39"/>
      <c r="C488" s="39"/>
      <c r="D488" s="39"/>
      <c r="E488" s="39"/>
      <c r="F488" s="38"/>
      <c r="G488" s="38"/>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row>
    <row r="489" ht="15.75" customHeight="1">
      <c r="A489" s="89" t="s">
        <v>3995</v>
      </c>
      <c r="B489" s="92">
        <v>1.0</v>
      </c>
      <c r="C489" s="29" t="s">
        <v>3996</v>
      </c>
      <c r="D489" s="29" t="s">
        <v>3997</v>
      </c>
      <c r="E489" s="93" t="s">
        <v>3998</v>
      </c>
      <c r="F489" s="161"/>
      <c r="G489" s="161"/>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row>
    <row r="490" ht="15.75" customHeight="1">
      <c r="A490" s="89" t="s">
        <v>3995</v>
      </c>
      <c r="B490" s="92">
        <v>2.0</v>
      </c>
      <c r="C490" s="29" t="s">
        <v>4003</v>
      </c>
      <c r="D490" s="29" t="s">
        <v>4005</v>
      </c>
      <c r="E490" s="93" t="s">
        <v>4008</v>
      </c>
      <c r="F490" s="161"/>
      <c r="G490" s="161"/>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row>
    <row r="491" ht="15.75" customHeight="1">
      <c r="A491" s="70" t="s">
        <v>3995</v>
      </c>
      <c r="B491" s="105">
        <v>3.0</v>
      </c>
      <c r="C491" s="39" t="s">
        <v>4014</v>
      </c>
      <c r="D491" s="39" t="s">
        <v>4015</v>
      </c>
      <c r="E491" s="78" t="s">
        <v>4016</v>
      </c>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row>
    <row r="492" ht="15.75" customHeight="1">
      <c r="A492" s="70"/>
      <c r="B492" s="39"/>
      <c r="C492" s="39"/>
      <c r="D492" s="39"/>
      <c r="E492" s="39"/>
      <c r="F492" s="38"/>
      <c r="G492" s="38"/>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row>
    <row r="493" ht="15.75" customHeight="1">
      <c r="A493" s="89" t="s">
        <v>4038</v>
      </c>
      <c r="B493" s="92">
        <v>1.0</v>
      </c>
      <c r="C493" s="29" t="s">
        <v>4041</v>
      </c>
      <c r="D493" s="29" t="s">
        <v>4042</v>
      </c>
      <c r="E493" s="93" t="s">
        <v>4044</v>
      </c>
      <c r="F493" s="161"/>
      <c r="G493" s="28"/>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row>
    <row r="494" ht="15.75" customHeight="1">
      <c r="A494" s="89" t="s">
        <v>4038</v>
      </c>
      <c r="B494" s="92">
        <v>2.0</v>
      </c>
      <c r="C494" s="29" t="s">
        <v>4048</v>
      </c>
      <c r="D494" s="29" t="s">
        <v>4049</v>
      </c>
      <c r="E494" s="93" t="s">
        <v>4050</v>
      </c>
      <c r="F494" s="28"/>
      <c r="G494" s="28"/>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row>
    <row r="495" ht="15.75" customHeight="1">
      <c r="A495" s="89" t="s">
        <v>4038</v>
      </c>
      <c r="B495" s="92">
        <v>3.0</v>
      </c>
      <c r="C495" s="29" t="s">
        <v>4055</v>
      </c>
      <c r="D495" s="29" t="s">
        <v>4057</v>
      </c>
      <c r="E495" s="29" t="s">
        <v>4059</v>
      </c>
      <c r="F495" s="28"/>
      <c r="G495" s="28"/>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row>
    <row r="496" ht="15.75" customHeight="1">
      <c r="A496" s="89" t="s">
        <v>4038</v>
      </c>
      <c r="B496" s="92">
        <v>4.0</v>
      </c>
      <c r="C496" s="29" t="s">
        <v>4064</v>
      </c>
      <c r="D496" s="29" t="s">
        <v>4066</v>
      </c>
      <c r="E496" s="29" t="s">
        <v>4068</v>
      </c>
      <c r="F496" s="28"/>
      <c r="G496" s="28"/>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row>
    <row r="497" ht="15.75" customHeight="1">
      <c r="A497" s="70" t="s">
        <v>4038</v>
      </c>
      <c r="B497" s="105">
        <v>5.0</v>
      </c>
      <c r="C497" s="39" t="s">
        <v>4074</v>
      </c>
      <c r="D497" s="39" t="s">
        <v>4075</v>
      </c>
      <c r="E497" s="78" t="s">
        <v>4076</v>
      </c>
      <c r="F497" s="129"/>
      <c r="G497" s="38"/>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row>
    <row r="498" ht="15.75" customHeight="1">
      <c r="A498" s="70"/>
      <c r="B498" s="39"/>
      <c r="C498" s="39"/>
      <c r="D498" s="39"/>
      <c r="E498" s="39"/>
      <c r="F498" s="38"/>
      <c r="G498" s="38"/>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row>
    <row r="499" ht="15.75" customHeight="1">
      <c r="A499" s="89" t="s">
        <v>4097</v>
      </c>
      <c r="B499" s="92">
        <v>1.0</v>
      </c>
      <c r="C499" s="29" t="s">
        <v>4099</v>
      </c>
      <c r="D499" s="29" t="s">
        <v>4101</v>
      </c>
      <c r="E499" s="93" t="s">
        <v>4103</v>
      </c>
      <c r="F499" s="28"/>
      <c r="G499" s="28"/>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row>
    <row r="500" ht="15.75" customHeight="1">
      <c r="A500" s="89" t="s">
        <v>4097</v>
      </c>
      <c r="B500" s="92">
        <v>2.0</v>
      </c>
      <c r="C500" s="29" t="s">
        <v>4113</v>
      </c>
      <c r="D500" s="263" t="s">
        <v>4114</v>
      </c>
      <c r="E500" s="93" t="s">
        <v>4117</v>
      </c>
      <c r="F500" s="28"/>
      <c r="G500" s="28"/>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row>
    <row r="501" ht="15.75" customHeight="1">
      <c r="A501" s="89" t="s">
        <v>4097</v>
      </c>
      <c r="B501" s="92">
        <v>3.0</v>
      </c>
      <c r="C501" s="29" t="s">
        <v>4119</v>
      </c>
      <c r="D501" s="111" t="s">
        <v>4121</v>
      </c>
      <c r="E501" s="93" t="s">
        <v>4123</v>
      </c>
      <c r="F501" s="28"/>
      <c r="G501" s="28"/>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row>
    <row r="502" ht="15.75" customHeight="1">
      <c r="A502" s="89" t="s">
        <v>4097</v>
      </c>
      <c r="B502" s="92">
        <v>4.0</v>
      </c>
      <c r="C502" s="29" t="s">
        <v>4129</v>
      </c>
      <c r="D502" s="111" t="s">
        <v>4130</v>
      </c>
      <c r="E502" s="93" t="s">
        <v>4131</v>
      </c>
      <c r="F502" s="161"/>
      <c r="G502" s="161"/>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row>
    <row r="503" ht="15.75" customHeight="1">
      <c r="A503" s="89" t="s">
        <v>4097</v>
      </c>
      <c r="B503" s="92">
        <v>5.0</v>
      </c>
      <c r="C503" s="29" t="s">
        <v>4140</v>
      </c>
      <c r="D503" s="111" t="s">
        <v>4141</v>
      </c>
      <c r="E503" s="93" t="s">
        <v>4142</v>
      </c>
      <c r="F503" s="28"/>
      <c r="G503" s="28"/>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row>
    <row r="504" ht="15.75" customHeight="1">
      <c r="A504" s="70" t="s">
        <v>4097</v>
      </c>
      <c r="B504" s="105">
        <v>6.0</v>
      </c>
      <c r="C504" s="39" t="s">
        <v>4150</v>
      </c>
      <c r="D504" s="107" t="s">
        <v>4151</v>
      </c>
      <c r="E504" s="78" t="s">
        <v>4152</v>
      </c>
      <c r="F504" s="38"/>
      <c r="G504" s="38"/>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row>
    <row r="505" ht="15.75" customHeight="1">
      <c r="A505" s="70"/>
      <c r="B505" s="39"/>
      <c r="C505" s="39"/>
      <c r="D505" s="39"/>
      <c r="E505" s="39"/>
      <c r="F505" s="38"/>
      <c r="G505" s="38"/>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row>
    <row r="506" ht="15.75" customHeight="1">
      <c r="A506" s="89" t="s">
        <v>4159</v>
      </c>
      <c r="B506" s="92">
        <v>1.0</v>
      </c>
      <c r="C506" s="29" t="s">
        <v>4160</v>
      </c>
      <c r="D506" s="29" t="s">
        <v>4161</v>
      </c>
      <c r="E506" s="93" t="s">
        <v>4162</v>
      </c>
      <c r="F506" s="161"/>
      <c r="G506" s="28"/>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row>
    <row r="507" ht="15.75" customHeight="1">
      <c r="A507" s="89" t="s">
        <v>4159</v>
      </c>
      <c r="B507" s="92">
        <v>2.0</v>
      </c>
      <c r="C507" s="29" t="s">
        <v>4163</v>
      </c>
      <c r="D507" s="29" t="s">
        <v>4164</v>
      </c>
      <c r="E507" s="93" t="s">
        <v>4165</v>
      </c>
      <c r="F507" s="161"/>
      <c r="G507" s="28"/>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row>
    <row r="508" ht="15.75" customHeight="1">
      <c r="A508" s="89" t="s">
        <v>4159</v>
      </c>
      <c r="B508" s="92">
        <v>3.0</v>
      </c>
      <c r="C508" s="29" t="s">
        <v>4166</v>
      </c>
      <c r="D508" s="111" t="s">
        <v>4167</v>
      </c>
      <c r="E508" s="93" t="s">
        <v>4168</v>
      </c>
      <c r="F508" s="161"/>
      <c r="G508" s="28"/>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row>
    <row r="509" ht="15.75" customHeight="1">
      <c r="A509" s="89" t="s">
        <v>4159</v>
      </c>
      <c r="B509" s="92">
        <v>4.0</v>
      </c>
      <c r="C509" s="29" t="s">
        <v>4169</v>
      </c>
      <c r="D509" s="111" t="s">
        <v>4170</v>
      </c>
      <c r="E509" s="93" t="s">
        <v>4171</v>
      </c>
      <c r="F509" s="161"/>
      <c r="G509" s="28"/>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row>
    <row r="510" ht="15.75" customHeight="1">
      <c r="A510" s="89" t="s">
        <v>4159</v>
      </c>
      <c r="B510" s="92">
        <v>5.0</v>
      </c>
      <c r="C510" s="29" t="s">
        <v>4174</v>
      </c>
      <c r="D510" s="111" t="s">
        <v>4141</v>
      </c>
      <c r="E510" s="93" t="s">
        <v>4171</v>
      </c>
      <c r="F510" s="161"/>
      <c r="G510" s="28"/>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row>
    <row r="511" ht="15.75" customHeight="1">
      <c r="A511" s="70" t="s">
        <v>4159</v>
      </c>
      <c r="B511" s="105">
        <v>6.0</v>
      </c>
      <c r="C511" s="39" t="s">
        <v>4176</v>
      </c>
      <c r="D511" s="107" t="s">
        <v>4151</v>
      </c>
      <c r="E511" s="78" t="s">
        <v>4177</v>
      </c>
      <c r="F511" s="129"/>
      <c r="G511" s="38"/>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row>
    <row r="512" ht="15.75" customHeight="1">
      <c r="A512" s="70"/>
      <c r="B512" s="39"/>
      <c r="C512" s="39"/>
      <c r="D512" s="39"/>
      <c r="E512" s="39"/>
      <c r="F512" s="38"/>
      <c r="G512" s="38"/>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row>
    <row r="513" ht="15.75" customHeight="1">
      <c r="A513" s="89" t="s">
        <v>4181</v>
      </c>
      <c r="B513" s="92">
        <v>1.0</v>
      </c>
      <c r="C513" s="29" t="s">
        <v>4183</v>
      </c>
      <c r="D513" s="29" t="s">
        <v>4185</v>
      </c>
      <c r="E513" s="93" t="s">
        <v>4187</v>
      </c>
      <c r="F513" s="161"/>
      <c r="G513" s="161"/>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row>
    <row r="514" ht="15.75" customHeight="1">
      <c r="A514" s="89" t="s">
        <v>4181</v>
      </c>
      <c r="B514" s="92">
        <v>2.0</v>
      </c>
      <c r="C514" s="29" t="s">
        <v>4188</v>
      </c>
      <c r="D514" s="29" t="s">
        <v>4189</v>
      </c>
      <c r="E514" s="93" t="s">
        <v>4190</v>
      </c>
      <c r="F514" s="161"/>
      <c r="G514" s="161"/>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row>
    <row r="515" ht="15.75" customHeight="1">
      <c r="A515" s="89" t="s">
        <v>4181</v>
      </c>
      <c r="B515" s="92">
        <v>3.0</v>
      </c>
      <c r="C515" s="29" t="s">
        <v>4194</v>
      </c>
      <c r="D515" s="29" t="s">
        <v>4195</v>
      </c>
      <c r="E515" s="93" t="s">
        <v>4196</v>
      </c>
      <c r="F515" s="161"/>
      <c r="G515" s="161"/>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row>
    <row r="516" ht="15.75" customHeight="1">
      <c r="A516" s="89" t="s">
        <v>4181</v>
      </c>
      <c r="B516" s="92">
        <v>4.0</v>
      </c>
      <c r="C516" s="29" t="s">
        <v>4197</v>
      </c>
      <c r="D516" s="29" t="s">
        <v>4198</v>
      </c>
      <c r="E516" s="93" t="s">
        <v>4199</v>
      </c>
      <c r="F516" s="161"/>
      <c r="G516" s="161"/>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row>
    <row r="517" ht="15.75" customHeight="1">
      <c r="A517" s="70" t="s">
        <v>4181</v>
      </c>
      <c r="B517" s="105">
        <v>5.0</v>
      </c>
      <c r="C517" s="39" t="s">
        <v>4203</v>
      </c>
      <c r="D517" s="39" t="s">
        <v>4204</v>
      </c>
      <c r="E517" s="78" t="s">
        <v>4205</v>
      </c>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row>
    <row r="518" ht="15.75" customHeight="1">
      <c r="A518" s="70"/>
      <c r="B518" s="39"/>
      <c r="C518" s="39"/>
      <c r="D518" s="39"/>
      <c r="E518" s="39"/>
      <c r="F518" s="38"/>
      <c r="G518" s="38"/>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row>
    <row r="519" ht="15.75" customHeight="1">
      <c r="A519" s="89" t="s">
        <v>4213</v>
      </c>
      <c r="B519" s="92">
        <v>1.0</v>
      </c>
      <c r="C519" s="29" t="s">
        <v>4214</v>
      </c>
      <c r="D519" s="29" t="s">
        <v>4215</v>
      </c>
      <c r="E519" s="93" t="s">
        <v>4216</v>
      </c>
      <c r="F519" s="161"/>
      <c r="G519" s="161"/>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row>
    <row r="520" ht="15.75" customHeight="1">
      <c r="A520" s="89" t="s">
        <v>4213</v>
      </c>
      <c r="B520" s="92">
        <v>2.0</v>
      </c>
      <c r="C520" s="29" t="s">
        <v>4217</v>
      </c>
      <c r="D520" s="29" t="s">
        <v>4219</v>
      </c>
      <c r="E520" s="93" t="s">
        <v>4220</v>
      </c>
      <c r="F520" s="161"/>
      <c r="G520" s="161"/>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row>
    <row r="521" ht="15.75" customHeight="1">
      <c r="A521" s="89" t="s">
        <v>4213</v>
      </c>
      <c r="B521" s="92">
        <v>3.0</v>
      </c>
      <c r="C521" s="29" t="s">
        <v>4227</v>
      </c>
      <c r="D521" s="29" t="s">
        <v>4229</v>
      </c>
      <c r="E521" s="93" t="s">
        <v>4232</v>
      </c>
      <c r="F521" s="161"/>
      <c r="G521" s="161"/>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row>
    <row r="522" ht="15.75" customHeight="1">
      <c r="A522" s="89" t="s">
        <v>4213</v>
      </c>
      <c r="B522" s="92">
        <v>4.0</v>
      </c>
      <c r="C522" s="29" t="s">
        <v>4238</v>
      </c>
      <c r="D522" s="29" t="s">
        <v>4239</v>
      </c>
      <c r="E522" s="93" t="s">
        <v>4240</v>
      </c>
      <c r="F522" s="161"/>
      <c r="G522" s="161"/>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row>
    <row r="523" ht="15.75" customHeight="1">
      <c r="A523" s="70" t="s">
        <v>4213</v>
      </c>
      <c r="B523" s="105">
        <v>5.0</v>
      </c>
      <c r="C523" s="39" t="s">
        <v>4247</v>
      </c>
      <c r="D523" s="39" t="s">
        <v>4248</v>
      </c>
      <c r="E523" s="78" t="s">
        <v>4250</v>
      </c>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row>
    <row r="524" ht="15.75" customHeight="1">
      <c r="A524" s="70"/>
      <c r="B524" s="39"/>
      <c r="C524" s="39"/>
      <c r="D524" s="39"/>
      <c r="E524" s="39"/>
      <c r="F524" s="38"/>
      <c r="G524" s="38"/>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row>
    <row r="525" ht="15.75" customHeight="1">
      <c r="A525" s="89" t="s">
        <v>4261</v>
      </c>
      <c r="B525" s="92">
        <v>1.0</v>
      </c>
      <c r="C525" s="29" t="s">
        <v>4262</v>
      </c>
      <c r="D525" s="29" t="s">
        <v>4263</v>
      </c>
      <c r="E525" s="93" t="s">
        <v>4265</v>
      </c>
      <c r="F525" s="161"/>
      <c r="G525" s="161"/>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row>
    <row r="526" ht="15.75" customHeight="1">
      <c r="A526" s="89" t="s">
        <v>4261</v>
      </c>
      <c r="B526" s="92">
        <v>2.0</v>
      </c>
      <c r="C526" s="29" t="s">
        <v>4272</v>
      </c>
      <c r="D526" s="29" t="s">
        <v>4273</v>
      </c>
      <c r="E526" s="93" t="s">
        <v>4274</v>
      </c>
      <c r="F526" s="161"/>
      <c r="G526" s="161"/>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row>
    <row r="527" ht="15.75" customHeight="1">
      <c r="A527" s="89" t="s">
        <v>4261</v>
      </c>
      <c r="B527" s="92">
        <v>3.0</v>
      </c>
      <c r="C527" s="29" t="s">
        <v>4194</v>
      </c>
      <c r="D527" s="29" t="s">
        <v>4280</v>
      </c>
      <c r="E527" s="93" t="s">
        <v>4196</v>
      </c>
      <c r="F527" s="161"/>
      <c r="G527" s="161"/>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row>
    <row r="528" ht="15.75" customHeight="1">
      <c r="A528" s="89" t="s">
        <v>4261</v>
      </c>
      <c r="B528" s="92">
        <v>4.0</v>
      </c>
      <c r="C528" s="29" t="s">
        <v>4282</v>
      </c>
      <c r="D528" s="29" t="s">
        <v>4283</v>
      </c>
      <c r="E528" s="93" t="s">
        <v>4284</v>
      </c>
      <c r="F528" s="161"/>
      <c r="G528" s="161"/>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row>
    <row r="529" ht="15.75" customHeight="1">
      <c r="A529" s="70" t="s">
        <v>4261</v>
      </c>
      <c r="B529" s="105">
        <v>5.0</v>
      </c>
      <c r="C529" s="39" t="s">
        <v>4297</v>
      </c>
      <c r="D529" s="39" t="s">
        <v>4298</v>
      </c>
      <c r="E529" s="78" t="s">
        <v>4299</v>
      </c>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row>
    <row r="530" ht="15.75" customHeight="1">
      <c r="A530" s="70"/>
      <c r="B530" s="39"/>
      <c r="C530" s="39"/>
      <c r="D530" s="39"/>
      <c r="E530" s="39"/>
      <c r="F530" s="38"/>
      <c r="G530" s="38"/>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row>
    <row r="531" ht="15.75" customHeight="1">
      <c r="A531" s="89" t="s">
        <v>4313</v>
      </c>
      <c r="B531" s="92">
        <v>1.0</v>
      </c>
      <c r="C531" s="29" t="s">
        <v>4314</v>
      </c>
      <c r="D531" s="29" t="s">
        <v>4316</v>
      </c>
      <c r="E531" s="93" t="s">
        <v>4317</v>
      </c>
      <c r="F531" s="161"/>
      <c r="G531" s="161"/>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row>
    <row r="532" ht="15.75" customHeight="1">
      <c r="A532" s="89" t="s">
        <v>4313</v>
      </c>
      <c r="B532" s="92">
        <v>2.0</v>
      </c>
      <c r="C532" s="29" t="s">
        <v>4322</v>
      </c>
      <c r="D532" s="29" t="s">
        <v>4323</v>
      </c>
      <c r="E532" s="93" t="s">
        <v>4324</v>
      </c>
      <c r="F532" s="161"/>
      <c r="G532" s="161"/>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row>
    <row r="533" ht="15.75" customHeight="1">
      <c r="A533" s="89" t="s">
        <v>4313</v>
      </c>
      <c r="B533" s="92">
        <v>3.0</v>
      </c>
      <c r="C533" s="29" t="s">
        <v>4331</v>
      </c>
      <c r="D533" s="29" t="s">
        <v>4332</v>
      </c>
      <c r="E533" s="93" t="s">
        <v>4232</v>
      </c>
      <c r="F533" s="161"/>
      <c r="G533" s="161"/>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row>
    <row r="534" ht="15.75" customHeight="1">
      <c r="A534" s="89" t="s">
        <v>4313</v>
      </c>
      <c r="B534" s="92">
        <v>4.0</v>
      </c>
      <c r="C534" s="29" t="s">
        <v>4337</v>
      </c>
      <c r="D534" s="29" t="s">
        <v>4338</v>
      </c>
      <c r="E534" s="93" t="s">
        <v>4339</v>
      </c>
      <c r="F534" s="161"/>
      <c r="G534" s="161"/>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row>
    <row r="535" ht="15.75" customHeight="1">
      <c r="A535" s="70" t="s">
        <v>4313</v>
      </c>
      <c r="B535" s="105">
        <v>5.0</v>
      </c>
      <c r="C535" s="39" t="s">
        <v>4341</v>
      </c>
      <c r="D535" s="39" t="s">
        <v>4342</v>
      </c>
      <c r="E535" s="78" t="s">
        <v>4343</v>
      </c>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row>
    <row r="536" ht="15.75" customHeight="1">
      <c r="A536" s="70"/>
      <c r="B536" s="39"/>
      <c r="C536" s="39"/>
      <c r="D536" s="39"/>
      <c r="E536" s="39"/>
      <c r="F536" s="38"/>
      <c r="G536" s="38"/>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row>
    <row r="537" ht="15.75" customHeight="1">
      <c r="A537" s="89" t="s">
        <v>4351</v>
      </c>
      <c r="B537" s="92">
        <v>1.0</v>
      </c>
      <c r="C537" s="29" t="s">
        <v>4352</v>
      </c>
      <c r="D537" s="29" t="s">
        <v>4353</v>
      </c>
      <c r="E537" s="29" t="s">
        <v>4354</v>
      </c>
      <c r="F537" s="28"/>
      <c r="G537" s="28"/>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row>
    <row r="538" ht="15.75" customHeight="1">
      <c r="A538" s="89" t="s">
        <v>4351</v>
      </c>
      <c r="B538" s="92">
        <v>2.0</v>
      </c>
      <c r="C538" s="29" t="s">
        <v>4362</v>
      </c>
      <c r="D538" s="29" t="s">
        <v>4362</v>
      </c>
      <c r="E538" s="93" t="s">
        <v>4364</v>
      </c>
      <c r="F538" s="28"/>
      <c r="G538" s="28"/>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row>
    <row r="539" ht="15.75" customHeight="1">
      <c r="A539" s="89" t="s">
        <v>4351</v>
      </c>
      <c r="B539" s="92">
        <v>3.0</v>
      </c>
      <c r="C539" s="29" t="s">
        <v>4373</v>
      </c>
      <c r="D539" s="29" t="s">
        <v>4373</v>
      </c>
      <c r="E539" s="29" t="s">
        <v>4374</v>
      </c>
      <c r="F539" s="28"/>
      <c r="G539" s="28"/>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row>
    <row r="540" ht="15.75" customHeight="1">
      <c r="A540" s="89" t="s">
        <v>4351</v>
      </c>
      <c r="B540" s="92">
        <v>4.0</v>
      </c>
      <c r="C540" s="29" t="s">
        <v>4375</v>
      </c>
      <c r="D540" s="29" t="s">
        <v>4375</v>
      </c>
      <c r="E540" s="29" t="s">
        <v>4377</v>
      </c>
      <c r="F540" s="28"/>
      <c r="G540" s="28"/>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row>
    <row r="541" ht="15.75" customHeight="1">
      <c r="A541" s="89" t="s">
        <v>4351</v>
      </c>
      <c r="B541" s="92">
        <v>5.0</v>
      </c>
      <c r="C541" s="29" t="s">
        <v>4379</v>
      </c>
      <c r="D541" s="29" t="s">
        <v>4379</v>
      </c>
      <c r="E541" s="93" t="s">
        <v>4380</v>
      </c>
      <c r="F541" s="28"/>
      <c r="G541" s="28"/>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row>
    <row r="542" ht="15.75" customHeight="1">
      <c r="A542" s="89" t="s">
        <v>4351</v>
      </c>
      <c r="B542" s="92">
        <v>6.0</v>
      </c>
      <c r="C542" s="29" t="s">
        <v>4382</v>
      </c>
      <c r="D542" s="29" t="s">
        <v>4382</v>
      </c>
      <c r="E542" s="29" t="s">
        <v>4384</v>
      </c>
      <c r="F542" s="28"/>
      <c r="G542" s="28"/>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row>
    <row r="543" ht="15.75" customHeight="1">
      <c r="A543" s="89" t="s">
        <v>4351</v>
      </c>
      <c r="B543" s="92">
        <v>7.0</v>
      </c>
      <c r="C543" s="29" t="s">
        <v>4388</v>
      </c>
      <c r="D543" s="29" t="s">
        <v>4388</v>
      </c>
      <c r="E543" s="93" t="s">
        <v>4390</v>
      </c>
      <c r="F543" s="28"/>
      <c r="G543" s="28"/>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row>
    <row r="544" ht="15.75" customHeight="1">
      <c r="A544" s="89" t="s">
        <v>4351</v>
      </c>
      <c r="B544" s="92">
        <v>8.0</v>
      </c>
      <c r="C544" s="29" t="s">
        <v>4395</v>
      </c>
      <c r="D544" s="29" t="s">
        <v>4395</v>
      </c>
      <c r="E544" s="29" t="s">
        <v>4396</v>
      </c>
      <c r="F544" s="28"/>
      <c r="G544" s="28"/>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row>
    <row r="545" ht="15.75" customHeight="1">
      <c r="A545" s="70" t="s">
        <v>4351</v>
      </c>
      <c r="B545" s="105">
        <v>-777.0</v>
      </c>
      <c r="C545" s="39" t="s">
        <v>570</v>
      </c>
      <c r="D545" s="39" t="s">
        <v>573</v>
      </c>
      <c r="E545" s="39" t="s">
        <v>574</v>
      </c>
      <c r="F545" s="38"/>
      <c r="G545" s="38"/>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row>
    <row r="546" ht="15.75" customHeight="1">
      <c r="A546" s="111"/>
      <c r="B546" s="112"/>
      <c r="C546" s="111"/>
      <c r="D546" s="111"/>
      <c r="E546" s="173"/>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row>
    <row r="547" ht="15.75" customHeight="1">
      <c r="A547" s="123" t="s">
        <v>4407</v>
      </c>
      <c r="B547" s="124">
        <v>0.0</v>
      </c>
      <c r="C547" s="130" t="s">
        <v>165</v>
      </c>
      <c r="D547" s="130" t="s">
        <v>166</v>
      </c>
      <c r="E547" s="130" t="s">
        <v>4408</v>
      </c>
      <c r="F547" s="127"/>
      <c r="G547" s="127"/>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row>
    <row r="548" ht="15.75" customHeight="1">
      <c r="A548" s="89" t="s">
        <v>4407</v>
      </c>
      <c r="B548" s="92">
        <v>1.0</v>
      </c>
      <c r="C548" s="29" t="s">
        <v>4419</v>
      </c>
      <c r="D548" s="29" t="s">
        <v>1324</v>
      </c>
      <c r="E548" s="29" t="s">
        <v>4420</v>
      </c>
      <c r="F548" s="28"/>
      <c r="G548" s="28"/>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row>
    <row r="549" ht="15.75" customHeight="1">
      <c r="A549" s="89" t="s">
        <v>4407</v>
      </c>
      <c r="B549" s="92">
        <v>2.0</v>
      </c>
      <c r="C549" s="29" t="s">
        <v>4421</v>
      </c>
      <c r="D549" s="29" t="s">
        <v>1379</v>
      </c>
      <c r="E549" s="29" t="s">
        <v>4422</v>
      </c>
      <c r="F549" s="28"/>
      <c r="G549" s="28"/>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row>
    <row r="550" ht="15.75" customHeight="1">
      <c r="A550" s="89" t="s">
        <v>4407</v>
      </c>
      <c r="B550" s="92">
        <v>3.0</v>
      </c>
      <c r="C550" s="29" t="s">
        <v>4426</v>
      </c>
      <c r="D550" s="29" t="s">
        <v>4427</v>
      </c>
      <c r="E550" s="93" t="s">
        <v>4428</v>
      </c>
      <c r="F550" s="28"/>
      <c r="G550" s="28"/>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row>
    <row r="551" ht="15.75" customHeight="1">
      <c r="A551" s="89" t="s">
        <v>4407</v>
      </c>
      <c r="B551" s="92">
        <v>4.0</v>
      </c>
      <c r="C551" s="29" t="s">
        <v>4431</v>
      </c>
      <c r="D551" s="29" t="s">
        <v>4431</v>
      </c>
      <c r="E551" s="93" t="s">
        <v>4432</v>
      </c>
      <c r="F551" s="28"/>
      <c r="G551" s="28"/>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row>
    <row r="552" ht="15.75" customHeight="1">
      <c r="A552" s="89" t="s">
        <v>4407</v>
      </c>
      <c r="B552" s="92">
        <v>5.0</v>
      </c>
      <c r="C552" s="29" t="s">
        <v>4435</v>
      </c>
      <c r="D552" s="29" t="s">
        <v>1315</v>
      </c>
      <c r="E552" s="29" t="s">
        <v>4436</v>
      </c>
      <c r="F552" s="28"/>
      <c r="G552" s="28"/>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row>
    <row r="553" ht="15.75" customHeight="1">
      <c r="A553" s="70" t="s">
        <v>4407</v>
      </c>
      <c r="B553" s="105">
        <v>-777.0</v>
      </c>
      <c r="C553" s="39" t="s">
        <v>570</v>
      </c>
      <c r="D553" s="39" t="s">
        <v>573</v>
      </c>
      <c r="E553" s="39" t="s">
        <v>574</v>
      </c>
      <c r="F553" s="38"/>
      <c r="G553" s="38"/>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row>
    <row r="554" ht="15.75" customHeight="1">
      <c r="A554" s="111"/>
      <c r="B554" s="112"/>
      <c r="C554" s="111"/>
      <c r="D554" s="111"/>
      <c r="E554" s="173"/>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row>
    <row r="555" ht="15.75" customHeight="1">
      <c r="A555" s="123" t="s">
        <v>4454</v>
      </c>
      <c r="B555" s="124">
        <v>1.0</v>
      </c>
      <c r="C555" s="130" t="s">
        <v>4455</v>
      </c>
      <c r="D555" s="130" t="s">
        <v>4456</v>
      </c>
      <c r="E555" s="130" t="s">
        <v>4458</v>
      </c>
      <c r="F555" s="272"/>
      <c r="G555" s="272"/>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row>
    <row r="556" ht="15.75" customHeight="1">
      <c r="A556" s="89" t="s">
        <v>4454</v>
      </c>
      <c r="B556" s="92">
        <v>2.0</v>
      </c>
      <c r="C556" s="29" t="s">
        <v>4465</v>
      </c>
      <c r="D556" s="29" t="s">
        <v>4466</v>
      </c>
      <c r="E556" s="29" t="s">
        <v>4467</v>
      </c>
      <c r="F556" s="101"/>
      <c r="G556" s="101"/>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row>
    <row r="557" ht="15.75" customHeight="1">
      <c r="A557" s="89" t="s">
        <v>4454</v>
      </c>
      <c r="B557" s="92">
        <v>3.0</v>
      </c>
      <c r="C557" s="29" t="s">
        <v>4474</v>
      </c>
      <c r="D557" s="29" t="s">
        <v>4375</v>
      </c>
      <c r="E557" s="29" t="s">
        <v>4476</v>
      </c>
      <c r="F557" s="101"/>
      <c r="G557" s="101"/>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row>
    <row r="558" ht="15.75" customHeight="1">
      <c r="A558" s="89" t="s">
        <v>4454</v>
      </c>
      <c r="B558" s="92">
        <v>4.0</v>
      </c>
      <c r="C558" s="29" t="s">
        <v>4480</v>
      </c>
      <c r="D558" s="29" t="s">
        <v>4481</v>
      </c>
      <c r="E558" s="93" t="s">
        <v>4482</v>
      </c>
      <c r="F558" s="101"/>
      <c r="G558" s="101"/>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row>
    <row r="559" ht="15.75" customHeight="1">
      <c r="A559" s="89" t="s">
        <v>4454</v>
      </c>
      <c r="B559" s="92">
        <v>5.0</v>
      </c>
      <c r="C559" s="29" t="s">
        <v>4487</v>
      </c>
      <c r="D559" s="29" t="s">
        <v>4487</v>
      </c>
      <c r="E559" s="29" t="s">
        <v>4488</v>
      </c>
      <c r="F559" s="101"/>
      <c r="G559" s="101"/>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row>
    <row r="560" ht="15.75" customHeight="1">
      <c r="A560" s="89" t="s">
        <v>4454</v>
      </c>
      <c r="B560" s="92">
        <v>6.0</v>
      </c>
      <c r="C560" s="29" t="s">
        <v>4494</v>
      </c>
      <c r="D560" s="29" t="s">
        <v>4494</v>
      </c>
      <c r="E560" s="93" t="s">
        <v>4495</v>
      </c>
      <c r="F560" s="101"/>
      <c r="G560" s="101"/>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row>
    <row r="561" ht="15.75" customHeight="1">
      <c r="A561" s="89" t="s">
        <v>4454</v>
      </c>
      <c r="B561" s="92">
        <v>7.0</v>
      </c>
      <c r="C561" s="29" t="s">
        <v>4502</v>
      </c>
      <c r="D561" s="29" t="s">
        <v>4502</v>
      </c>
      <c r="E561" s="93" t="s">
        <v>4504</v>
      </c>
      <c r="F561" s="28"/>
      <c r="G561" s="28"/>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row>
    <row r="562" ht="15.75" customHeight="1">
      <c r="A562" s="89" t="s">
        <v>4454</v>
      </c>
      <c r="B562" s="92">
        <v>8.0</v>
      </c>
      <c r="C562" s="29" t="s">
        <v>4509</v>
      </c>
      <c r="D562" s="29" t="s">
        <v>4509</v>
      </c>
      <c r="E562" s="29" t="s">
        <v>4510</v>
      </c>
      <c r="F562" s="28"/>
      <c r="G562" s="28"/>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row>
    <row r="563" ht="15.75" customHeight="1">
      <c r="A563" s="89" t="s">
        <v>4454</v>
      </c>
      <c r="B563" s="92">
        <v>9.0</v>
      </c>
      <c r="C563" s="29" t="s">
        <v>4522</v>
      </c>
      <c r="D563" s="29" t="s">
        <v>4395</v>
      </c>
      <c r="E563" s="29" t="s">
        <v>4525</v>
      </c>
      <c r="F563" s="28"/>
      <c r="G563" s="28"/>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row>
    <row r="564" ht="15.75" customHeight="1">
      <c r="A564" s="89" t="s">
        <v>4454</v>
      </c>
      <c r="B564" s="92">
        <v>10.0</v>
      </c>
      <c r="C564" s="29" t="s">
        <v>4536</v>
      </c>
      <c r="D564" s="29" t="s">
        <v>4538</v>
      </c>
      <c r="E564" s="29" t="s">
        <v>4540</v>
      </c>
      <c r="F564" s="28"/>
      <c r="G564" s="28"/>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row>
    <row r="565" ht="15.75" customHeight="1">
      <c r="A565" s="273" t="s">
        <v>4454</v>
      </c>
      <c r="B565" s="251">
        <v>11.0</v>
      </c>
      <c r="C565" s="147" t="s">
        <v>4544</v>
      </c>
      <c r="D565" s="147" t="s">
        <v>4544</v>
      </c>
      <c r="E565" s="147" t="s">
        <v>4544</v>
      </c>
      <c r="F565" s="28"/>
      <c r="G565" s="28"/>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row>
    <row r="566" ht="15.75" customHeight="1">
      <c r="A566" s="273" t="s">
        <v>4454</v>
      </c>
      <c r="B566" s="251">
        <v>12.0</v>
      </c>
      <c r="C566" s="147" t="s">
        <v>4547</v>
      </c>
      <c r="D566" s="147" t="s">
        <v>4547</v>
      </c>
      <c r="E566" s="147" t="s">
        <v>4547</v>
      </c>
      <c r="F566" s="28"/>
      <c r="G566" s="28"/>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row>
    <row r="567" ht="15.75" customHeight="1">
      <c r="A567" s="273" t="s">
        <v>4454</v>
      </c>
      <c r="B567" s="251">
        <v>13.0</v>
      </c>
      <c r="C567" s="147" t="s">
        <v>4557</v>
      </c>
      <c r="D567" s="147" t="s">
        <v>4557</v>
      </c>
      <c r="E567" s="147" t="s">
        <v>4557</v>
      </c>
      <c r="F567" s="28"/>
      <c r="G567" s="28"/>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row>
    <row r="568" ht="15.75" customHeight="1">
      <c r="A568" s="70" t="s">
        <v>4454</v>
      </c>
      <c r="B568" s="105">
        <v>14.0</v>
      </c>
      <c r="C568" s="39" t="s">
        <v>4560</v>
      </c>
      <c r="D568" s="39" t="s">
        <v>4561</v>
      </c>
      <c r="E568" s="29" t="s">
        <v>4562</v>
      </c>
      <c r="F568" s="38"/>
      <c r="G568" s="38"/>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row>
    <row r="569" ht="15.75" customHeight="1">
      <c r="A569" s="70" t="s">
        <v>4454</v>
      </c>
      <c r="B569" s="105">
        <v>-777.0</v>
      </c>
      <c r="C569" s="39" t="s">
        <v>570</v>
      </c>
      <c r="D569" s="39" t="s">
        <v>573</v>
      </c>
      <c r="E569" s="39" t="s">
        <v>574</v>
      </c>
      <c r="F569" s="38"/>
      <c r="G569" s="38"/>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row>
    <row r="570" ht="15.75" customHeight="1">
      <c r="A570" s="111"/>
      <c r="B570" s="112"/>
      <c r="C570" s="111"/>
      <c r="D570" s="111"/>
      <c r="E570" s="173"/>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row>
    <row r="571" ht="15.75" customHeight="1">
      <c r="A571" s="177" t="s">
        <v>4576</v>
      </c>
      <c r="B571" s="124">
        <v>1.0</v>
      </c>
      <c r="C571" s="130" t="s">
        <v>2122</v>
      </c>
      <c r="D571" s="130" t="s">
        <v>2123</v>
      </c>
      <c r="E571" s="174" t="s">
        <v>2183</v>
      </c>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row>
    <row r="572" ht="15.75" customHeight="1">
      <c r="A572" s="70" t="s">
        <v>4576</v>
      </c>
      <c r="B572" s="92">
        <v>2.0</v>
      </c>
      <c r="C572" s="29" t="s">
        <v>2129</v>
      </c>
      <c r="D572" s="29" t="s">
        <v>2130</v>
      </c>
      <c r="E572" s="93" t="s">
        <v>2185</v>
      </c>
      <c r="F572" s="60"/>
      <c r="G572" s="38"/>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row>
    <row r="573" ht="15.75" customHeight="1">
      <c r="A573" s="70" t="s">
        <v>4576</v>
      </c>
      <c r="B573" s="92">
        <v>3.0</v>
      </c>
      <c r="C573" s="29" t="s">
        <v>2136</v>
      </c>
      <c r="D573" s="29" t="s">
        <v>2137</v>
      </c>
      <c r="E573" s="93" t="s">
        <v>2186</v>
      </c>
      <c r="F573" s="60"/>
      <c r="G573" s="101"/>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row>
    <row r="574" ht="15.75" customHeight="1">
      <c r="A574" s="70" t="s">
        <v>4576</v>
      </c>
      <c r="B574" s="92">
        <v>4.0</v>
      </c>
      <c r="C574" s="39" t="s">
        <v>2144</v>
      </c>
      <c r="D574" s="39" t="s">
        <v>2146</v>
      </c>
      <c r="E574" s="78" t="s">
        <v>4592</v>
      </c>
      <c r="F574" s="60"/>
      <c r="G574" s="101"/>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row>
    <row r="575" ht="15.75" customHeight="1">
      <c r="A575" s="70" t="s">
        <v>4576</v>
      </c>
      <c r="B575" s="92">
        <v>5.0</v>
      </c>
      <c r="C575" s="221" t="s">
        <v>2151</v>
      </c>
      <c r="D575" s="128" t="s">
        <v>2154</v>
      </c>
      <c r="E575" s="78" t="s">
        <v>2155</v>
      </c>
      <c r="F575" s="60"/>
      <c r="G575" s="101"/>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row>
    <row r="576" ht="15.75" customHeight="1">
      <c r="A576" s="70" t="s">
        <v>4576</v>
      </c>
      <c r="B576" s="92">
        <v>6.0</v>
      </c>
      <c r="C576" s="222" t="s">
        <v>2160</v>
      </c>
      <c r="D576" s="111" t="s">
        <v>2161</v>
      </c>
      <c r="E576" s="173" t="s">
        <v>2161</v>
      </c>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row>
    <row r="577" ht="15.75" customHeight="1">
      <c r="A577" s="70" t="s">
        <v>4576</v>
      </c>
      <c r="B577" s="105">
        <v>-777.0</v>
      </c>
      <c r="C577" s="39" t="s">
        <v>2162</v>
      </c>
      <c r="D577" s="39" t="s">
        <v>573</v>
      </c>
      <c r="E577" s="78" t="s">
        <v>2163</v>
      </c>
      <c r="F577" s="129"/>
      <c r="G577" s="38"/>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row>
    <row r="578" ht="15.75" customHeight="1">
      <c r="A578" s="111"/>
      <c r="B578" s="112"/>
      <c r="C578" s="111"/>
      <c r="D578" s="111"/>
      <c r="E578" s="173"/>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row>
    <row r="579" ht="15.75" customHeight="1">
      <c r="A579" s="123" t="s">
        <v>4625</v>
      </c>
      <c r="B579" s="124">
        <v>0.0</v>
      </c>
      <c r="C579" s="130" t="s">
        <v>4626</v>
      </c>
      <c r="D579" s="130" t="s">
        <v>4628</v>
      </c>
      <c r="E579" s="130" t="s">
        <v>4629</v>
      </c>
      <c r="F579" s="127"/>
      <c r="G579" s="127"/>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row>
    <row r="580" ht="15.75" customHeight="1">
      <c r="A580" s="89" t="s">
        <v>4625</v>
      </c>
      <c r="B580" s="92">
        <v>1.0</v>
      </c>
      <c r="C580" s="29" t="s">
        <v>4631</v>
      </c>
      <c r="D580" s="29" t="s">
        <v>4632</v>
      </c>
      <c r="E580" s="93" t="s">
        <v>4633</v>
      </c>
      <c r="F580" s="28"/>
      <c r="G580" s="28"/>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row>
    <row r="581" ht="15.75" customHeight="1">
      <c r="A581" s="89" t="s">
        <v>4625</v>
      </c>
      <c r="B581" s="92">
        <v>2.0</v>
      </c>
      <c r="C581" s="29" t="s">
        <v>4638</v>
      </c>
      <c r="D581" s="29" t="s">
        <v>4639</v>
      </c>
      <c r="E581" s="93" t="s">
        <v>4640</v>
      </c>
      <c r="F581" s="28"/>
      <c r="G581" s="28"/>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row>
    <row r="582" ht="15.75" customHeight="1">
      <c r="A582" s="89" t="s">
        <v>4625</v>
      </c>
      <c r="B582" s="92">
        <v>3.0</v>
      </c>
      <c r="C582" s="29" t="s">
        <v>4643</v>
      </c>
      <c r="D582" s="29" t="s">
        <v>4644</v>
      </c>
      <c r="E582" s="93" t="s">
        <v>4645</v>
      </c>
      <c r="F582" s="161"/>
      <c r="G582" s="161"/>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row>
    <row r="583" ht="15.75" customHeight="1">
      <c r="A583" s="89" t="s">
        <v>4625</v>
      </c>
      <c r="B583" s="92">
        <v>4.0</v>
      </c>
      <c r="C583" s="29" t="s">
        <v>4647</v>
      </c>
      <c r="D583" s="29" t="s">
        <v>4649</v>
      </c>
      <c r="E583" s="93" t="s">
        <v>4650</v>
      </c>
      <c r="F583" s="28"/>
      <c r="G583" s="28"/>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row>
    <row r="584" ht="15.75" customHeight="1">
      <c r="A584" s="89" t="s">
        <v>4625</v>
      </c>
      <c r="B584" s="92">
        <v>5.0</v>
      </c>
      <c r="C584" s="29" t="s">
        <v>4653</v>
      </c>
      <c r="D584" s="29" t="s">
        <v>4654</v>
      </c>
      <c r="E584" s="93" t="s">
        <v>4656</v>
      </c>
      <c r="F584" s="28"/>
      <c r="G584" s="28"/>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row>
    <row r="585" ht="15.75" customHeight="1">
      <c r="A585" s="89" t="s">
        <v>4625</v>
      </c>
      <c r="B585" s="92">
        <v>6.0</v>
      </c>
      <c r="C585" s="29" t="s">
        <v>4659</v>
      </c>
      <c r="D585" s="29" t="s">
        <v>4660</v>
      </c>
      <c r="E585" s="93" t="s">
        <v>4661</v>
      </c>
      <c r="F585" s="28"/>
      <c r="G585" s="28"/>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row>
    <row r="586" ht="15.75" customHeight="1">
      <c r="A586" s="89" t="s">
        <v>4625</v>
      </c>
      <c r="B586" s="92">
        <v>7.0</v>
      </c>
      <c r="C586" s="29" t="s">
        <v>4663</v>
      </c>
      <c r="D586" s="29" t="s">
        <v>4664</v>
      </c>
      <c r="E586" s="93" t="s">
        <v>4665</v>
      </c>
      <c r="F586" s="28"/>
      <c r="G586" s="28"/>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row>
    <row r="587" ht="15.75" customHeight="1">
      <c r="A587" s="70" t="s">
        <v>4625</v>
      </c>
      <c r="B587" s="105">
        <v>-777.0</v>
      </c>
      <c r="C587" s="39" t="s">
        <v>570</v>
      </c>
      <c r="D587" s="39" t="s">
        <v>573</v>
      </c>
      <c r="E587" s="78" t="s">
        <v>2163</v>
      </c>
      <c r="F587" s="38"/>
      <c r="G587" s="38"/>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row>
    <row r="588" ht="15.75" customHeight="1">
      <c r="A588" s="111"/>
      <c r="B588" s="112"/>
      <c r="C588" s="111"/>
      <c r="D588" s="111"/>
      <c r="E588" s="173"/>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row>
    <row r="589" ht="15.75" customHeight="1">
      <c r="A589" s="123" t="s">
        <v>4677</v>
      </c>
      <c r="B589" s="124">
        <v>1.0</v>
      </c>
      <c r="C589" s="130" t="s">
        <v>4678</v>
      </c>
      <c r="D589" s="130" t="s">
        <v>4680</v>
      </c>
      <c r="E589" s="130" t="s">
        <v>4681</v>
      </c>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60"/>
      <c r="AF589" s="60"/>
    </row>
    <row r="590" ht="15.75" customHeight="1">
      <c r="A590" s="89" t="s">
        <v>4677</v>
      </c>
      <c r="B590" s="92">
        <v>2.0</v>
      </c>
      <c r="C590" s="29" t="s">
        <v>4686</v>
      </c>
      <c r="D590" s="29" t="s">
        <v>4687</v>
      </c>
      <c r="E590" s="93" t="s">
        <v>4688</v>
      </c>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row>
    <row r="591" ht="15.75" customHeight="1">
      <c r="A591" s="89" t="s">
        <v>4677</v>
      </c>
      <c r="B591" s="92">
        <v>3.0</v>
      </c>
      <c r="C591" s="29" t="s">
        <v>4692</v>
      </c>
      <c r="D591" s="29" t="s">
        <v>4694</v>
      </c>
      <c r="E591" s="93" t="s">
        <v>4695</v>
      </c>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row>
    <row r="592" ht="15.75" customHeight="1">
      <c r="A592" s="89" t="s">
        <v>4677</v>
      </c>
      <c r="B592" s="92">
        <v>4.0</v>
      </c>
      <c r="C592" s="29" t="s">
        <v>4698</v>
      </c>
      <c r="D592" s="29" t="s">
        <v>4699</v>
      </c>
      <c r="E592" s="93" t="s">
        <v>4700</v>
      </c>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row>
    <row r="593" ht="15.75" customHeight="1">
      <c r="A593" s="89" t="s">
        <v>4677</v>
      </c>
      <c r="B593" s="92">
        <v>5.0</v>
      </c>
      <c r="C593" s="29" t="s">
        <v>4702</v>
      </c>
      <c r="D593" s="29" t="s">
        <v>4704</v>
      </c>
      <c r="E593" s="29" t="s">
        <v>4705</v>
      </c>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row>
    <row r="594" ht="15.75" customHeight="1">
      <c r="A594" s="89" t="s">
        <v>4677</v>
      </c>
      <c r="B594" s="92">
        <v>6.0</v>
      </c>
      <c r="C594" s="29" t="s">
        <v>4708</v>
      </c>
      <c r="D594" s="29" t="s">
        <v>4709</v>
      </c>
      <c r="E594" s="93" t="s">
        <v>4710</v>
      </c>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row>
    <row r="595" ht="15.75" customHeight="1">
      <c r="A595" s="89" t="s">
        <v>4677</v>
      </c>
      <c r="B595" s="92">
        <v>7.0</v>
      </c>
      <c r="C595" s="29" t="s">
        <v>4715</v>
      </c>
      <c r="D595" s="29" t="s">
        <v>4717</v>
      </c>
      <c r="E595" s="29" t="s">
        <v>4718</v>
      </c>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row>
    <row r="596" ht="15.75" customHeight="1">
      <c r="A596" s="89" t="s">
        <v>4677</v>
      </c>
      <c r="B596" s="92">
        <v>-777.0</v>
      </c>
      <c r="C596" s="29" t="s">
        <v>570</v>
      </c>
      <c r="D596" s="29" t="s">
        <v>573</v>
      </c>
      <c r="E596" s="29" t="s">
        <v>574</v>
      </c>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row>
    <row r="597" ht="15.75" customHeight="1">
      <c r="A597" s="70" t="s">
        <v>4677</v>
      </c>
      <c r="B597" s="105">
        <v>-999.0</v>
      </c>
      <c r="C597" s="39" t="s">
        <v>106</v>
      </c>
      <c r="D597" s="39" t="s">
        <v>4725</v>
      </c>
      <c r="E597" s="39" t="s">
        <v>108</v>
      </c>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60"/>
      <c r="AF597" s="60"/>
    </row>
    <row r="598" ht="15.75" customHeight="1">
      <c r="A598" s="111"/>
      <c r="B598" s="112"/>
      <c r="C598" s="111"/>
      <c r="D598" s="111"/>
      <c r="E598" s="173"/>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row>
    <row r="599" ht="15.75" customHeight="1">
      <c r="A599" s="123" t="s">
        <v>4738</v>
      </c>
      <c r="B599" s="124">
        <v>1.0</v>
      </c>
      <c r="C599" s="130" t="s">
        <v>4739</v>
      </c>
      <c r="D599" s="130" t="s">
        <v>4740</v>
      </c>
      <c r="E599" s="174" t="s">
        <v>4741</v>
      </c>
      <c r="F599" s="127"/>
      <c r="G599" s="127"/>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row>
    <row r="600" ht="15.75" customHeight="1">
      <c r="A600" s="89" t="s">
        <v>4738</v>
      </c>
      <c r="B600" s="92">
        <v>2.0</v>
      </c>
      <c r="C600" s="29" t="s">
        <v>4743</v>
      </c>
      <c r="D600" s="29" t="s">
        <v>4744</v>
      </c>
      <c r="E600" s="93" t="s">
        <v>4745</v>
      </c>
      <c r="F600" s="28"/>
      <c r="G600" s="28"/>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row>
    <row r="601" ht="15.75" customHeight="1">
      <c r="A601" s="70" t="s">
        <v>4738</v>
      </c>
      <c r="B601" s="105">
        <v>3.0</v>
      </c>
      <c r="C601" s="39" t="s">
        <v>4747</v>
      </c>
      <c r="D601" s="39" t="s">
        <v>4748</v>
      </c>
      <c r="E601" s="78" t="s">
        <v>4749</v>
      </c>
      <c r="F601" s="38"/>
      <c r="G601" s="38"/>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row>
    <row r="602" ht="15.75" customHeight="1">
      <c r="A602" s="111"/>
      <c r="B602" s="112"/>
      <c r="C602" s="111"/>
      <c r="D602" s="111"/>
      <c r="E602" s="173"/>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row>
    <row r="603" ht="15.75" customHeight="1">
      <c r="A603" s="274" t="s">
        <v>4758</v>
      </c>
      <c r="B603" s="275">
        <v>1.0</v>
      </c>
      <c r="C603" s="276" t="s">
        <v>4760</v>
      </c>
      <c r="D603" s="277" t="s">
        <v>4761</v>
      </c>
      <c r="E603" s="276" t="s">
        <v>4762</v>
      </c>
      <c r="F603" s="278"/>
      <c r="G603" s="278"/>
      <c r="H603" s="278"/>
      <c r="I603" s="278"/>
      <c r="J603" s="278"/>
      <c r="K603" s="278"/>
      <c r="L603" s="278"/>
      <c r="M603" s="278"/>
      <c r="N603" s="278"/>
      <c r="O603" s="278"/>
      <c r="P603" s="278"/>
      <c r="Q603" s="278"/>
      <c r="R603" s="278"/>
      <c r="S603" s="278"/>
      <c r="T603" s="278"/>
      <c r="U603" s="278"/>
      <c r="V603" s="278"/>
      <c r="W603" s="278"/>
      <c r="X603" s="278"/>
      <c r="Y603" s="278"/>
      <c r="Z603" s="278"/>
      <c r="AA603" s="278"/>
      <c r="AB603" s="278"/>
      <c r="AC603" s="278"/>
      <c r="AD603" s="278"/>
      <c r="AE603" s="278"/>
      <c r="AF603" s="278"/>
    </row>
    <row r="604" ht="15.75" customHeight="1">
      <c r="A604" s="279" t="s">
        <v>4758</v>
      </c>
      <c r="B604" s="280">
        <v>2.0</v>
      </c>
      <c r="C604" s="281" t="s">
        <v>1273</v>
      </c>
      <c r="D604" s="281" t="s">
        <v>1274</v>
      </c>
      <c r="E604" s="281" t="s">
        <v>4769</v>
      </c>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row>
    <row r="605" ht="15.75" customHeight="1">
      <c r="A605" s="279" t="s">
        <v>4758</v>
      </c>
      <c r="B605" s="280">
        <v>3.0</v>
      </c>
      <c r="C605" s="281" t="s">
        <v>1266</v>
      </c>
      <c r="D605" s="281" t="s">
        <v>1268</v>
      </c>
      <c r="E605" s="281" t="s">
        <v>4773</v>
      </c>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row>
    <row r="606" ht="15.75" customHeight="1">
      <c r="A606" s="279" t="s">
        <v>4758</v>
      </c>
      <c r="B606" s="280">
        <v>4.0</v>
      </c>
      <c r="C606" s="281" t="s">
        <v>4777</v>
      </c>
      <c r="D606" s="281" t="s">
        <v>4778</v>
      </c>
      <c r="E606" s="281" t="s">
        <v>4779</v>
      </c>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row>
    <row r="607" ht="15.75" customHeight="1">
      <c r="A607" s="279" t="s">
        <v>4758</v>
      </c>
      <c r="B607" s="280">
        <v>5.0</v>
      </c>
      <c r="C607" s="281" t="s">
        <v>4782</v>
      </c>
      <c r="D607" s="281" t="s">
        <v>4785</v>
      </c>
      <c r="E607" s="284" t="s">
        <v>4786</v>
      </c>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row>
    <row r="608" ht="15.75" customHeight="1">
      <c r="A608" s="281" t="s">
        <v>4758</v>
      </c>
      <c r="B608" s="285">
        <v>-777.0</v>
      </c>
      <c r="C608" s="281" t="s">
        <v>570</v>
      </c>
      <c r="D608" s="281" t="s">
        <v>573</v>
      </c>
      <c r="E608" s="281" t="s">
        <v>574</v>
      </c>
      <c r="F608" s="286"/>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c r="AF608" s="286"/>
    </row>
    <row r="609" ht="15.75" customHeight="1">
      <c r="A609" s="111"/>
      <c r="B609" s="112"/>
      <c r="C609" s="111"/>
      <c r="D609" s="111"/>
      <c r="E609" s="173"/>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row>
    <row r="610" ht="15.75" customHeight="1">
      <c r="A610" s="111"/>
      <c r="B610" s="112"/>
      <c r="C610" s="111"/>
      <c r="D610" s="111"/>
      <c r="E610" s="173"/>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row>
    <row r="611" ht="15.75" customHeight="1">
      <c r="A611" s="111"/>
      <c r="B611" s="112"/>
      <c r="C611" s="111"/>
      <c r="D611" s="111"/>
      <c r="E611" s="173"/>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row>
    <row r="612" ht="15.75" customHeight="1">
      <c r="A612" s="111"/>
      <c r="B612" s="112"/>
      <c r="C612" s="111"/>
      <c r="D612" s="111"/>
      <c r="E612" s="173"/>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row>
    <row r="613" ht="15.75" customHeight="1">
      <c r="A613" s="111"/>
      <c r="B613" s="112"/>
      <c r="C613" s="111"/>
      <c r="D613" s="111"/>
      <c r="E613" s="173"/>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row>
    <row r="614" ht="15.75" customHeight="1">
      <c r="A614" s="111"/>
      <c r="B614" s="112"/>
      <c r="C614" s="111"/>
      <c r="D614" s="111"/>
      <c r="E614" s="173"/>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row>
    <row r="615" ht="15.75" customHeight="1">
      <c r="A615" s="111"/>
      <c r="B615" s="112"/>
      <c r="C615" s="111"/>
      <c r="D615" s="111"/>
      <c r="E615" s="173"/>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row>
    <row r="616" ht="15.75" customHeight="1">
      <c r="A616" s="111"/>
      <c r="B616" s="112"/>
      <c r="C616" s="111"/>
      <c r="D616" s="111"/>
      <c r="E616" s="173"/>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row>
    <row r="617" ht="15.75" customHeight="1">
      <c r="A617" s="111"/>
      <c r="B617" s="112"/>
      <c r="C617" s="111"/>
      <c r="D617" s="111"/>
      <c r="E617" s="173"/>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row>
    <row r="618" ht="15.75" customHeight="1">
      <c r="A618" s="111"/>
      <c r="B618" s="112"/>
      <c r="C618" s="111"/>
      <c r="D618" s="111"/>
      <c r="E618" s="173"/>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row>
    <row r="619" ht="15.75" customHeight="1">
      <c r="A619" s="111"/>
      <c r="B619" s="112"/>
      <c r="C619" s="111"/>
      <c r="D619" s="111"/>
      <c r="E619" s="173"/>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row>
    <row r="620" ht="15.75" customHeight="1">
      <c r="A620" s="111"/>
      <c r="B620" s="112"/>
      <c r="C620" s="111"/>
      <c r="D620" s="111"/>
      <c r="E620" s="173"/>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row>
    <row r="621" ht="15.75" customHeight="1">
      <c r="A621" s="111"/>
      <c r="B621" s="112"/>
      <c r="C621" s="111"/>
      <c r="D621" s="111"/>
      <c r="E621" s="173"/>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row>
    <row r="622" ht="15.75" customHeight="1">
      <c r="A622" s="111"/>
      <c r="B622" s="112"/>
      <c r="C622" s="111"/>
      <c r="D622" s="111"/>
      <c r="E622" s="173"/>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row>
    <row r="623" ht="15.75" customHeight="1">
      <c r="A623" s="111"/>
      <c r="B623" s="112"/>
      <c r="C623" s="111"/>
      <c r="D623" s="111"/>
      <c r="E623" s="173"/>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row>
    <row r="624" ht="15.75" customHeight="1">
      <c r="A624" s="111"/>
      <c r="B624" s="112"/>
      <c r="C624" s="111"/>
      <c r="D624" s="111"/>
      <c r="E624" s="173"/>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row>
    <row r="625" ht="15.75" customHeight="1">
      <c r="A625" s="111"/>
      <c r="B625" s="112"/>
      <c r="C625" s="111"/>
      <c r="D625" s="111"/>
      <c r="E625" s="173"/>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row>
    <row r="626" ht="15.75" customHeight="1">
      <c r="A626" s="111"/>
      <c r="B626" s="112"/>
      <c r="C626" s="111"/>
      <c r="D626" s="111"/>
      <c r="E626" s="173"/>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row>
    <row r="627" ht="15.75" customHeight="1">
      <c r="A627" s="111"/>
      <c r="B627" s="112"/>
      <c r="C627" s="111"/>
      <c r="D627" s="111"/>
      <c r="E627" s="173"/>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row>
    <row r="628" ht="15.75" customHeight="1">
      <c r="A628" s="111"/>
      <c r="B628" s="112"/>
      <c r="C628" s="111"/>
      <c r="D628" s="111"/>
      <c r="E628" s="173"/>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row>
    <row r="629" ht="15.75" customHeight="1">
      <c r="A629" s="111"/>
      <c r="B629" s="112"/>
      <c r="C629" s="111"/>
      <c r="D629" s="111"/>
      <c r="E629" s="173"/>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row>
    <row r="630" ht="15.75" customHeight="1">
      <c r="A630" s="111"/>
      <c r="B630" s="112"/>
      <c r="C630" s="111"/>
      <c r="D630" s="111"/>
      <c r="E630" s="173"/>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row>
    <row r="631" ht="15.75" customHeight="1">
      <c r="A631" s="111"/>
      <c r="B631" s="112"/>
      <c r="C631" s="111"/>
      <c r="D631" s="111"/>
      <c r="E631" s="173"/>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row>
    <row r="632" ht="15.75" customHeight="1">
      <c r="A632" s="111"/>
      <c r="B632" s="112"/>
      <c r="C632" s="111"/>
      <c r="D632" s="111"/>
      <c r="E632" s="173"/>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row>
    <row r="633" ht="15.75" customHeight="1">
      <c r="A633" s="111"/>
      <c r="B633" s="112"/>
      <c r="C633" s="111"/>
      <c r="D633" s="111"/>
      <c r="E633" s="173"/>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row>
    <row r="634" ht="15.75" customHeight="1">
      <c r="A634" s="111"/>
      <c r="B634" s="112"/>
      <c r="C634" s="111"/>
      <c r="D634" s="111"/>
      <c r="E634" s="173"/>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row>
    <row r="635" ht="15.75" customHeight="1">
      <c r="A635" s="111"/>
      <c r="B635" s="112"/>
      <c r="C635" s="111"/>
      <c r="D635" s="111"/>
      <c r="E635" s="173"/>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row>
    <row r="636" ht="15.75" customHeight="1">
      <c r="A636" s="111"/>
      <c r="B636" s="112"/>
      <c r="C636" s="111"/>
      <c r="D636" s="111"/>
      <c r="E636" s="173"/>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row>
    <row r="637" ht="15.75" customHeight="1">
      <c r="A637" s="111"/>
      <c r="B637" s="112"/>
      <c r="C637" s="111"/>
      <c r="D637" s="111"/>
      <c r="E637" s="173"/>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row>
    <row r="638" ht="15.75" customHeight="1">
      <c r="A638" s="111"/>
      <c r="B638" s="112"/>
      <c r="C638" s="111"/>
      <c r="D638" s="111"/>
      <c r="E638" s="173"/>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row>
    <row r="639" ht="15.75" customHeight="1">
      <c r="A639" s="111"/>
      <c r="B639" s="112"/>
      <c r="C639" s="111"/>
      <c r="D639" s="111"/>
      <c r="E639" s="173"/>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row>
    <row r="640" ht="15.75" customHeight="1">
      <c r="A640" s="111"/>
      <c r="B640" s="112"/>
      <c r="C640" s="111"/>
      <c r="D640" s="111"/>
      <c r="E640" s="173"/>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row>
    <row r="641" ht="15.75" customHeight="1">
      <c r="A641" s="111"/>
      <c r="B641" s="112"/>
      <c r="C641" s="111"/>
      <c r="D641" s="111"/>
      <c r="E641" s="173"/>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row>
    <row r="642" ht="15.75" customHeight="1">
      <c r="A642" s="111"/>
      <c r="B642" s="112"/>
      <c r="C642" s="111"/>
      <c r="D642" s="111"/>
      <c r="E642" s="173"/>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row>
    <row r="643" ht="15.75" customHeight="1">
      <c r="A643" s="111"/>
      <c r="B643" s="112"/>
      <c r="C643" s="111"/>
      <c r="D643" s="111"/>
      <c r="E643" s="173"/>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row>
    <row r="644" ht="15.75" customHeight="1">
      <c r="A644" s="111"/>
      <c r="B644" s="112"/>
      <c r="C644" s="111"/>
      <c r="D644" s="111"/>
      <c r="E644" s="173"/>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row>
    <row r="645" ht="15.75" customHeight="1">
      <c r="A645" s="111"/>
      <c r="B645" s="112"/>
      <c r="C645" s="111"/>
      <c r="D645" s="111"/>
      <c r="E645" s="173"/>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row>
    <row r="646" ht="15.75" customHeight="1">
      <c r="A646" s="111"/>
      <c r="B646" s="112"/>
      <c r="C646" s="111"/>
      <c r="D646" s="111"/>
      <c r="E646" s="173"/>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row>
    <row r="647" ht="15.75" customHeight="1">
      <c r="A647" s="111"/>
      <c r="B647" s="112"/>
      <c r="C647" s="111"/>
      <c r="D647" s="111"/>
      <c r="E647" s="173"/>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row>
    <row r="648" ht="15.75" customHeight="1">
      <c r="A648" s="111"/>
      <c r="B648" s="112"/>
      <c r="C648" s="111"/>
      <c r="D648" s="111"/>
      <c r="E648" s="173"/>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row>
    <row r="649" ht="15.75" customHeight="1">
      <c r="A649" s="111"/>
      <c r="B649" s="112"/>
      <c r="C649" s="111"/>
      <c r="D649" s="111"/>
      <c r="E649" s="173"/>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row>
    <row r="650" ht="15.75" customHeight="1">
      <c r="A650" s="111"/>
      <c r="B650" s="112"/>
      <c r="C650" s="111"/>
      <c r="D650" s="111"/>
      <c r="E650" s="173"/>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row>
    <row r="651" ht="15.75" customHeight="1">
      <c r="A651" s="111"/>
      <c r="B651" s="112"/>
      <c r="C651" s="111"/>
      <c r="D651" s="111"/>
      <c r="E651" s="173"/>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row>
    <row r="652" ht="15.75" customHeight="1">
      <c r="A652" s="111"/>
      <c r="B652" s="112"/>
      <c r="C652" s="111"/>
      <c r="D652" s="111"/>
      <c r="E652" s="173"/>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row>
    <row r="653" ht="15.75" customHeight="1">
      <c r="A653" s="111"/>
      <c r="B653" s="112"/>
      <c r="C653" s="111"/>
      <c r="D653" s="111"/>
      <c r="E653" s="173"/>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row>
    <row r="654" ht="15.75" customHeight="1">
      <c r="A654" s="111"/>
      <c r="B654" s="112"/>
      <c r="C654" s="111"/>
      <c r="D654" s="111"/>
      <c r="E654" s="173"/>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row>
    <row r="655" ht="15.75" customHeight="1">
      <c r="A655" s="111"/>
      <c r="B655" s="112"/>
      <c r="C655" s="111"/>
      <c r="D655" s="111"/>
      <c r="E655" s="173"/>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row>
    <row r="656" ht="15.75" customHeight="1">
      <c r="A656" s="111"/>
      <c r="B656" s="112"/>
      <c r="C656" s="111"/>
      <c r="D656" s="111"/>
      <c r="E656" s="173"/>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row>
    <row r="657" ht="15.75" customHeight="1">
      <c r="A657" s="111"/>
      <c r="B657" s="112"/>
      <c r="C657" s="111"/>
      <c r="D657" s="111"/>
      <c r="E657" s="173"/>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row>
    <row r="658" ht="15.75" customHeight="1">
      <c r="A658" s="111"/>
      <c r="B658" s="112"/>
      <c r="C658" s="111"/>
      <c r="D658" s="111"/>
      <c r="E658" s="173"/>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row>
    <row r="659" ht="15.75" customHeight="1">
      <c r="A659" s="111"/>
      <c r="B659" s="112"/>
      <c r="C659" s="111"/>
      <c r="D659" s="111"/>
      <c r="E659" s="173"/>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row>
    <row r="660" ht="15.75" customHeight="1">
      <c r="A660" s="111"/>
      <c r="B660" s="112"/>
      <c r="C660" s="111"/>
      <c r="D660" s="111"/>
      <c r="E660" s="173"/>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row>
    <row r="661" ht="15.75" customHeight="1">
      <c r="A661" s="111"/>
      <c r="B661" s="112"/>
      <c r="C661" s="111"/>
      <c r="D661" s="111"/>
      <c r="E661" s="173"/>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row>
    <row r="662" ht="15.75" customHeight="1">
      <c r="A662" s="111"/>
      <c r="B662" s="112"/>
      <c r="C662" s="111"/>
      <c r="D662" s="111"/>
      <c r="E662" s="173"/>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row>
    <row r="663" ht="15.75" customHeight="1">
      <c r="A663" s="111"/>
      <c r="B663" s="112"/>
      <c r="C663" s="111"/>
      <c r="D663" s="111"/>
      <c r="E663" s="173"/>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row>
    <row r="664" ht="15.75" customHeight="1">
      <c r="A664" s="111"/>
      <c r="B664" s="112"/>
      <c r="C664" s="111"/>
      <c r="D664" s="111"/>
      <c r="E664" s="173"/>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row>
    <row r="665" ht="15.75" customHeight="1">
      <c r="A665" s="111"/>
      <c r="B665" s="112"/>
      <c r="C665" s="111"/>
      <c r="D665" s="111"/>
      <c r="E665" s="173"/>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row>
    <row r="666" ht="15.75" customHeight="1">
      <c r="A666" s="111"/>
      <c r="B666" s="112"/>
      <c r="C666" s="111"/>
      <c r="D666" s="111"/>
      <c r="E666" s="173"/>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row>
    <row r="667" ht="15.75" customHeight="1">
      <c r="A667" s="111"/>
      <c r="B667" s="112"/>
      <c r="C667" s="111"/>
      <c r="D667" s="111"/>
      <c r="E667" s="173"/>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row>
    <row r="668" ht="15.75" customHeight="1">
      <c r="A668" s="111"/>
      <c r="B668" s="112"/>
      <c r="C668" s="111"/>
      <c r="D668" s="111"/>
      <c r="E668" s="173"/>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row>
    <row r="669" ht="15.75" customHeight="1">
      <c r="A669" s="111"/>
      <c r="B669" s="112"/>
      <c r="C669" s="111"/>
      <c r="D669" s="111"/>
      <c r="E669" s="173"/>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row>
    <row r="670" ht="15.75" customHeight="1">
      <c r="A670" s="111"/>
      <c r="B670" s="112"/>
      <c r="C670" s="111"/>
      <c r="D670" s="111"/>
      <c r="E670" s="173"/>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row>
    <row r="671" ht="15.75" customHeight="1">
      <c r="A671" s="111"/>
      <c r="B671" s="112"/>
      <c r="C671" s="111"/>
      <c r="D671" s="111"/>
      <c r="E671" s="173"/>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row>
    <row r="672" ht="15.75" customHeight="1">
      <c r="A672" s="111"/>
      <c r="B672" s="112"/>
      <c r="C672" s="111"/>
      <c r="D672" s="111"/>
      <c r="E672" s="173"/>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row>
    <row r="673" ht="15.75" customHeight="1">
      <c r="A673" s="111"/>
      <c r="B673" s="112"/>
      <c r="C673" s="111"/>
      <c r="D673" s="111"/>
      <c r="E673" s="173"/>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row>
    <row r="674" ht="15.75" customHeight="1">
      <c r="A674" s="111"/>
      <c r="B674" s="112"/>
      <c r="C674" s="111"/>
      <c r="D674" s="111"/>
      <c r="E674" s="173"/>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row>
    <row r="675" ht="15.75" customHeight="1">
      <c r="A675" s="111"/>
      <c r="B675" s="112"/>
      <c r="C675" s="111"/>
      <c r="D675" s="111"/>
      <c r="E675" s="173"/>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row>
    <row r="676" ht="15.75" customHeight="1">
      <c r="A676" s="111"/>
      <c r="B676" s="112"/>
      <c r="C676" s="111"/>
      <c r="D676" s="111"/>
      <c r="E676" s="173"/>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row>
    <row r="677" ht="15.75" customHeight="1">
      <c r="A677" s="111"/>
      <c r="B677" s="112"/>
      <c r="C677" s="111"/>
      <c r="D677" s="111"/>
      <c r="E677" s="173"/>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row>
    <row r="678" ht="15.75" customHeight="1">
      <c r="A678" s="111"/>
      <c r="B678" s="112"/>
      <c r="C678" s="111"/>
      <c r="D678" s="111"/>
      <c r="E678" s="173"/>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row>
    <row r="679" ht="15.75" customHeight="1">
      <c r="A679" s="111"/>
      <c r="B679" s="112"/>
      <c r="C679" s="111"/>
      <c r="D679" s="111"/>
      <c r="E679" s="173"/>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row>
    <row r="680" ht="15.75" customHeight="1">
      <c r="A680" s="111"/>
      <c r="B680" s="112"/>
      <c r="C680" s="111"/>
      <c r="D680" s="111"/>
      <c r="E680" s="173"/>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row>
    <row r="681" ht="15.75" customHeight="1">
      <c r="A681" s="111"/>
      <c r="B681" s="112"/>
      <c r="C681" s="111"/>
      <c r="D681" s="111"/>
      <c r="E681" s="173"/>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row>
    <row r="682" ht="15.75" customHeight="1">
      <c r="A682" s="111"/>
      <c r="B682" s="112"/>
      <c r="C682" s="111"/>
      <c r="D682" s="111"/>
      <c r="E682" s="173"/>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row>
    <row r="683" ht="15.75" customHeight="1">
      <c r="A683" s="111"/>
      <c r="B683" s="112"/>
      <c r="C683" s="111"/>
      <c r="D683" s="111"/>
      <c r="E683" s="173"/>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row>
    <row r="684" ht="15.75" customHeight="1">
      <c r="A684" s="111"/>
      <c r="B684" s="112"/>
      <c r="C684" s="111"/>
      <c r="D684" s="111"/>
      <c r="E684" s="173"/>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row>
    <row r="685" ht="15.75" customHeight="1">
      <c r="A685" s="111"/>
      <c r="B685" s="112"/>
      <c r="C685" s="111"/>
      <c r="D685" s="111"/>
      <c r="E685" s="173"/>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row>
    <row r="686" ht="15.75" customHeight="1">
      <c r="A686" s="111"/>
      <c r="B686" s="112"/>
      <c r="C686" s="111"/>
      <c r="D686" s="111"/>
      <c r="E686" s="173"/>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row>
    <row r="687" ht="15.75" customHeight="1">
      <c r="A687" s="111"/>
      <c r="B687" s="112"/>
      <c r="C687" s="111"/>
      <c r="D687" s="111"/>
      <c r="E687" s="173"/>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row>
    <row r="688" ht="15.75" customHeight="1">
      <c r="A688" s="111"/>
      <c r="B688" s="112"/>
      <c r="C688" s="111"/>
      <c r="D688" s="111"/>
      <c r="E688" s="173"/>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row>
    <row r="689" ht="15.75" customHeight="1">
      <c r="A689" s="111"/>
      <c r="B689" s="112"/>
      <c r="C689" s="111"/>
      <c r="D689" s="111"/>
      <c r="E689" s="173"/>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row>
    <row r="690" ht="15.75" customHeight="1">
      <c r="A690" s="111"/>
      <c r="B690" s="112"/>
      <c r="C690" s="111"/>
      <c r="D690" s="111"/>
      <c r="E690" s="173"/>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row>
    <row r="691" ht="15.75" customHeight="1">
      <c r="A691" s="111"/>
      <c r="B691" s="112"/>
      <c r="C691" s="111"/>
      <c r="D691" s="111"/>
      <c r="E691" s="173"/>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row>
    <row r="692" ht="15.75" customHeight="1">
      <c r="A692" s="111"/>
      <c r="B692" s="112"/>
      <c r="C692" s="111"/>
      <c r="D692" s="111"/>
      <c r="E692" s="173"/>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row>
    <row r="693" ht="15.75" customHeight="1">
      <c r="A693" s="111"/>
      <c r="B693" s="112"/>
      <c r="C693" s="111"/>
      <c r="D693" s="111"/>
      <c r="E693" s="173"/>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row>
    <row r="694" ht="15.75" customHeight="1">
      <c r="A694" s="111"/>
      <c r="B694" s="112"/>
      <c r="C694" s="111"/>
      <c r="D694" s="111"/>
      <c r="E694" s="173"/>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row>
    <row r="695" ht="15.75" customHeight="1">
      <c r="A695" s="111"/>
      <c r="B695" s="112"/>
      <c r="C695" s="111"/>
      <c r="D695" s="111"/>
      <c r="E695" s="173"/>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row>
    <row r="696" ht="15.75" customHeight="1">
      <c r="A696" s="111"/>
      <c r="B696" s="112"/>
      <c r="C696" s="111"/>
      <c r="D696" s="111"/>
      <c r="E696" s="173"/>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row>
    <row r="697" ht="15.75" customHeight="1">
      <c r="A697" s="111"/>
      <c r="B697" s="112"/>
      <c r="C697" s="111"/>
      <c r="D697" s="111"/>
      <c r="E697" s="173"/>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row>
    <row r="698" ht="15.75" customHeight="1">
      <c r="A698" s="111"/>
      <c r="B698" s="112"/>
      <c r="C698" s="111"/>
      <c r="D698" s="111"/>
      <c r="E698" s="173"/>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row>
    <row r="699" ht="15.75" customHeight="1">
      <c r="A699" s="111"/>
      <c r="B699" s="112"/>
      <c r="C699" s="111"/>
      <c r="D699" s="111"/>
      <c r="E699" s="173"/>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row>
    <row r="700" ht="15.75" customHeight="1">
      <c r="A700" s="111"/>
      <c r="B700" s="112"/>
      <c r="C700" s="111"/>
      <c r="D700" s="111"/>
      <c r="E700" s="173"/>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row>
    <row r="701" ht="15.75" customHeight="1">
      <c r="A701" s="111"/>
      <c r="B701" s="112"/>
      <c r="C701" s="111"/>
      <c r="D701" s="111"/>
      <c r="E701" s="173"/>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row>
    <row r="702" ht="15.75" customHeight="1">
      <c r="A702" s="111"/>
      <c r="B702" s="112"/>
      <c r="C702" s="111"/>
      <c r="D702" s="111"/>
      <c r="E702" s="173"/>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row>
    <row r="703" ht="15.75" customHeight="1">
      <c r="A703" s="111"/>
      <c r="B703" s="112"/>
      <c r="C703" s="111"/>
      <c r="D703" s="111"/>
      <c r="E703" s="173"/>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row>
    <row r="704" ht="15.75" customHeight="1">
      <c r="A704" s="111"/>
      <c r="B704" s="112"/>
      <c r="C704" s="111"/>
      <c r="D704" s="111"/>
      <c r="E704" s="173"/>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row>
    <row r="705" ht="15.75" customHeight="1">
      <c r="A705" s="111"/>
      <c r="B705" s="112"/>
      <c r="C705" s="111"/>
      <c r="D705" s="111"/>
      <c r="E705" s="173"/>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row>
    <row r="706" ht="15.75" customHeight="1">
      <c r="A706" s="111"/>
      <c r="B706" s="112"/>
      <c r="C706" s="111"/>
      <c r="D706" s="111"/>
      <c r="E706" s="173"/>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row>
    <row r="707" ht="15.75" customHeight="1">
      <c r="A707" s="111"/>
      <c r="B707" s="112"/>
      <c r="C707" s="111"/>
      <c r="D707" s="111"/>
      <c r="E707" s="173"/>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row>
    <row r="708" ht="15.75" customHeight="1">
      <c r="A708" s="111"/>
      <c r="B708" s="112"/>
      <c r="C708" s="111"/>
      <c r="D708" s="111"/>
      <c r="E708" s="173"/>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row>
    <row r="709" ht="15.75" customHeight="1">
      <c r="A709" s="111"/>
      <c r="B709" s="112"/>
      <c r="C709" s="111"/>
      <c r="D709" s="111"/>
      <c r="E709" s="173"/>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row>
    <row r="710" ht="15.75" customHeight="1">
      <c r="A710" s="111"/>
      <c r="B710" s="112"/>
      <c r="C710" s="111"/>
      <c r="D710" s="111"/>
      <c r="E710" s="173"/>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row>
    <row r="711" ht="15.75" customHeight="1">
      <c r="A711" s="111"/>
      <c r="B711" s="112"/>
      <c r="C711" s="111"/>
      <c r="D711" s="111"/>
      <c r="E711" s="173"/>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row>
    <row r="712" ht="15.75" customHeight="1">
      <c r="A712" s="111"/>
      <c r="B712" s="112"/>
      <c r="C712" s="111"/>
      <c r="D712" s="111"/>
      <c r="E712" s="173"/>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row>
    <row r="713" ht="15.75" customHeight="1">
      <c r="A713" s="111"/>
      <c r="B713" s="112"/>
      <c r="C713" s="111"/>
      <c r="D713" s="111"/>
      <c r="E713" s="173"/>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row>
    <row r="714" ht="15.75" customHeight="1">
      <c r="A714" s="111"/>
      <c r="B714" s="112"/>
      <c r="C714" s="111"/>
      <c r="D714" s="111"/>
      <c r="E714" s="173"/>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row>
    <row r="715" ht="15.75" customHeight="1">
      <c r="A715" s="111"/>
      <c r="B715" s="112"/>
      <c r="C715" s="111"/>
      <c r="D715" s="111"/>
      <c r="E715" s="173"/>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row>
    <row r="716" ht="15.75" customHeight="1">
      <c r="A716" s="111"/>
      <c r="B716" s="112"/>
      <c r="C716" s="111"/>
      <c r="D716" s="111"/>
      <c r="E716" s="173"/>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row>
    <row r="717" ht="15.75" customHeight="1">
      <c r="A717" s="111"/>
      <c r="B717" s="112"/>
      <c r="C717" s="111"/>
      <c r="D717" s="111"/>
      <c r="E717" s="173"/>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row>
    <row r="718" ht="15.75" customHeight="1">
      <c r="A718" s="111"/>
      <c r="B718" s="112"/>
      <c r="C718" s="111"/>
      <c r="D718" s="111"/>
      <c r="E718" s="173"/>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row>
    <row r="719" ht="15.75" customHeight="1">
      <c r="A719" s="111"/>
      <c r="B719" s="112"/>
      <c r="C719" s="111"/>
      <c r="D719" s="111"/>
      <c r="E719" s="173"/>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row>
    <row r="720" ht="15.75" customHeight="1">
      <c r="A720" s="111"/>
      <c r="B720" s="112"/>
      <c r="C720" s="111"/>
      <c r="D720" s="111"/>
      <c r="E720" s="173"/>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row>
    <row r="721" ht="15.75" customHeight="1">
      <c r="A721" s="111"/>
      <c r="B721" s="112"/>
      <c r="C721" s="111"/>
      <c r="D721" s="111"/>
      <c r="E721" s="173"/>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row>
    <row r="722" ht="15.75" customHeight="1">
      <c r="A722" s="111"/>
      <c r="B722" s="112"/>
      <c r="C722" s="111"/>
      <c r="D722" s="111"/>
      <c r="E722" s="173"/>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row>
    <row r="723" ht="15.75" customHeight="1">
      <c r="A723" s="111"/>
      <c r="B723" s="112"/>
      <c r="C723" s="111"/>
      <c r="D723" s="111"/>
      <c r="E723" s="173"/>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row>
    <row r="724" ht="15.75" customHeight="1">
      <c r="A724" s="111"/>
      <c r="B724" s="112"/>
      <c r="C724" s="111"/>
      <c r="D724" s="111"/>
      <c r="E724" s="173"/>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row>
    <row r="725" ht="15.75" customHeight="1">
      <c r="A725" s="111"/>
      <c r="B725" s="112"/>
      <c r="C725" s="111"/>
      <c r="D725" s="111"/>
      <c r="E725" s="173"/>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row>
    <row r="726" ht="15.75" customHeight="1">
      <c r="A726" s="111"/>
      <c r="B726" s="112"/>
      <c r="C726" s="111"/>
      <c r="D726" s="111"/>
      <c r="E726" s="173"/>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row>
    <row r="727" ht="15.75" customHeight="1">
      <c r="A727" s="111"/>
      <c r="B727" s="112"/>
      <c r="C727" s="111"/>
      <c r="D727" s="111"/>
      <c r="E727" s="173"/>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row>
    <row r="728" ht="15.75" customHeight="1">
      <c r="A728" s="111"/>
      <c r="B728" s="112"/>
      <c r="C728" s="111"/>
      <c r="D728" s="111"/>
      <c r="E728" s="173"/>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row>
    <row r="729" ht="15.75" customHeight="1">
      <c r="A729" s="111"/>
      <c r="B729" s="112"/>
      <c r="C729" s="111"/>
      <c r="D729" s="111"/>
      <c r="E729" s="173"/>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row>
    <row r="730" ht="15.75" customHeight="1">
      <c r="A730" s="111"/>
      <c r="B730" s="112"/>
      <c r="C730" s="111"/>
      <c r="D730" s="111"/>
      <c r="E730" s="173"/>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row>
    <row r="731" ht="15.75" customHeight="1">
      <c r="A731" s="111"/>
      <c r="B731" s="112"/>
      <c r="C731" s="111"/>
      <c r="D731" s="111"/>
      <c r="E731" s="173"/>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row>
    <row r="732" ht="15.75" customHeight="1">
      <c r="A732" s="111"/>
      <c r="B732" s="112"/>
      <c r="C732" s="111"/>
      <c r="D732" s="111"/>
      <c r="E732" s="173"/>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row>
    <row r="733" ht="15.75" customHeight="1">
      <c r="A733" s="111"/>
      <c r="B733" s="112"/>
      <c r="C733" s="111"/>
      <c r="D733" s="111"/>
      <c r="E733" s="173"/>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row>
    <row r="734" ht="15.75" customHeight="1">
      <c r="A734" s="111"/>
      <c r="B734" s="112"/>
      <c r="C734" s="111"/>
      <c r="D734" s="111"/>
      <c r="E734" s="173"/>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row>
    <row r="735" ht="15.75" customHeight="1">
      <c r="A735" s="111"/>
      <c r="B735" s="112"/>
      <c r="C735" s="111"/>
      <c r="D735" s="111"/>
      <c r="E735" s="173"/>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row>
    <row r="736" ht="15.75" customHeight="1">
      <c r="A736" s="111"/>
      <c r="B736" s="112"/>
      <c r="C736" s="111"/>
      <c r="D736" s="111"/>
      <c r="E736" s="173"/>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row>
    <row r="737" ht="15.75" customHeight="1">
      <c r="A737" s="111"/>
      <c r="B737" s="112"/>
      <c r="C737" s="111"/>
      <c r="D737" s="111"/>
      <c r="E737" s="173"/>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row>
    <row r="738" ht="15.75" customHeight="1">
      <c r="A738" s="111"/>
      <c r="B738" s="112"/>
      <c r="C738" s="111"/>
      <c r="D738" s="111"/>
      <c r="E738" s="173"/>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row>
    <row r="739" ht="15.75" customHeight="1">
      <c r="A739" s="111"/>
      <c r="B739" s="112"/>
      <c r="C739" s="111"/>
      <c r="D739" s="111"/>
      <c r="E739" s="173"/>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row>
    <row r="740" ht="15.75" customHeight="1">
      <c r="A740" s="111"/>
      <c r="B740" s="112"/>
      <c r="C740" s="111"/>
      <c r="D740" s="111"/>
      <c r="E740" s="173"/>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row>
    <row r="741" ht="15.75" customHeight="1">
      <c r="A741" s="111"/>
      <c r="B741" s="112"/>
      <c r="C741" s="111"/>
      <c r="D741" s="111"/>
      <c r="E741" s="173"/>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row>
    <row r="742" ht="15.75" customHeight="1">
      <c r="A742" s="111"/>
      <c r="B742" s="112"/>
      <c r="C742" s="111"/>
      <c r="D742" s="111"/>
      <c r="E742" s="173"/>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row>
    <row r="743" ht="15.75" customHeight="1">
      <c r="A743" s="111"/>
      <c r="B743" s="112"/>
      <c r="C743" s="111"/>
      <c r="D743" s="111"/>
      <c r="E743" s="173"/>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row>
    <row r="744" ht="15.75" customHeight="1">
      <c r="A744" s="111"/>
      <c r="B744" s="112"/>
      <c r="C744" s="111"/>
      <c r="D744" s="111"/>
      <c r="E744" s="173"/>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row>
    <row r="745" ht="15.75" customHeight="1">
      <c r="A745" s="111"/>
      <c r="B745" s="112"/>
      <c r="C745" s="111"/>
      <c r="D745" s="111"/>
      <c r="E745" s="173"/>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row>
    <row r="746" ht="15.75" customHeight="1">
      <c r="A746" s="111"/>
      <c r="B746" s="112"/>
      <c r="C746" s="111"/>
      <c r="D746" s="111"/>
      <c r="E746" s="173"/>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row>
    <row r="747" ht="15.75" customHeight="1">
      <c r="A747" s="111"/>
      <c r="B747" s="112"/>
      <c r="C747" s="111"/>
      <c r="D747" s="111"/>
      <c r="E747" s="173"/>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row>
    <row r="748" ht="15.75" customHeight="1">
      <c r="A748" s="111"/>
      <c r="B748" s="112"/>
      <c r="C748" s="111"/>
      <c r="D748" s="111"/>
      <c r="E748" s="173"/>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row>
    <row r="749" ht="15.75" customHeight="1">
      <c r="A749" s="111"/>
      <c r="B749" s="112"/>
      <c r="C749" s="111"/>
      <c r="D749" s="111"/>
      <c r="E749" s="173"/>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row>
    <row r="750" ht="15.75" customHeight="1">
      <c r="A750" s="111"/>
      <c r="B750" s="112"/>
      <c r="C750" s="111"/>
      <c r="D750" s="111"/>
      <c r="E750" s="173"/>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row>
    <row r="751" ht="15.75" customHeight="1">
      <c r="A751" s="111"/>
      <c r="B751" s="112"/>
      <c r="C751" s="111"/>
      <c r="D751" s="111"/>
      <c r="E751" s="173"/>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row>
    <row r="752" ht="15.75" customHeight="1">
      <c r="A752" s="111"/>
      <c r="B752" s="112"/>
      <c r="C752" s="111"/>
      <c r="D752" s="111"/>
      <c r="E752" s="173"/>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row>
    <row r="753" ht="15.75" customHeight="1">
      <c r="A753" s="111"/>
      <c r="B753" s="112"/>
      <c r="C753" s="111"/>
      <c r="D753" s="111"/>
      <c r="E753" s="173"/>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row>
    <row r="754" ht="15.75" customHeight="1">
      <c r="A754" s="111"/>
      <c r="B754" s="112"/>
      <c r="C754" s="111"/>
      <c r="D754" s="111"/>
      <c r="E754" s="173"/>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row>
    <row r="755" ht="15.75" customHeight="1">
      <c r="A755" s="111"/>
      <c r="B755" s="112"/>
      <c r="C755" s="111"/>
      <c r="D755" s="111"/>
      <c r="E755" s="173"/>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row>
    <row r="756" ht="15.75" customHeight="1">
      <c r="A756" s="111"/>
      <c r="B756" s="112"/>
      <c r="C756" s="111"/>
      <c r="D756" s="111"/>
      <c r="E756" s="173"/>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row>
    <row r="757" ht="15.75" customHeight="1">
      <c r="A757" s="111"/>
      <c r="B757" s="112"/>
      <c r="C757" s="111"/>
      <c r="D757" s="111"/>
      <c r="E757" s="173"/>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row>
    <row r="758" ht="15.75" customHeight="1">
      <c r="A758" s="111"/>
      <c r="B758" s="112"/>
      <c r="C758" s="111"/>
      <c r="D758" s="111"/>
      <c r="E758" s="173"/>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row>
    <row r="759" ht="15.75" customHeight="1">
      <c r="A759" s="111"/>
      <c r="B759" s="112"/>
      <c r="C759" s="111"/>
      <c r="D759" s="111"/>
      <c r="E759" s="173"/>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row>
    <row r="760" ht="15.75" customHeight="1">
      <c r="A760" s="111"/>
      <c r="B760" s="112"/>
      <c r="C760" s="111"/>
      <c r="D760" s="111"/>
      <c r="E760" s="173"/>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row>
    <row r="761" ht="15.75" customHeight="1">
      <c r="A761" s="111"/>
      <c r="B761" s="112"/>
      <c r="C761" s="111"/>
      <c r="D761" s="111"/>
      <c r="E761" s="173"/>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row>
    <row r="762" ht="15.75" customHeight="1">
      <c r="A762" s="111"/>
      <c r="B762" s="112"/>
      <c r="C762" s="111"/>
      <c r="D762" s="111"/>
      <c r="E762" s="173"/>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row>
    <row r="763" ht="15.75" customHeight="1">
      <c r="A763" s="111"/>
      <c r="B763" s="112"/>
      <c r="C763" s="111"/>
      <c r="D763" s="111"/>
      <c r="E763" s="173"/>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row>
    <row r="764" ht="15.75" customHeight="1">
      <c r="A764" s="111"/>
      <c r="B764" s="112"/>
      <c r="C764" s="111"/>
      <c r="D764" s="111"/>
      <c r="E764" s="173"/>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row>
    <row r="765" ht="15.75" customHeight="1">
      <c r="A765" s="111"/>
      <c r="B765" s="112"/>
      <c r="C765" s="111"/>
      <c r="D765" s="111"/>
      <c r="E765" s="173"/>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row>
    <row r="766" ht="15.75" customHeight="1">
      <c r="A766" s="111"/>
      <c r="B766" s="112"/>
      <c r="C766" s="111"/>
      <c r="D766" s="111"/>
      <c r="E766" s="173"/>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row>
    <row r="767" ht="15.75" customHeight="1">
      <c r="A767" s="111"/>
      <c r="B767" s="112"/>
      <c r="C767" s="111"/>
      <c r="D767" s="111"/>
      <c r="E767" s="173"/>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row>
    <row r="768" ht="15.75" customHeight="1">
      <c r="A768" s="111"/>
      <c r="B768" s="112"/>
      <c r="C768" s="111"/>
      <c r="D768" s="111"/>
      <c r="E768" s="173"/>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row>
    <row r="769" ht="15.75" customHeight="1">
      <c r="A769" s="111"/>
      <c r="B769" s="112"/>
      <c r="C769" s="111"/>
      <c r="D769" s="111"/>
      <c r="E769" s="173"/>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row>
    <row r="770" ht="15.75" customHeight="1">
      <c r="A770" s="111"/>
      <c r="B770" s="112"/>
      <c r="C770" s="111"/>
      <c r="D770" s="111"/>
      <c r="E770" s="173"/>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row>
    <row r="771" ht="15.75" customHeight="1">
      <c r="A771" s="111"/>
      <c r="B771" s="112"/>
      <c r="C771" s="111"/>
      <c r="D771" s="111"/>
      <c r="E771" s="173"/>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row>
    <row r="772" ht="15.75" customHeight="1">
      <c r="A772" s="111"/>
      <c r="B772" s="112"/>
      <c r="C772" s="111"/>
      <c r="D772" s="111"/>
      <c r="E772" s="173"/>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row>
    <row r="773" ht="15.75" customHeight="1">
      <c r="A773" s="111"/>
      <c r="B773" s="112"/>
      <c r="C773" s="111"/>
      <c r="D773" s="111"/>
      <c r="E773" s="173"/>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row>
    <row r="774" ht="15.75" customHeight="1">
      <c r="A774" s="111"/>
      <c r="B774" s="112"/>
      <c r="C774" s="111"/>
      <c r="D774" s="111"/>
      <c r="E774" s="173"/>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row>
    <row r="775" ht="15.75" customHeight="1">
      <c r="A775" s="111"/>
      <c r="B775" s="112"/>
      <c r="C775" s="111"/>
      <c r="D775" s="111"/>
      <c r="E775" s="173"/>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row>
    <row r="776" ht="15.75" customHeight="1">
      <c r="A776" s="111"/>
      <c r="B776" s="112"/>
      <c r="C776" s="111"/>
      <c r="D776" s="111"/>
      <c r="E776" s="173"/>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row>
    <row r="777" ht="15.75" customHeight="1">
      <c r="A777" s="111"/>
      <c r="B777" s="112"/>
      <c r="C777" s="111"/>
      <c r="D777" s="111"/>
      <c r="E777" s="173"/>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row>
    <row r="778" ht="15.75" customHeight="1">
      <c r="A778" s="111"/>
      <c r="B778" s="112"/>
      <c r="C778" s="111"/>
      <c r="D778" s="111"/>
      <c r="E778" s="173"/>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row>
    <row r="779" ht="15.75" customHeight="1">
      <c r="A779" s="111"/>
      <c r="B779" s="112"/>
      <c r="C779" s="111"/>
      <c r="D779" s="111"/>
      <c r="E779" s="173"/>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row>
    <row r="780" ht="15.75" customHeight="1">
      <c r="A780" s="111"/>
      <c r="B780" s="112"/>
      <c r="C780" s="111"/>
      <c r="D780" s="111"/>
      <c r="E780" s="173"/>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row>
    <row r="781" ht="15.75" customHeight="1">
      <c r="A781" s="111"/>
      <c r="B781" s="112"/>
      <c r="C781" s="111"/>
      <c r="D781" s="111"/>
      <c r="E781" s="173"/>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row>
    <row r="782" ht="15.75" customHeight="1">
      <c r="A782" s="111"/>
      <c r="B782" s="112"/>
      <c r="C782" s="111"/>
      <c r="D782" s="111"/>
      <c r="E782" s="173"/>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row>
    <row r="783" ht="15.75" customHeight="1">
      <c r="A783" s="111"/>
      <c r="B783" s="112"/>
      <c r="C783" s="111"/>
      <c r="D783" s="111"/>
      <c r="E783" s="173"/>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row>
    <row r="784" ht="15.75" customHeight="1">
      <c r="A784" s="111"/>
      <c r="B784" s="112"/>
      <c r="C784" s="111"/>
      <c r="D784" s="111"/>
      <c r="E784" s="173"/>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row>
    <row r="785" ht="15.75" customHeight="1">
      <c r="A785" s="111"/>
      <c r="B785" s="112"/>
      <c r="C785" s="111"/>
      <c r="D785" s="111"/>
      <c r="E785" s="173"/>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row>
    <row r="786" ht="15.75" customHeight="1">
      <c r="A786" s="111"/>
      <c r="B786" s="112"/>
      <c r="C786" s="111"/>
      <c r="D786" s="111"/>
      <c r="E786" s="173"/>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row>
    <row r="787" ht="15.75" customHeight="1">
      <c r="A787" s="111"/>
      <c r="B787" s="112"/>
      <c r="C787" s="111"/>
      <c r="D787" s="111"/>
      <c r="E787" s="173"/>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row>
    <row r="788" ht="15.75" customHeight="1">
      <c r="A788" s="111"/>
      <c r="B788" s="112"/>
      <c r="C788" s="111"/>
      <c r="D788" s="111"/>
      <c r="E788" s="173"/>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row>
    <row r="789" ht="15.75" customHeight="1">
      <c r="A789" s="111"/>
      <c r="B789" s="112"/>
      <c r="C789" s="111"/>
      <c r="D789" s="111"/>
      <c r="E789" s="173"/>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row>
    <row r="790" ht="15.75" customHeight="1">
      <c r="A790" s="111"/>
      <c r="B790" s="112"/>
      <c r="C790" s="111"/>
      <c r="D790" s="111"/>
      <c r="E790" s="173"/>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row>
    <row r="791" ht="15.75" customHeight="1">
      <c r="A791" s="111"/>
      <c r="B791" s="112"/>
      <c r="C791" s="111"/>
      <c r="D791" s="111"/>
      <c r="E791" s="173"/>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row>
    <row r="792" ht="15.75" customHeight="1">
      <c r="A792" s="111"/>
      <c r="B792" s="112"/>
      <c r="C792" s="111"/>
      <c r="D792" s="111"/>
      <c r="E792" s="173"/>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row>
    <row r="793" ht="15.75" customHeight="1">
      <c r="A793" s="111"/>
      <c r="B793" s="112"/>
      <c r="C793" s="111"/>
      <c r="D793" s="111"/>
      <c r="E793" s="173"/>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row>
    <row r="794" ht="15.75" customHeight="1">
      <c r="A794" s="111"/>
      <c r="B794" s="112"/>
      <c r="C794" s="111"/>
      <c r="D794" s="111"/>
      <c r="E794" s="173"/>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row>
    <row r="795" ht="15.75" customHeight="1">
      <c r="A795" s="111"/>
      <c r="B795" s="112"/>
      <c r="C795" s="111"/>
      <c r="D795" s="111"/>
      <c r="E795" s="173"/>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row>
    <row r="796" ht="15.75" customHeight="1">
      <c r="A796" s="111"/>
      <c r="B796" s="112"/>
      <c r="C796" s="111"/>
      <c r="D796" s="111"/>
      <c r="E796" s="173"/>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row>
    <row r="797" ht="15.75" customHeight="1">
      <c r="A797" s="111"/>
      <c r="B797" s="112"/>
      <c r="C797" s="111"/>
      <c r="D797" s="111"/>
      <c r="E797" s="173"/>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row>
    <row r="798" ht="15.75" customHeight="1">
      <c r="A798" s="111"/>
      <c r="B798" s="112"/>
      <c r="C798" s="111"/>
      <c r="D798" s="111"/>
      <c r="E798" s="173"/>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row>
    <row r="799" ht="15.75" customHeight="1">
      <c r="A799" s="111"/>
      <c r="B799" s="112"/>
      <c r="C799" s="111"/>
      <c r="D799" s="111"/>
      <c r="E799" s="173"/>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row>
    <row r="800" ht="15.75" customHeight="1">
      <c r="A800" s="111"/>
      <c r="B800" s="112"/>
      <c r="C800" s="111"/>
      <c r="D800" s="111"/>
      <c r="E800" s="173"/>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row>
    <row r="801" ht="15.75" customHeight="1">
      <c r="A801" s="111"/>
      <c r="B801" s="112"/>
      <c r="C801" s="111"/>
      <c r="D801" s="111"/>
      <c r="E801" s="173"/>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row>
    <row r="802" ht="15.75" customHeight="1">
      <c r="A802" s="111"/>
      <c r="B802" s="112"/>
      <c r="C802" s="111"/>
      <c r="D802" s="111"/>
      <c r="E802" s="173"/>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row>
    <row r="803" ht="15.75" customHeight="1">
      <c r="A803" s="111"/>
      <c r="B803" s="112"/>
      <c r="C803" s="111"/>
      <c r="D803" s="111"/>
      <c r="E803" s="173"/>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row>
    <row r="804" ht="15.75" customHeight="1">
      <c r="A804" s="111"/>
      <c r="B804" s="112"/>
      <c r="C804" s="111"/>
      <c r="D804" s="111"/>
      <c r="E804" s="173"/>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row>
    <row r="805" ht="15.75" customHeight="1">
      <c r="A805" s="111"/>
      <c r="B805" s="112"/>
      <c r="C805" s="111"/>
      <c r="D805" s="111"/>
      <c r="E805" s="173"/>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row>
    <row r="806" ht="15.75" customHeight="1">
      <c r="A806" s="111"/>
      <c r="B806" s="112"/>
      <c r="C806" s="111"/>
      <c r="D806" s="111"/>
      <c r="E806" s="173"/>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row>
    <row r="807" ht="15.75" customHeight="1">
      <c r="A807" s="111"/>
      <c r="B807" s="112"/>
      <c r="C807" s="111"/>
      <c r="D807" s="111"/>
      <c r="E807" s="173"/>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row>
    <row r="808" ht="15.75" customHeight="1">
      <c r="A808" s="111"/>
      <c r="B808" s="112"/>
      <c r="C808" s="111"/>
      <c r="D808" s="111"/>
      <c r="E808" s="173"/>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row>
    <row r="809" ht="15.75" customHeight="1">
      <c r="A809" s="111"/>
      <c r="B809" s="112"/>
      <c r="C809" s="111"/>
      <c r="D809" s="111"/>
      <c r="E809" s="173"/>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row>
    <row r="810" ht="15.75" customHeight="1">
      <c r="A810" s="111"/>
      <c r="B810" s="112"/>
      <c r="C810" s="111"/>
      <c r="D810" s="111"/>
      <c r="E810" s="173"/>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row>
    <row r="811" ht="15.75" customHeight="1">
      <c r="A811" s="111"/>
      <c r="B811" s="112"/>
      <c r="C811" s="111"/>
      <c r="D811" s="111"/>
      <c r="E811" s="173"/>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row>
    <row r="812" ht="15.75" customHeight="1">
      <c r="A812" s="111"/>
      <c r="B812" s="112"/>
      <c r="C812" s="111"/>
      <c r="D812" s="111"/>
      <c r="E812" s="173"/>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row>
    <row r="813" ht="15.75" customHeight="1">
      <c r="A813" s="111"/>
      <c r="B813" s="112"/>
      <c r="C813" s="111"/>
      <c r="D813" s="111"/>
      <c r="E813" s="173"/>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row>
    <row r="814" ht="15.75" customHeight="1">
      <c r="A814" s="111"/>
      <c r="B814" s="112"/>
      <c r="C814" s="111"/>
      <c r="D814" s="111"/>
      <c r="E814" s="173"/>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row>
    <row r="815" ht="15.75" customHeight="1">
      <c r="A815" s="111"/>
      <c r="B815" s="112"/>
      <c r="C815" s="111"/>
      <c r="D815" s="111"/>
      <c r="E815" s="173"/>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row>
    <row r="816" ht="15.75" customHeight="1">
      <c r="A816" s="111"/>
      <c r="B816" s="112"/>
      <c r="C816" s="111"/>
      <c r="D816" s="111"/>
      <c r="E816" s="173"/>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row>
    <row r="817" ht="15.75" customHeight="1">
      <c r="A817" s="111"/>
      <c r="B817" s="112"/>
      <c r="C817" s="111"/>
      <c r="D817" s="111"/>
      <c r="E817" s="173"/>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row>
    <row r="818" ht="15.75" customHeight="1">
      <c r="A818" s="111"/>
      <c r="B818" s="112"/>
      <c r="C818" s="111"/>
      <c r="D818" s="111"/>
      <c r="E818" s="173"/>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row>
    <row r="819" ht="15.75" customHeight="1">
      <c r="A819" s="111"/>
      <c r="B819" s="112"/>
      <c r="C819" s="111"/>
      <c r="D819" s="111"/>
      <c r="E819" s="173"/>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row>
    <row r="820" ht="15.75" customHeight="1">
      <c r="A820" s="111"/>
      <c r="B820" s="112"/>
      <c r="C820" s="111"/>
      <c r="D820" s="111"/>
      <c r="E820" s="173"/>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row>
    <row r="821" ht="15.75" customHeight="1">
      <c r="A821" s="111"/>
      <c r="B821" s="112"/>
      <c r="C821" s="111"/>
      <c r="D821" s="111"/>
      <c r="E821" s="173"/>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row>
    <row r="822" ht="15.75" customHeight="1">
      <c r="A822" s="111"/>
      <c r="B822" s="112"/>
      <c r="C822" s="111"/>
      <c r="D822" s="111"/>
      <c r="E822" s="173"/>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row>
    <row r="823" ht="15.75" customHeight="1">
      <c r="A823" s="111"/>
      <c r="B823" s="112"/>
      <c r="C823" s="111"/>
      <c r="D823" s="111"/>
      <c r="E823" s="173"/>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row>
    <row r="824" ht="15.75" customHeight="1">
      <c r="A824" s="111"/>
      <c r="B824" s="112"/>
      <c r="C824" s="111"/>
      <c r="D824" s="111"/>
      <c r="E824" s="173"/>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row>
    <row r="825" ht="15.75" customHeight="1">
      <c r="A825" s="111"/>
      <c r="B825" s="112"/>
      <c r="C825" s="111"/>
      <c r="D825" s="111"/>
      <c r="E825" s="173"/>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row>
    <row r="826" ht="15.75" customHeight="1">
      <c r="A826" s="111"/>
      <c r="B826" s="112"/>
      <c r="C826" s="111"/>
      <c r="D826" s="111"/>
      <c r="E826" s="173"/>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row>
    <row r="827" ht="15.75" customHeight="1">
      <c r="A827" s="111"/>
      <c r="B827" s="112"/>
      <c r="C827" s="111"/>
      <c r="D827" s="111"/>
      <c r="E827" s="173"/>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row>
    <row r="828" ht="15.75" customHeight="1">
      <c r="A828" s="111"/>
      <c r="B828" s="112"/>
      <c r="C828" s="111"/>
      <c r="D828" s="111"/>
      <c r="E828" s="173"/>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row>
    <row r="829" ht="15.75" customHeight="1">
      <c r="A829" s="111"/>
      <c r="B829" s="112"/>
      <c r="C829" s="111"/>
      <c r="D829" s="111"/>
      <c r="E829" s="173"/>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row>
    <row r="830" ht="15.75" customHeight="1">
      <c r="A830" s="111"/>
      <c r="B830" s="112"/>
      <c r="C830" s="111"/>
      <c r="D830" s="111"/>
      <c r="E830" s="173"/>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row>
    <row r="831" ht="15.75" customHeight="1">
      <c r="A831" s="111"/>
      <c r="B831" s="112"/>
      <c r="C831" s="111"/>
      <c r="D831" s="111"/>
      <c r="E831" s="173"/>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row>
    <row r="832" ht="15.75" customHeight="1">
      <c r="A832" s="111"/>
      <c r="B832" s="112"/>
      <c r="C832" s="111"/>
      <c r="D832" s="111"/>
      <c r="E832" s="173"/>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row>
    <row r="833" ht="15.75" customHeight="1">
      <c r="A833" s="111"/>
      <c r="B833" s="112"/>
      <c r="C833" s="111"/>
      <c r="D833" s="111"/>
      <c r="E833" s="173"/>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row>
    <row r="834" ht="15.75" customHeight="1">
      <c r="A834" s="111"/>
      <c r="B834" s="112"/>
      <c r="C834" s="111"/>
      <c r="D834" s="111"/>
      <c r="E834" s="173"/>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row>
    <row r="835" ht="15.75" customHeight="1">
      <c r="A835" s="111"/>
      <c r="B835" s="112"/>
      <c r="C835" s="111"/>
      <c r="D835" s="111"/>
      <c r="E835" s="173"/>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row>
    <row r="836" ht="15.75" customHeight="1">
      <c r="A836" s="111"/>
      <c r="B836" s="112"/>
      <c r="C836" s="111"/>
      <c r="D836" s="111"/>
      <c r="E836" s="173"/>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row>
    <row r="837" ht="15.75" customHeight="1">
      <c r="A837" s="111"/>
      <c r="B837" s="112"/>
      <c r="C837" s="111"/>
      <c r="D837" s="111"/>
      <c r="E837" s="173"/>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row>
    <row r="838" ht="15.75" customHeight="1">
      <c r="A838" s="111"/>
      <c r="B838" s="112"/>
      <c r="C838" s="111"/>
      <c r="D838" s="111"/>
      <c r="E838" s="173"/>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row>
    <row r="839" ht="15.75" customHeight="1">
      <c r="A839" s="111"/>
      <c r="B839" s="112"/>
      <c r="C839" s="111"/>
      <c r="D839" s="111"/>
      <c r="E839" s="173"/>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row>
    <row r="840" ht="15.75" customHeight="1">
      <c r="A840" s="111"/>
      <c r="B840" s="112"/>
      <c r="C840" s="111"/>
      <c r="D840" s="111"/>
      <c r="E840" s="173"/>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row>
    <row r="841" ht="15.75" customHeight="1">
      <c r="A841" s="111"/>
      <c r="B841" s="112"/>
      <c r="C841" s="111"/>
      <c r="D841" s="111"/>
      <c r="E841" s="173"/>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row>
    <row r="842" ht="15.75" customHeight="1">
      <c r="A842" s="111"/>
      <c r="B842" s="112"/>
      <c r="C842" s="111"/>
      <c r="D842" s="111"/>
      <c r="E842" s="173"/>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row>
    <row r="843" ht="15.75" customHeight="1">
      <c r="A843" s="111"/>
      <c r="B843" s="112"/>
      <c r="C843" s="111"/>
      <c r="D843" s="111"/>
      <c r="E843" s="173"/>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row>
    <row r="844" ht="15.75" customHeight="1">
      <c r="A844" s="111"/>
      <c r="B844" s="112"/>
      <c r="C844" s="111"/>
      <c r="D844" s="111"/>
      <c r="E844" s="173"/>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row>
    <row r="845" ht="15.75" customHeight="1">
      <c r="A845" s="111"/>
      <c r="B845" s="112"/>
      <c r="C845" s="111"/>
      <c r="D845" s="111"/>
      <c r="E845" s="173"/>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row>
    <row r="846" ht="15.75" customHeight="1">
      <c r="A846" s="111"/>
      <c r="B846" s="112"/>
      <c r="C846" s="111"/>
      <c r="D846" s="111"/>
      <c r="E846" s="173"/>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row>
    <row r="847" ht="15.75" customHeight="1">
      <c r="A847" s="111"/>
      <c r="B847" s="112"/>
      <c r="C847" s="111"/>
      <c r="D847" s="111"/>
      <c r="E847" s="173"/>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row>
    <row r="848" ht="15.75" customHeight="1">
      <c r="A848" s="111"/>
      <c r="B848" s="112"/>
      <c r="C848" s="111"/>
      <c r="D848" s="111"/>
      <c r="E848" s="173"/>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row>
    <row r="849" ht="15.75" customHeight="1">
      <c r="A849" s="111"/>
      <c r="B849" s="112"/>
      <c r="C849" s="111"/>
      <c r="D849" s="111"/>
      <c r="E849" s="173"/>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row>
    <row r="850" ht="15.75" customHeight="1">
      <c r="A850" s="111"/>
      <c r="B850" s="112"/>
      <c r="C850" s="111"/>
      <c r="D850" s="111"/>
      <c r="E850" s="173"/>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row>
    <row r="851" ht="15.75" customHeight="1">
      <c r="A851" s="111"/>
      <c r="B851" s="112"/>
      <c r="C851" s="111"/>
      <c r="D851" s="111"/>
      <c r="E851" s="173"/>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row>
    <row r="852" ht="15.75" customHeight="1">
      <c r="A852" s="111"/>
      <c r="B852" s="112"/>
      <c r="C852" s="111"/>
      <c r="D852" s="111"/>
      <c r="E852" s="173"/>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row>
    <row r="853" ht="15.75" customHeight="1">
      <c r="A853" s="111"/>
      <c r="B853" s="112"/>
      <c r="C853" s="111"/>
      <c r="D853" s="111"/>
      <c r="E853" s="173"/>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row>
    <row r="854" ht="15.75" customHeight="1">
      <c r="A854" s="111"/>
      <c r="B854" s="112"/>
      <c r="C854" s="111"/>
      <c r="D854" s="111"/>
      <c r="E854" s="173"/>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row>
    <row r="855" ht="15.75" customHeight="1">
      <c r="A855" s="111"/>
      <c r="B855" s="112"/>
      <c r="C855" s="111"/>
      <c r="D855" s="111"/>
      <c r="E855" s="173"/>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row>
    <row r="856" ht="15.75" customHeight="1">
      <c r="A856" s="111"/>
      <c r="B856" s="112"/>
      <c r="C856" s="111"/>
      <c r="D856" s="111"/>
      <c r="E856" s="173"/>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row>
    <row r="857" ht="15.75" customHeight="1">
      <c r="A857" s="111"/>
      <c r="B857" s="112"/>
      <c r="C857" s="111"/>
      <c r="D857" s="111"/>
      <c r="E857" s="173"/>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row>
    <row r="858" ht="15.75" customHeight="1">
      <c r="A858" s="111"/>
      <c r="B858" s="112"/>
      <c r="C858" s="111"/>
      <c r="D858" s="111"/>
      <c r="E858" s="173"/>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row>
    <row r="859" ht="15.75" customHeight="1">
      <c r="A859" s="111"/>
      <c r="B859" s="112"/>
      <c r="C859" s="111"/>
      <c r="D859" s="111"/>
      <c r="E859" s="173"/>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row>
    <row r="860" ht="15.75" customHeight="1">
      <c r="A860" s="111"/>
      <c r="B860" s="112"/>
      <c r="C860" s="111"/>
      <c r="D860" s="111"/>
      <c r="E860" s="173"/>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row>
    <row r="861" ht="15.75" customHeight="1">
      <c r="A861" s="111"/>
      <c r="B861" s="112"/>
      <c r="C861" s="111"/>
      <c r="D861" s="111"/>
      <c r="E861" s="173"/>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row>
    <row r="862" ht="15.75" customHeight="1">
      <c r="A862" s="111"/>
      <c r="B862" s="112"/>
      <c r="C862" s="111"/>
      <c r="D862" s="111"/>
      <c r="E862" s="173"/>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row>
    <row r="863" ht="15.75" customHeight="1">
      <c r="A863" s="111"/>
      <c r="B863" s="112"/>
      <c r="C863" s="111"/>
      <c r="D863" s="111"/>
      <c r="E863" s="173"/>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row>
    <row r="864" ht="15.75" customHeight="1">
      <c r="A864" s="111"/>
      <c r="B864" s="112"/>
      <c r="C864" s="111"/>
      <c r="D864" s="111"/>
      <c r="E864" s="173"/>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row>
    <row r="865" ht="15.75" customHeight="1">
      <c r="A865" s="111"/>
      <c r="B865" s="112"/>
      <c r="C865" s="111"/>
      <c r="D865" s="111"/>
      <c r="E865" s="173"/>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row>
    <row r="866" ht="15.75" customHeight="1">
      <c r="A866" s="111"/>
      <c r="B866" s="112"/>
      <c r="C866" s="111"/>
      <c r="D866" s="111"/>
      <c r="E866" s="173"/>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row>
    <row r="867" ht="15.75" customHeight="1">
      <c r="A867" s="111"/>
      <c r="B867" s="112"/>
      <c r="C867" s="111"/>
      <c r="D867" s="111"/>
      <c r="E867" s="173"/>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row>
    <row r="868" ht="15.75" customHeight="1">
      <c r="A868" s="111"/>
      <c r="B868" s="112"/>
      <c r="C868" s="111"/>
      <c r="D868" s="111"/>
      <c r="E868" s="173"/>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row>
    <row r="869" ht="15.75" customHeight="1">
      <c r="A869" s="111"/>
      <c r="B869" s="112"/>
      <c r="C869" s="111"/>
      <c r="D869" s="111"/>
      <c r="E869" s="173"/>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row>
    <row r="870" ht="15.75" customHeight="1">
      <c r="A870" s="111"/>
      <c r="B870" s="112"/>
      <c r="C870" s="111"/>
      <c r="D870" s="111"/>
      <c r="E870" s="173"/>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row>
    <row r="871" ht="15.75" customHeight="1">
      <c r="A871" s="111"/>
      <c r="B871" s="112"/>
      <c r="C871" s="111"/>
      <c r="D871" s="111"/>
      <c r="E871" s="173"/>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row>
    <row r="872" ht="15.75" customHeight="1">
      <c r="A872" s="111"/>
      <c r="B872" s="112"/>
      <c r="C872" s="111"/>
      <c r="D872" s="111"/>
      <c r="E872" s="173"/>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row>
    <row r="873" ht="15.75" customHeight="1">
      <c r="A873" s="111"/>
      <c r="B873" s="112"/>
      <c r="C873" s="111"/>
      <c r="D873" s="111"/>
      <c r="E873" s="173"/>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row>
    <row r="874" ht="15.75" customHeight="1">
      <c r="A874" s="111"/>
      <c r="B874" s="112"/>
      <c r="C874" s="111"/>
      <c r="D874" s="111"/>
      <c r="E874" s="173"/>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row>
    <row r="875" ht="15.75" customHeight="1">
      <c r="A875" s="111"/>
      <c r="B875" s="112"/>
      <c r="C875" s="111"/>
      <c r="D875" s="111"/>
      <c r="E875" s="173"/>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row>
    <row r="876" ht="15.75" customHeight="1">
      <c r="A876" s="111"/>
      <c r="B876" s="112"/>
      <c r="C876" s="111"/>
      <c r="D876" s="111"/>
      <c r="E876" s="173"/>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row>
    <row r="877" ht="15.75" customHeight="1">
      <c r="A877" s="111"/>
      <c r="B877" s="112"/>
      <c r="C877" s="111"/>
      <c r="D877" s="111"/>
      <c r="E877" s="173"/>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row>
    <row r="878" ht="15.75" customHeight="1">
      <c r="A878" s="111"/>
      <c r="B878" s="112"/>
      <c r="C878" s="111"/>
      <c r="D878" s="111"/>
      <c r="E878" s="173"/>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row>
    <row r="879" ht="15.75" customHeight="1">
      <c r="A879" s="111"/>
      <c r="B879" s="112"/>
      <c r="C879" s="111"/>
      <c r="D879" s="111"/>
      <c r="E879" s="173"/>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row>
    <row r="880" ht="15.75" customHeight="1">
      <c r="A880" s="111"/>
      <c r="B880" s="112"/>
      <c r="C880" s="111"/>
      <c r="D880" s="111"/>
      <c r="E880" s="173"/>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row>
    <row r="881" ht="15.75" customHeight="1">
      <c r="A881" s="111"/>
      <c r="B881" s="112"/>
      <c r="C881" s="111"/>
      <c r="D881" s="111"/>
      <c r="E881" s="173"/>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row>
    <row r="882" ht="15.75" customHeight="1">
      <c r="A882" s="111"/>
      <c r="B882" s="112"/>
      <c r="C882" s="111"/>
      <c r="D882" s="111"/>
      <c r="E882" s="173"/>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row>
    <row r="883" ht="15.75" customHeight="1">
      <c r="A883" s="111"/>
      <c r="B883" s="112"/>
      <c r="C883" s="111"/>
      <c r="D883" s="111"/>
      <c r="E883" s="173"/>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row>
    <row r="884" ht="15.75" customHeight="1">
      <c r="A884" s="111"/>
      <c r="B884" s="112"/>
      <c r="C884" s="111"/>
      <c r="D884" s="111"/>
      <c r="E884" s="173"/>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row>
    <row r="885" ht="15.75" customHeight="1">
      <c r="A885" s="111"/>
      <c r="B885" s="112"/>
      <c r="C885" s="111"/>
      <c r="D885" s="111"/>
      <c r="E885" s="173"/>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row>
    <row r="886" ht="15.75" customHeight="1">
      <c r="A886" s="111"/>
      <c r="B886" s="112"/>
      <c r="C886" s="111"/>
      <c r="D886" s="111"/>
      <c r="E886" s="173"/>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row>
    <row r="887" ht="15.75" customHeight="1">
      <c r="A887" s="111"/>
      <c r="B887" s="112"/>
      <c r="C887" s="111"/>
      <c r="D887" s="111"/>
      <c r="E887" s="173"/>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row>
    <row r="888" ht="15.75" customHeight="1">
      <c r="A888" s="111"/>
      <c r="B888" s="112"/>
      <c r="C888" s="111"/>
      <c r="D888" s="111"/>
      <c r="E888" s="173"/>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row>
    <row r="889" ht="15.75" customHeight="1">
      <c r="A889" s="111"/>
      <c r="B889" s="112"/>
      <c r="C889" s="111"/>
      <c r="D889" s="111"/>
      <c r="E889" s="173"/>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row>
    <row r="890" ht="15.75" customHeight="1">
      <c r="A890" s="111"/>
      <c r="B890" s="112"/>
      <c r="C890" s="111"/>
      <c r="D890" s="111"/>
      <c r="E890" s="173"/>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row>
    <row r="891" ht="15.75" customHeight="1">
      <c r="A891" s="111"/>
      <c r="B891" s="112"/>
      <c r="C891" s="111"/>
      <c r="D891" s="111"/>
      <c r="E891" s="173"/>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row>
    <row r="892" ht="15.75" customHeight="1">
      <c r="A892" s="111"/>
      <c r="B892" s="112"/>
      <c r="C892" s="111"/>
      <c r="D892" s="111"/>
      <c r="E892" s="173"/>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row>
    <row r="893" ht="15.75" customHeight="1">
      <c r="A893" s="111"/>
      <c r="B893" s="112"/>
      <c r="C893" s="111"/>
      <c r="D893" s="111"/>
      <c r="E893" s="173"/>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row>
    <row r="894" ht="15.75" customHeight="1">
      <c r="A894" s="111"/>
      <c r="B894" s="112"/>
      <c r="C894" s="111"/>
      <c r="D894" s="111"/>
      <c r="E894" s="173"/>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row>
    <row r="895" ht="15.75" customHeight="1">
      <c r="A895" s="111"/>
      <c r="B895" s="112"/>
      <c r="C895" s="111"/>
      <c r="D895" s="111"/>
      <c r="E895" s="173"/>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row>
    <row r="896" ht="15.75" customHeight="1">
      <c r="A896" s="111"/>
      <c r="B896" s="112"/>
      <c r="C896" s="111"/>
      <c r="D896" s="111"/>
      <c r="E896" s="173"/>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row>
    <row r="897" ht="15.75" customHeight="1">
      <c r="A897" s="111"/>
      <c r="B897" s="112"/>
      <c r="C897" s="111"/>
      <c r="D897" s="111"/>
      <c r="E897" s="173"/>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row>
    <row r="898" ht="15.75" customHeight="1">
      <c r="A898" s="111"/>
      <c r="B898" s="112"/>
      <c r="C898" s="111"/>
      <c r="D898" s="111"/>
      <c r="E898" s="173"/>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row>
    <row r="899" ht="15.75" customHeight="1">
      <c r="A899" s="111"/>
      <c r="B899" s="112"/>
      <c r="C899" s="111"/>
      <c r="D899" s="111"/>
      <c r="E899" s="173"/>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row>
    <row r="900" ht="15.75" customHeight="1">
      <c r="A900" s="111"/>
      <c r="B900" s="112"/>
      <c r="C900" s="111"/>
      <c r="D900" s="111"/>
      <c r="E900" s="173"/>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row>
    <row r="901" ht="15.75" customHeight="1">
      <c r="A901" s="111"/>
      <c r="B901" s="112"/>
      <c r="C901" s="111"/>
      <c r="D901" s="111"/>
      <c r="E901" s="173"/>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row>
    <row r="902" ht="15.75" customHeight="1">
      <c r="A902" s="111"/>
      <c r="B902" s="112"/>
      <c r="C902" s="111"/>
      <c r="D902" s="111"/>
      <c r="E902" s="173"/>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row>
    <row r="903" ht="15.75" customHeight="1">
      <c r="A903" s="111"/>
      <c r="B903" s="112"/>
      <c r="C903" s="111"/>
      <c r="D903" s="111"/>
      <c r="E903" s="173"/>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row>
    <row r="904" ht="15.75" customHeight="1">
      <c r="A904" s="111"/>
      <c r="B904" s="112"/>
      <c r="C904" s="111"/>
      <c r="D904" s="111"/>
      <c r="E904" s="173"/>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row>
    <row r="905" ht="15.75" customHeight="1">
      <c r="A905" s="111"/>
      <c r="B905" s="112"/>
      <c r="C905" s="111"/>
      <c r="D905" s="111"/>
      <c r="E905" s="173"/>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row>
    <row r="906" ht="15.75" customHeight="1">
      <c r="A906" s="111"/>
      <c r="B906" s="112"/>
      <c r="C906" s="111"/>
      <c r="D906" s="111"/>
      <c r="E906" s="173"/>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row>
    <row r="907" ht="15.75" customHeight="1">
      <c r="A907" s="111"/>
      <c r="B907" s="112"/>
      <c r="C907" s="111"/>
      <c r="D907" s="111"/>
      <c r="E907" s="173"/>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row>
    <row r="908" ht="15.75" customHeight="1">
      <c r="A908" s="111"/>
      <c r="B908" s="112"/>
      <c r="C908" s="111"/>
      <c r="D908" s="111"/>
      <c r="E908" s="173"/>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row>
    <row r="909" ht="15.75" customHeight="1">
      <c r="A909" s="111"/>
      <c r="B909" s="112"/>
      <c r="C909" s="111"/>
      <c r="D909" s="111"/>
      <c r="E909" s="173"/>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row>
    <row r="910" ht="15.75" customHeight="1">
      <c r="A910" s="111"/>
      <c r="B910" s="112"/>
      <c r="C910" s="111"/>
      <c r="D910" s="111"/>
      <c r="E910" s="173"/>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row>
    <row r="911" ht="15.75" customHeight="1">
      <c r="A911" s="111"/>
      <c r="B911" s="112"/>
      <c r="C911" s="111"/>
      <c r="D911" s="111"/>
      <c r="E911" s="173"/>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row>
    <row r="912" ht="15.75" customHeight="1">
      <c r="A912" s="111"/>
      <c r="B912" s="112"/>
      <c r="C912" s="111"/>
      <c r="D912" s="111"/>
      <c r="E912" s="173"/>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row>
    <row r="913" ht="15.75" customHeight="1">
      <c r="A913" s="111"/>
      <c r="B913" s="112"/>
      <c r="C913" s="111"/>
      <c r="D913" s="111"/>
      <c r="E913" s="173"/>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row>
    <row r="914" ht="15.75" customHeight="1">
      <c r="A914" s="111"/>
      <c r="B914" s="112"/>
      <c r="C914" s="111"/>
      <c r="D914" s="111"/>
      <c r="E914" s="173"/>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row>
    <row r="915" ht="15.75" customHeight="1">
      <c r="A915" s="111"/>
      <c r="B915" s="112"/>
      <c r="C915" s="111"/>
      <c r="D915" s="111"/>
      <c r="E915" s="173"/>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row>
    <row r="916" ht="15.75" customHeight="1">
      <c r="A916" s="111"/>
      <c r="B916" s="112"/>
      <c r="C916" s="111"/>
      <c r="D916" s="111"/>
      <c r="E916" s="173"/>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row>
    <row r="917" ht="15.75" customHeight="1">
      <c r="A917" s="111"/>
      <c r="B917" s="112"/>
      <c r="C917" s="111"/>
      <c r="D917" s="111"/>
      <c r="E917" s="173"/>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row>
    <row r="918" ht="15.75" customHeight="1">
      <c r="A918" s="111"/>
      <c r="B918" s="112"/>
      <c r="C918" s="111"/>
      <c r="D918" s="111"/>
      <c r="E918" s="173"/>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row>
    <row r="919" ht="15.75" customHeight="1">
      <c r="A919" s="111"/>
      <c r="B919" s="112"/>
      <c r="C919" s="111"/>
      <c r="D919" s="111"/>
      <c r="E919" s="173"/>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row>
    <row r="920" ht="15.75" customHeight="1">
      <c r="A920" s="111"/>
      <c r="B920" s="112"/>
      <c r="C920" s="111"/>
      <c r="D920" s="111"/>
      <c r="E920" s="173"/>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row>
    <row r="921" ht="15.75" customHeight="1">
      <c r="A921" s="111"/>
      <c r="B921" s="112"/>
      <c r="C921" s="111"/>
      <c r="D921" s="111"/>
      <c r="E921" s="173"/>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row>
    <row r="922" ht="15.75" customHeight="1">
      <c r="A922" s="111"/>
      <c r="B922" s="112"/>
      <c r="C922" s="111"/>
      <c r="D922" s="111"/>
      <c r="E922" s="173"/>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row>
    <row r="923" ht="15.75" customHeight="1">
      <c r="A923" s="111"/>
      <c r="B923" s="112"/>
      <c r="C923" s="111"/>
      <c r="D923" s="111"/>
      <c r="E923" s="173"/>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row>
    <row r="924" ht="15.75" customHeight="1">
      <c r="A924" s="111"/>
      <c r="B924" s="112"/>
      <c r="C924" s="111"/>
      <c r="D924" s="111"/>
      <c r="E924" s="173"/>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row>
    <row r="925" ht="15.75" customHeight="1">
      <c r="A925" s="111"/>
      <c r="B925" s="112"/>
      <c r="C925" s="111"/>
      <c r="D925" s="111"/>
      <c r="E925" s="173"/>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row>
    <row r="926" ht="15.75" customHeight="1">
      <c r="A926" s="111"/>
      <c r="B926" s="112"/>
      <c r="C926" s="111"/>
      <c r="D926" s="111"/>
      <c r="E926" s="173"/>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row>
    <row r="927" ht="15.75" customHeight="1">
      <c r="A927" s="111"/>
      <c r="B927" s="112"/>
      <c r="C927" s="111"/>
      <c r="D927" s="111"/>
      <c r="E927" s="173"/>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row>
    <row r="928" ht="15.75" customHeight="1">
      <c r="A928" s="111"/>
      <c r="B928" s="112"/>
      <c r="C928" s="111"/>
      <c r="D928" s="111"/>
      <c r="E928" s="173"/>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row>
    <row r="929" ht="15.75" customHeight="1">
      <c r="A929" s="111"/>
      <c r="B929" s="112"/>
      <c r="C929" s="111"/>
      <c r="D929" s="111"/>
      <c r="E929" s="173"/>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row>
    <row r="930" ht="15.75" customHeight="1">
      <c r="A930" s="111"/>
      <c r="B930" s="112"/>
      <c r="C930" s="111"/>
      <c r="D930" s="111"/>
      <c r="E930" s="173"/>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row>
    <row r="931" ht="15.75" customHeight="1">
      <c r="A931" s="111"/>
      <c r="B931" s="112"/>
      <c r="C931" s="111"/>
      <c r="D931" s="111"/>
      <c r="E931" s="173"/>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row>
    <row r="932" ht="15.75" customHeight="1">
      <c r="A932" s="111"/>
      <c r="B932" s="112"/>
      <c r="C932" s="111"/>
      <c r="D932" s="111"/>
      <c r="E932" s="173"/>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row>
    <row r="933" ht="15.75" customHeight="1">
      <c r="A933" s="111"/>
      <c r="B933" s="112"/>
      <c r="C933" s="111"/>
      <c r="D933" s="111"/>
      <c r="E933" s="173"/>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row>
    <row r="934" ht="15.75" customHeight="1">
      <c r="A934" s="111"/>
      <c r="B934" s="112"/>
      <c r="C934" s="111"/>
      <c r="D934" s="111"/>
      <c r="E934" s="173"/>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row>
    <row r="935" ht="15.75" customHeight="1">
      <c r="A935" s="111"/>
      <c r="B935" s="112"/>
      <c r="C935" s="111"/>
      <c r="D935" s="111"/>
      <c r="E935" s="173"/>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row>
    <row r="936" ht="15.75" customHeight="1">
      <c r="A936" s="111"/>
      <c r="B936" s="112"/>
      <c r="C936" s="111"/>
      <c r="D936" s="111"/>
      <c r="E936" s="173"/>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row>
    <row r="937" ht="15.75" customHeight="1">
      <c r="A937" s="111"/>
      <c r="B937" s="112"/>
      <c r="C937" s="111"/>
      <c r="D937" s="111"/>
      <c r="E937" s="173"/>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row>
    <row r="938" ht="15.75" customHeight="1">
      <c r="A938" s="111"/>
      <c r="B938" s="112"/>
      <c r="C938" s="111"/>
      <c r="D938" s="111"/>
      <c r="E938" s="173"/>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row>
    <row r="939" ht="15.75" customHeight="1">
      <c r="A939" s="111"/>
      <c r="B939" s="112"/>
      <c r="C939" s="111"/>
      <c r="D939" s="111"/>
      <c r="E939" s="173"/>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row>
    <row r="940" ht="15.75" customHeight="1">
      <c r="A940" s="111"/>
      <c r="B940" s="112"/>
      <c r="C940" s="111"/>
      <c r="D940" s="111"/>
      <c r="E940" s="173"/>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row>
    <row r="941" ht="15.75" customHeight="1">
      <c r="A941" s="111"/>
      <c r="B941" s="112"/>
      <c r="C941" s="111"/>
      <c r="D941" s="111"/>
      <c r="E941" s="173"/>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row>
    <row r="942" ht="15.75" customHeight="1">
      <c r="A942" s="111"/>
      <c r="B942" s="112"/>
      <c r="C942" s="111"/>
      <c r="D942" s="111"/>
      <c r="E942" s="173"/>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row>
    <row r="943" ht="15.75" customHeight="1">
      <c r="A943" s="111"/>
      <c r="B943" s="112"/>
      <c r="C943" s="111"/>
      <c r="D943" s="111"/>
      <c r="E943" s="173"/>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row>
    <row r="944" ht="15.75" customHeight="1">
      <c r="A944" s="111"/>
      <c r="B944" s="112"/>
      <c r="C944" s="111"/>
      <c r="D944" s="111"/>
      <c r="E944" s="173"/>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row>
    <row r="945" ht="15.75" customHeight="1">
      <c r="A945" s="111"/>
      <c r="B945" s="112"/>
      <c r="C945" s="111"/>
      <c r="D945" s="111"/>
      <c r="E945" s="173"/>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row>
    <row r="946" ht="15.75" customHeight="1">
      <c r="A946" s="111"/>
      <c r="B946" s="112"/>
      <c r="C946" s="111"/>
      <c r="D946" s="111"/>
      <c r="E946" s="173"/>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row>
    <row r="947" ht="15.75" customHeight="1">
      <c r="A947" s="111"/>
      <c r="B947" s="112"/>
      <c r="C947" s="111"/>
      <c r="D947" s="111"/>
      <c r="E947" s="173"/>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row>
    <row r="948" ht="15.75" customHeight="1">
      <c r="A948" s="111"/>
      <c r="B948" s="112"/>
      <c r="C948" s="111"/>
      <c r="D948" s="111"/>
      <c r="E948" s="173"/>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row>
    <row r="949" ht="15.75" customHeight="1">
      <c r="A949" s="111"/>
      <c r="B949" s="112"/>
      <c r="C949" s="111"/>
      <c r="D949" s="111"/>
      <c r="E949" s="173"/>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row>
    <row r="950" ht="15.75" customHeight="1">
      <c r="A950" s="111"/>
      <c r="B950" s="112"/>
      <c r="C950" s="111"/>
      <c r="D950" s="111"/>
      <c r="E950" s="173"/>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row>
    <row r="951" ht="15.75" customHeight="1">
      <c r="A951" s="111"/>
      <c r="B951" s="112"/>
      <c r="C951" s="111"/>
      <c r="D951" s="111"/>
      <c r="E951" s="173"/>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row>
    <row r="952" ht="15.75" customHeight="1">
      <c r="A952" s="111"/>
      <c r="B952" s="112"/>
      <c r="C952" s="111"/>
      <c r="D952" s="111"/>
      <c r="E952" s="173"/>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row>
    <row r="953" ht="15.75" customHeight="1">
      <c r="A953" s="111"/>
      <c r="B953" s="112"/>
      <c r="C953" s="111"/>
      <c r="D953" s="111"/>
      <c r="E953" s="173"/>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row>
    <row r="954" ht="15.75" customHeight="1">
      <c r="A954" s="111"/>
      <c r="B954" s="112"/>
      <c r="C954" s="111"/>
      <c r="D954" s="111"/>
      <c r="E954" s="173"/>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row>
    <row r="955" ht="15.75" customHeight="1">
      <c r="A955" s="111"/>
      <c r="B955" s="112"/>
      <c r="C955" s="111"/>
      <c r="D955" s="111"/>
      <c r="E955" s="173"/>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row>
    <row r="956" ht="15.75" customHeight="1">
      <c r="A956" s="111"/>
      <c r="B956" s="112"/>
      <c r="C956" s="111"/>
      <c r="D956" s="111"/>
      <c r="E956" s="173"/>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row>
    <row r="957" ht="15.75" customHeight="1">
      <c r="A957" s="111"/>
      <c r="B957" s="112"/>
      <c r="C957" s="111"/>
      <c r="D957" s="111"/>
      <c r="E957" s="173"/>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row>
    <row r="958" ht="15.75" customHeight="1">
      <c r="A958" s="111"/>
      <c r="B958" s="112"/>
      <c r="C958" s="111"/>
      <c r="D958" s="111"/>
      <c r="E958" s="173"/>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row>
    <row r="959" ht="15.75" customHeight="1">
      <c r="A959" s="111"/>
      <c r="B959" s="112"/>
      <c r="C959" s="111"/>
      <c r="D959" s="111"/>
      <c r="E959" s="173"/>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row>
    <row r="960" ht="15.75" customHeight="1">
      <c r="A960" s="111"/>
      <c r="B960" s="112"/>
      <c r="C960" s="111"/>
      <c r="D960" s="111"/>
      <c r="E960" s="173"/>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row>
    <row r="961" ht="15.75" customHeight="1">
      <c r="A961" s="111"/>
      <c r="B961" s="112"/>
      <c r="C961" s="111"/>
      <c r="D961" s="111"/>
      <c r="E961" s="173"/>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row>
    <row r="962" ht="15.75" customHeight="1">
      <c r="A962" s="111"/>
      <c r="B962" s="112"/>
      <c r="C962" s="111"/>
      <c r="D962" s="111"/>
      <c r="E962" s="173"/>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row>
    <row r="963" ht="15.75" customHeight="1">
      <c r="A963" s="111"/>
      <c r="B963" s="112"/>
      <c r="C963" s="111"/>
      <c r="D963" s="111"/>
      <c r="E963" s="173"/>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row>
    <row r="964" ht="15.75" customHeight="1">
      <c r="A964" s="111"/>
      <c r="B964" s="112"/>
      <c r="C964" s="111"/>
      <c r="D964" s="111"/>
      <c r="E964" s="173"/>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row>
    <row r="965" ht="15.75" customHeight="1">
      <c r="A965" s="111"/>
      <c r="B965" s="112"/>
      <c r="C965" s="111"/>
      <c r="D965" s="111"/>
      <c r="E965" s="173"/>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row>
    <row r="966" ht="15.75" customHeight="1">
      <c r="A966" s="111"/>
      <c r="B966" s="112"/>
      <c r="C966" s="111"/>
      <c r="D966" s="111"/>
      <c r="E966" s="173"/>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row>
    <row r="967" ht="15.75" customHeight="1">
      <c r="A967" s="111"/>
      <c r="B967" s="112"/>
      <c r="C967" s="111"/>
      <c r="D967" s="111"/>
      <c r="E967" s="173"/>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row>
    <row r="968" ht="15.75" customHeight="1">
      <c r="A968" s="111"/>
      <c r="B968" s="112"/>
      <c r="C968" s="111"/>
      <c r="D968" s="111"/>
      <c r="E968" s="173"/>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row>
    <row r="969" ht="15.75" customHeight="1">
      <c r="A969" s="111"/>
      <c r="B969" s="112"/>
      <c r="C969" s="111"/>
      <c r="D969" s="111"/>
      <c r="E969" s="173"/>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row>
    <row r="970" ht="15.75" customHeight="1">
      <c r="A970" s="111"/>
      <c r="B970" s="112"/>
      <c r="C970" s="111"/>
      <c r="D970" s="111"/>
      <c r="E970" s="173"/>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row>
    <row r="971" ht="15.75" customHeight="1">
      <c r="A971" s="111"/>
      <c r="B971" s="112"/>
      <c r="C971" s="111"/>
      <c r="D971" s="111"/>
      <c r="E971" s="173"/>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row>
    <row r="972" ht="15.75" customHeight="1">
      <c r="A972" s="111"/>
      <c r="B972" s="112"/>
      <c r="C972" s="111"/>
      <c r="D972" s="111"/>
      <c r="E972" s="173"/>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row>
    <row r="973" ht="15.75" customHeight="1">
      <c r="A973" s="111"/>
      <c r="B973" s="112"/>
      <c r="C973" s="111"/>
      <c r="D973" s="111"/>
      <c r="E973" s="173"/>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row>
    <row r="974" ht="15.75" customHeight="1">
      <c r="A974" s="111"/>
      <c r="B974" s="112"/>
      <c r="C974" s="111"/>
      <c r="D974" s="111"/>
      <c r="E974" s="173"/>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row>
    <row r="975" ht="15.75" customHeight="1">
      <c r="A975" s="111"/>
      <c r="B975" s="112"/>
      <c r="C975" s="111"/>
      <c r="D975" s="111"/>
      <c r="E975" s="173"/>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row>
    <row r="976" ht="15.75" customHeight="1">
      <c r="A976" s="111"/>
      <c r="B976" s="112"/>
      <c r="C976" s="111"/>
      <c r="D976" s="111"/>
      <c r="E976" s="173"/>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row>
    <row r="977" ht="15.75" customHeight="1">
      <c r="A977" s="111"/>
      <c r="B977" s="112"/>
      <c r="C977" s="111"/>
      <c r="D977" s="111"/>
      <c r="E977" s="173"/>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row>
    <row r="978" ht="15.75" customHeight="1">
      <c r="A978" s="111"/>
      <c r="B978" s="112"/>
      <c r="C978" s="111"/>
      <c r="D978" s="111"/>
      <c r="E978" s="173"/>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row>
    <row r="979" ht="15.75" customHeight="1">
      <c r="A979" s="111"/>
      <c r="B979" s="112"/>
      <c r="C979" s="111"/>
      <c r="D979" s="111"/>
      <c r="E979" s="173"/>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row>
    <row r="980" ht="15.75" customHeight="1">
      <c r="A980" s="111"/>
      <c r="B980" s="112"/>
      <c r="C980" s="111"/>
      <c r="D980" s="111"/>
      <c r="E980" s="173"/>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row>
    <row r="981" ht="15.75" customHeight="1">
      <c r="A981" s="111"/>
      <c r="B981" s="112"/>
      <c r="C981" s="111"/>
      <c r="D981" s="111"/>
      <c r="E981" s="173"/>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row>
    <row r="982" ht="15.75" customHeight="1">
      <c r="A982" s="111"/>
      <c r="B982" s="112"/>
      <c r="C982" s="111"/>
      <c r="D982" s="111"/>
      <c r="E982" s="173"/>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row>
    <row r="983" ht="15.75" customHeight="1">
      <c r="A983" s="111"/>
      <c r="B983" s="112"/>
      <c r="C983" s="111"/>
      <c r="D983" s="111"/>
      <c r="E983" s="173"/>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row>
    <row r="984" ht="15.75" customHeight="1">
      <c r="A984" s="111"/>
      <c r="B984" s="112"/>
      <c r="C984" s="111"/>
      <c r="D984" s="111"/>
      <c r="E984" s="173"/>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row>
    <row r="985" ht="15.75" customHeight="1">
      <c r="A985" s="111"/>
      <c r="B985" s="112"/>
      <c r="C985" s="111"/>
      <c r="D985" s="111"/>
      <c r="E985" s="173"/>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row>
    <row r="986" ht="15.75" customHeight="1">
      <c r="A986" s="111"/>
      <c r="B986" s="112"/>
      <c r="C986" s="111"/>
      <c r="D986" s="111"/>
      <c r="E986" s="173"/>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row>
    <row r="987" ht="15.75" customHeight="1">
      <c r="A987" s="111"/>
      <c r="B987" s="112"/>
      <c r="C987" s="111"/>
      <c r="D987" s="111"/>
      <c r="E987" s="173"/>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row>
    <row r="988" ht="15.75" customHeight="1">
      <c r="A988" s="111"/>
      <c r="B988" s="112"/>
      <c r="C988" s="111"/>
      <c r="D988" s="111"/>
      <c r="E988" s="173"/>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row>
    <row r="989" ht="15.75" customHeight="1">
      <c r="A989" s="111"/>
      <c r="B989" s="112"/>
      <c r="C989" s="111"/>
      <c r="D989" s="111"/>
      <c r="E989" s="173"/>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row>
    <row r="990" ht="15.75" customHeight="1">
      <c r="A990" s="111"/>
      <c r="B990" s="112"/>
      <c r="C990" s="111"/>
      <c r="D990" s="111"/>
      <c r="E990" s="173"/>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row>
    <row r="991" ht="15.75" customHeight="1">
      <c r="A991" s="111"/>
      <c r="B991" s="112"/>
      <c r="C991" s="111"/>
      <c r="D991" s="111"/>
      <c r="E991" s="173"/>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row>
    <row r="992" ht="15.75" customHeight="1">
      <c r="A992" s="111"/>
      <c r="B992" s="112"/>
      <c r="C992" s="111"/>
      <c r="D992" s="111"/>
      <c r="E992" s="173"/>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row>
    <row r="993" ht="15.75" customHeight="1">
      <c r="A993" s="111"/>
      <c r="B993" s="112"/>
      <c r="C993" s="111"/>
      <c r="D993" s="111"/>
      <c r="E993" s="173"/>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row>
    <row r="994" ht="15.75" customHeight="1">
      <c r="A994" s="111"/>
      <c r="B994" s="112"/>
      <c r="C994" s="111"/>
      <c r="D994" s="111"/>
      <c r="E994" s="173"/>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row>
    <row r="995" ht="15.75" customHeight="1">
      <c r="A995" s="111"/>
      <c r="B995" s="112"/>
      <c r="C995" s="111"/>
      <c r="D995" s="111"/>
      <c r="E995" s="173"/>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row>
    <row r="996" ht="15.75" customHeight="1">
      <c r="A996" s="111"/>
      <c r="B996" s="112"/>
      <c r="C996" s="111"/>
      <c r="D996" s="111"/>
      <c r="E996" s="173"/>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row>
    <row r="997" ht="15.75" customHeight="1">
      <c r="A997" s="111"/>
      <c r="B997" s="112"/>
      <c r="C997" s="111"/>
      <c r="D997" s="111"/>
      <c r="E997" s="173"/>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row>
    <row r="998" ht="15.75" customHeight="1">
      <c r="A998" s="111"/>
      <c r="B998" s="112"/>
      <c r="C998" s="111"/>
      <c r="D998" s="111"/>
      <c r="E998" s="173"/>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row>
    <row r="999" ht="15.75" customHeight="1">
      <c r="A999" s="111"/>
      <c r="B999" s="112"/>
      <c r="C999" s="111"/>
      <c r="D999" s="111"/>
      <c r="E999" s="173"/>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row>
    <row r="1000" ht="15.75" customHeight="1">
      <c r="A1000" s="111"/>
      <c r="B1000" s="112"/>
      <c r="C1000" s="111"/>
      <c r="D1000" s="111"/>
      <c r="E1000" s="173"/>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row>
    <row r="1001" ht="15.75" customHeight="1">
      <c r="A1001" s="111"/>
      <c r="B1001" s="112"/>
      <c r="C1001" s="111"/>
      <c r="D1001" s="111"/>
      <c r="E1001" s="173"/>
      <c r="F1001" s="60"/>
      <c r="G1001" s="60"/>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c r="AE1001" s="60"/>
      <c r="AF1001" s="60"/>
    </row>
    <row r="1002" ht="15.75" customHeight="1">
      <c r="A1002" s="111"/>
      <c r="B1002" s="112"/>
      <c r="C1002" s="111"/>
      <c r="D1002" s="111"/>
      <c r="E1002" s="173"/>
      <c r="F1002" s="60"/>
      <c r="G1002" s="60"/>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c r="AE1002" s="60"/>
      <c r="AF1002" s="60"/>
    </row>
    <row r="1003" ht="15.75" customHeight="1">
      <c r="A1003" s="111"/>
      <c r="B1003" s="112"/>
      <c r="C1003" s="111"/>
      <c r="D1003" s="111"/>
      <c r="E1003" s="173"/>
      <c r="F1003" s="60"/>
      <c r="G1003" s="60"/>
      <c r="H1003" s="60"/>
      <c r="I1003" s="60"/>
      <c r="J1003" s="60"/>
      <c r="K1003" s="60"/>
      <c r="L1003" s="60"/>
      <c r="M1003" s="60"/>
      <c r="N1003" s="60"/>
      <c r="O1003" s="60"/>
      <c r="P1003" s="60"/>
      <c r="Q1003" s="60"/>
      <c r="R1003" s="60"/>
      <c r="S1003" s="60"/>
      <c r="T1003" s="60"/>
      <c r="U1003" s="60"/>
      <c r="V1003" s="60"/>
      <c r="W1003" s="60"/>
      <c r="X1003" s="60"/>
      <c r="Y1003" s="60"/>
      <c r="Z1003" s="60"/>
      <c r="AA1003" s="60"/>
      <c r="AB1003" s="60"/>
      <c r="AC1003" s="60"/>
      <c r="AD1003" s="60"/>
      <c r="AE1003" s="60"/>
      <c r="AF1003" s="60"/>
    </row>
    <row r="1004" ht="15.75" customHeight="1">
      <c r="A1004" s="111"/>
      <c r="B1004" s="112"/>
      <c r="C1004" s="111"/>
      <c r="D1004" s="111"/>
      <c r="E1004" s="173"/>
      <c r="F1004" s="60"/>
      <c r="G1004" s="60"/>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c r="AE1004" s="60"/>
      <c r="AF1004" s="60"/>
    </row>
    <row r="1005" ht="15.75" customHeight="1">
      <c r="A1005" s="111"/>
      <c r="B1005" s="112"/>
      <c r="C1005" s="111"/>
      <c r="D1005" s="111"/>
      <c r="E1005" s="173"/>
      <c r="F1005" s="60"/>
      <c r="G1005" s="60"/>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c r="AE1005" s="60"/>
      <c r="AF1005" s="60"/>
    </row>
    <row r="1006" ht="15.75" customHeight="1">
      <c r="A1006" s="111"/>
      <c r="B1006" s="112"/>
      <c r="C1006" s="111"/>
      <c r="D1006" s="111"/>
      <c r="E1006" s="173"/>
      <c r="F1006" s="60"/>
      <c r="G1006" s="60"/>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c r="AE1006" s="60"/>
      <c r="AF1006" s="60"/>
    </row>
    <row r="1007" ht="15.75" customHeight="1">
      <c r="A1007" s="111"/>
      <c r="B1007" s="112"/>
      <c r="C1007" s="111"/>
      <c r="D1007" s="111"/>
      <c r="E1007" s="173"/>
      <c r="F1007" s="60"/>
      <c r="G1007" s="60"/>
      <c r="H1007" s="60"/>
      <c r="I1007" s="60"/>
      <c r="J1007" s="60"/>
      <c r="K1007" s="60"/>
      <c r="L1007" s="60"/>
      <c r="M1007" s="60"/>
      <c r="N1007" s="60"/>
      <c r="O1007" s="60"/>
      <c r="P1007" s="60"/>
      <c r="Q1007" s="60"/>
      <c r="R1007" s="60"/>
      <c r="S1007" s="60"/>
      <c r="T1007" s="60"/>
      <c r="U1007" s="60"/>
      <c r="V1007" s="60"/>
      <c r="W1007" s="60"/>
      <c r="X1007" s="60"/>
      <c r="Y1007" s="60"/>
      <c r="Z1007" s="60"/>
      <c r="AA1007" s="60"/>
      <c r="AB1007" s="60"/>
      <c r="AC1007" s="60"/>
      <c r="AD1007" s="60"/>
      <c r="AE1007" s="60"/>
      <c r="AF1007" s="60"/>
    </row>
    <row r="1008" ht="15.75" customHeight="1">
      <c r="A1008" s="111"/>
      <c r="B1008" s="112"/>
      <c r="C1008" s="111"/>
      <c r="D1008" s="111"/>
      <c r="E1008" s="173"/>
      <c r="F1008" s="60"/>
      <c r="G1008" s="60"/>
      <c r="H1008" s="60"/>
      <c r="I1008" s="60"/>
      <c r="J1008" s="60"/>
      <c r="K1008" s="60"/>
      <c r="L1008" s="60"/>
      <c r="M1008" s="60"/>
      <c r="N1008" s="60"/>
      <c r="O1008" s="60"/>
      <c r="P1008" s="60"/>
      <c r="Q1008" s="60"/>
      <c r="R1008" s="60"/>
      <c r="S1008" s="60"/>
      <c r="T1008" s="60"/>
      <c r="U1008" s="60"/>
      <c r="V1008" s="60"/>
      <c r="W1008" s="60"/>
      <c r="X1008" s="60"/>
      <c r="Y1008" s="60"/>
      <c r="Z1008" s="60"/>
      <c r="AA1008" s="60"/>
      <c r="AB1008" s="60"/>
      <c r="AC1008" s="60"/>
      <c r="AD1008" s="60"/>
      <c r="AE1008" s="60"/>
      <c r="AF1008" s="60"/>
    </row>
    <row r="1009" ht="15.75" customHeight="1">
      <c r="A1009" s="111"/>
      <c r="B1009" s="112"/>
      <c r="C1009" s="111"/>
      <c r="D1009" s="111"/>
      <c r="E1009" s="173"/>
      <c r="F1009" s="60"/>
      <c r="G1009" s="60"/>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c r="AE1009" s="60"/>
      <c r="AF1009" s="60"/>
    </row>
    <row r="1010" ht="15.75" customHeight="1">
      <c r="A1010" s="111"/>
      <c r="B1010" s="112"/>
      <c r="C1010" s="111"/>
      <c r="D1010" s="111"/>
      <c r="E1010" s="173"/>
      <c r="F1010" s="60"/>
      <c r="G1010" s="60"/>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c r="AE1010" s="60"/>
      <c r="AF1010" s="60"/>
    </row>
    <row r="1011" ht="15.75" customHeight="1">
      <c r="A1011" s="111"/>
      <c r="B1011" s="112"/>
      <c r="C1011" s="111"/>
      <c r="D1011" s="111"/>
      <c r="E1011" s="173"/>
      <c r="F1011" s="60"/>
      <c r="G1011" s="60"/>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c r="AE1011" s="60"/>
      <c r="AF1011" s="60"/>
    </row>
    <row r="1012" ht="15.75" customHeight="1">
      <c r="A1012" s="111"/>
      <c r="B1012" s="112"/>
      <c r="C1012" s="111"/>
      <c r="D1012" s="111"/>
      <c r="E1012" s="173"/>
      <c r="F1012" s="60"/>
      <c r="G1012" s="60"/>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c r="AE1012" s="60"/>
      <c r="AF1012" s="60"/>
    </row>
    <row r="1013" ht="15.75" customHeight="1">
      <c r="A1013" s="111"/>
      <c r="B1013" s="112"/>
      <c r="C1013" s="111"/>
      <c r="D1013" s="111"/>
      <c r="E1013" s="173"/>
      <c r="F1013" s="60"/>
      <c r="G1013" s="60"/>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c r="AE1013" s="60"/>
      <c r="AF1013" s="60"/>
    </row>
    <row r="1014" ht="15.75" customHeight="1">
      <c r="A1014" s="111"/>
      <c r="B1014" s="112"/>
      <c r="C1014" s="111"/>
      <c r="D1014" s="111"/>
      <c r="E1014" s="173"/>
      <c r="F1014" s="60"/>
      <c r="G1014" s="60"/>
      <c r="H1014" s="60"/>
      <c r="I1014" s="60"/>
      <c r="J1014" s="60"/>
      <c r="K1014" s="60"/>
      <c r="L1014" s="60"/>
      <c r="M1014" s="60"/>
      <c r="N1014" s="60"/>
      <c r="O1014" s="60"/>
      <c r="P1014" s="60"/>
      <c r="Q1014" s="60"/>
      <c r="R1014" s="60"/>
      <c r="S1014" s="60"/>
      <c r="T1014" s="60"/>
      <c r="U1014" s="60"/>
      <c r="V1014" s="60"/>
      <c r="W1014" s="60"/>
      <c r="X1014" s="60"/>
      <c r="Y1014" s="60"/>
      <c r="Z1014" s="60"/>
      <c r="AA1014" s="60"/>
      <c r="AB1014" s="60"/>
      <c r="AC1014" s="60"/>
      <c r="AD1014" s="60"/>
      <c r="AE1014" s="60"/>
      <c r="AF1014" s="60"/>
    </row>
    <row r="1015" ht="15.75" customHeight="1">
      <c r="A1015" s="111"/>
      <c r="B1015" s="112"/>
      <c r="C1015" s="111"/>
      <c r="D1015" s="111"/>
      <c r="E1015" s="173"/>
      <c r="F1015" s="60"/>
      <c r="G1015" s="60"/>
      <c r="H1015" s="60"/>
      <c r="I1015" s="60"/>
      <c r="J1015" s="60"/>
      <c r="K1015" s="60"/>
      <c r="L1015" s="60"/>
      <c r="M1015" s="60"/>
      <c r="N1015" s="60"/>
      <c r="O1015" s="60"/>
      <c r="P1015" s="60"/>
      <c r="Q1015" s="60"/>
      <c r="R1015" s="60"/>
      <c r="S1015" s="60"/>
      <c r="T1015" s="60"/>
      <c r="U1015" s="60"/>
      <c r="V1015" s="60"/>
      <c r="W1015" s="60"/>
      <c r="X1015" s="60"/>
      <c r="Y1015" s="60"/>
      <c r="Z1015" s="60"/>
      <c r="AA1015" s="60"/>
      <c r="AB1015" s="60"/>
      <c r="AC1015" s="60"/>
      <c r="AD1015" s="60"/>
      <c r="AE1015" s="60"/>
      <c r="AF1015" s="60"/>
    </row>
    <row r="1016" ht="15.75" customHeight="1">
      <c r="A1016" s="111"/>
      <c r="B1016" s="112"/>
      <c r="C1016" s="111"/>
      <c r="D1016" s="111"/>
      <c r="E1016" s="173"/>
      <c r="F1016" s="60"/>
      <c r="G1016" s="60"/>
      <c r="H1016" s="60"/>
      <c r="I1016" s="60"/>
      <c r="J1016" s="60"/>
      <c r="K1016" s="60"/>
      <c r="L1016" s="60"/>
      <c r="M1016" s="60"/>
      <c r="N1016" s="60"/>
      <c r="O1016" s="60"/>
      <c r="P1016" s="60"/>
      <c r="Q1016" s="60"/>
      <c r="R1016" s="60"/>
      <c r="S1016" s="60"/>
      <c r="T1016" s="60"/>
      <c r="U1016" s="60"/>
      <c r="V1016" s="60"/>
      <c r="W1016" s="60"/>
      <c r="X1016" s="60"/>
      <c r="Y1016" s="60"/>
      <c r="Z1016" s="60"/>
      <c r="AA1016" s="60"/>
      <c r="AB1016" s="60"/>
      <c r="AC1016" s="60"/>
      <c r="AD1016" s="60"/>
      <c r="AE1016" s="60"/>
      <c r="AF1016" s="60"/>
    </row>
    <row r="1017" ht="15.75" customHeight="1">
      <c r="A1017" s="111"/>
      <c r="B1017" s="112"/>
      <c r="C1017" s="111"/>
      <c r="D1017" s="111"/>
      <c r="E1017" s="173"/>
      <c r="F1017" s="60"/>
      <c r="G1017" s="60"/>
      <c r="H1017" s="60"/>
      <c r="I1017" s="60"/>
      <c r="J1017" s="60"/>
      <c r="K1017" s="60"/>
      <c r="L1017" s="60"/>
      <c r="M1017" s="60"/>
      <c r="N1017" s="60"/>
      <c r="O1017" s="60"/>
      <c r="P1017" s="60"/>
      <c r="Q1017" s="60"/>
      <c r="R1017" s="60"/>
      <c r="S1017" s="60"/>
      <c r="T1017" s="60"/>
      <c r="U1017" s="60"/>
      <c r="V1017" s="60"/>
      <c r="W1017" s="60"/>
      <c r="X1017" s="60"/>
      <c r="Y1017" s="60"/>
      <c r="Z1017" s="60"/>
      <c r="AA1017" s="60"/>
      <c r="AB1017" s="60"/>
      <c r="AC1017" s="60"/>
      <c r="AD1017" s="60"/>
      <c r="AE1017" s="60"/>
      <c r="AF1017" s="60"/>
    </row>
    <row r="1018" ht="15.75" customHeight="1">
      <c r="A1018" s="111"/>
      <c r="B1018" s="112"/>
      <c r="C1018" s="111"/>
      <c r="D1018" s="111"/>
      <c r="E1018" s="173"/>
      <c r="F1018" s="60"/>
      <c r="G1018" s="60"/>
      <c r="H1018" s="60"/>
      <c r="I1018" s="60"/>
      <c r="J1018" s="60"/>
      <c r="K1018" s="60"/>
      <c r="L1018" s="60"/>
      <c r="M1018" s="60"/>
      <c r="N1018" s="60"/>
      <c r="O1018" s="60"/>
      <c r="P1018" s="60"/>
      <c r="Q1018" s="60"/>
      <c r="R1018" s="60"/>
      <c r="S1018" s="60"/>
      <c r="T1018" s="60"/>
      <c r="U1018" s="60"/>
      <c r="V1018" s="60"/>
      <c r="W1018" s="60"/>
      <c r="X1018" s="60"/>
      <c r="Y1018" s="60"/>
      <c r="Z1018" s="60"/>
      <c r="AA1018" s="60"/>
      <c r="AB1018" s="60"/>
      <c r="AC1018" s="60"/>
      <c r="AD1018" s="60"/>
      <c r="AE1018" s="60"/>
      <c r="AF1018" s="60"/>
    </row>
    <row r="1019" ht="15.75" customHeight="1">
      <c r="A1019" s="111"/>
      <c r="B1019" s="112"/>
      <c r="C1019" s="111"/>
      <c r="D1019" s="111"/>
      <c r="E1019" s="173"/>
      <c r="F1019" s="60"/>
      <c r="G1019" s="60"/>
      <c r="H1019" s="60"/>
      <c r="I1019" s="60"/>
      <c r="J1019" s="60"/>
      <c r="K1019" s="60"/>
      <c r="L1019" s="60"/>
      <c r="M1019" s="60"/>
      <c r="N1019" s="60"/>
      <c r="O1019" s="60"/>
      <c r="P1019" s="60"/>
      <c r="Q1019" s="60"/>
      <c r="R1019" s="60"/>
      <c r="S1019" s="60"/>
      <c r="T1019" s="60"/>
      <c r="U1019" s="60"/>
      <c r="V1019" s="60"/>
      <c r="W1019" s="60"/>
      <c r="X1019" s="60"/>
      <c r="Y1019" s="60"/>
      <c r="Z1019" s="60"/>
      <c r="AA1019" s="60"/>
      <c r="AB1019" s="60"/>
      <c r="AC1019" s="60"/>
      <c r="AD1019" s="60"/>
      <c r="AE1019" s="60"/>
      <c r="AF1019" s="60"/>
    </row>
    <row r="1020" ht="15.75" customHeight="1">
      <c r="A1020" s="111"/>
      <c r="B1020" s="112"/>
      <c r="C1020" s="111"/>
      <c r="D1020" s="111"/>
      <c r="E1020" s="173"/>
      <c r="F1020" s="60"/>
      <c r="G1020" s="60"/>
      <c r="H1020" s="60"/>
      <c r="I1020" s="60"/>
      <c r="J1020" s="60"/>
      <c r="K1020" s="60"/>
      <c r="L1020" s="60"/>
      <c r="M1020" s="60"/>
      <c r="N1020" s="60"/>
      <c r="O1020" s="60"/>
      <c r="P1020" s="60"/>
      <c r="Q1020" s="60"/>
      <c r="R1020" s="60"/>
      <c r="S1020" s="60"/>
      <c r="T1020" s="60"/>
      <c r="U1020" s="60"/>
      <c r="V1020" s="60"/>
      <c r="W1020" s="60"/>
      <c r="X1020" s="60"/>
      <c r="Y1020" s="60"/>
      <c r="Z1020" s="60"/>
      <c r="AA1020" s="60"/>
      <c r="AB1020" s="60"/>
      <c r="AC1020" s="60"/>
      <c r="AD1020" s="60"/>
      <c r="AE1020" s="60"/>
      <c r="AF1020" s="60"/>
    </row>
    <row r="1021" ht="15.75" customHeight="1">
      <c r="A1021" s="111"/>
      <c r="B1021" s="112"/>
      <c r="C1021" s="111"/>
      <c r="D1021" s="111"/>
      <c r="E1021" s="173"/>
      <c r="F1021" s="60"/>
      <c r="G1021" s="60"/>
      <c r="H1021" s="60"/>
      <c r="I1021" s="60"/>
      <c r="J1021" s="60"/>
      <c r="K1021" s="60"/>
      <c r="L1021" s="60"/>
      <c r="M1021" s="60"/>
      <c r="N1021" s="60"/>
      <c r="O1021" s="60"/>
      <c r="P1021" s="60"/>
      <c r="Q1021" s="60"/>
      <c r="R1021" s="60"/>
      <c r="S1021" s="60"/>
      <c r="T1021" s="60"/>
      <c r="U1021" s="60"/>
      <c r="V1021" s="60"/>
      <c r="W1021" s="60"/>
      <c r="X1021" s="60"/>
      <c r="Y1021" s="60"/>
      <c r="Z1021" s="60"/>
      <c r="AA1021" s="60"/>
      <c r="AB1021" s="60"/>
      <c r="AC1021" s="60"/>
      <c r="AD1021" s="60"/>
      <c r="AE1021" s="60"/>
      <c r="AF1021" s="60"/>
    </row>
    <row r="1022" ht="15.75" customHeight="1">
      <c r="A1022" s="111"/>
      <c r="B1022" s="112"/>
      <c r="C1022" s="111"/>
      <c r="D1022" s="111"/>
      <c r="E1022" s="173"/>
      <c r="F1022" s="60"/>
      <c r="G1022" s="60"/>
      <c r="H1022" s="60"/>
      <c r="I1022" s="60"/>
      <c r="J1022" s="60"/>
      <c r="K1022" s="60"/>
      <c r="L1022" s="60"/>
      <c r="M1022" s="60"/>
      <c r="N1022" s="60"/>
      <c r="O1022" s="60"/>
      <c r="P1022" s="60"/>
      <c r="Q1022" s="60"/>
      <c r="R1022" s="60"/>
      <c r="S1022" s="60"/>
      <c r="T1022" s="60"/>
      <c r="U1022" s="60"/>
      <c r="V1022" s="60"/>
      <c r="W1022" s="60"/>
      <c r="X1022" s="60"/>
      <c r="Y1022" s="60"/>
      <c r="Z1022" s="60"/>
      <c r="AA1022" s="60"/>
      <c r="AB1022" s="60"/>
      <c r="AC1022" s="60"/>
      <c r="AD1022" s="60"/>
      <c r="AE1022" s="60"/>
      <c r="AF1022" s="60"/>
    </row>
    <row r="1023" ht="15.75" customHeight="1">
      <c r="A1023" s="111"/>
      <c r="B1023" s="112"/>
      <c r="C1023" s="111"/>
      <c r="D1023" s="111"/>
      <c r="E1023" s="173"/>
      <c r="F1023" s="60"/>
      <c r="G1023" s="60"/>
      <c r="H1023" s="60"/>
      <c r="I1023" s="60"/>
      <c r="J1023" s="60"/>
      <c r="K1023" s="60"/>
      <c r="L1023" s="60"/>
      <c r="M1023" s="60"/>
      <c r="N1023" s="60"/>
      <c r="O1023" s="60"/>
      <c r="P1023" s="60"/>
      <c r="Q1023" s="60"/>
      <c r="R1023" s="60"/>
      <c r="S1023" s="60"/>
      <c r="T1023" s="60"/>
      <c r="U1023" s="60"/>
      <c r="V1023" s="60"/>
      <c r="W1023" s="60"/>
      <c r="X1023" s="60"/>
      <c r="Y1023" s="60"/>
      <c r="Z1023" s="60"/>
      <c r="AA1023" s="60"/>
      <c r="AB1023" s="60"/>
      <c r="AC1023" s="60"/>
      <c r="AD1023" s="60"/>
      <c r="AE1023" s="60"/>
      <c r="AF1023" s="60"/>
    </row>
    <row r="1024" ht="15.75" customHeight="1">
      <c r="A1024" s="111"/>
      <c r="B1024" s="112"/>
      <c r="C1024" s="111"/>
      <c r="D1024" s="111"/>
      <c r="E1024" s="173"/>
      <c r="F1024" s="60"/>
      <c r="G1024" s="60"/>
      <c r="H1024" s="60"/>
      <c r="I1024" s="60"/>
      <c r="J1024" s="60"/>
      <c r="K1024" s="60"/>
      <c r="L1024" s="60"/>
      <c r="M1024" s="60"/>
      <c r="N1024" s="60"/>
      <c r="O1024" s="60"/>
      <c r="P1024" s="60"/>
      <c r="Q1024" s="60"/>
      <c r="R1024" s="60"/>
      <c r="S1024" s="60"/>
      <c r="T1024" s="60"/>
      <c r="U1024" s="60"/>
      <c r="V1024" s="60"/>
      <c r="W1024" s="60"/>
      <c r="X1024" s="60"/>
      <c r="Y1024" s="60"/>
      <c r="Z1024" s="60"/>
      <c r="AA1024" s="60"/>
      <c r="AB1024" s="60"/>
      <c r="AC1024" s="60"/>
      <c r="AD1024" s="60"/>
      <c r="AE1024" s="60"/>
      <c r="AF1024" s="60"/>
    </row>
    <row r="1025" ht="15.75" customHeight="1">
      <c r="A1025" s="111"/>
      <c r="B1025" s="112"/>
      <c r="C1025" s="111"/>
      <c r="D1025" s="111"/>
      <c r="E1025" s="173"/>
      <c r="F1025" s="60"/>
      <c r="G1025" s="60"/>
      <c r="H1025" s="60"/>
      <c r="I1025" s="60"/>
      <c r="J1025" s="60"/>
      <c r="K1025" s="60"/>
      <c r="L1025" s="60"/>
      <c r="M1025" s="60"/>
      <c r="N1025" s="60"/>
      <c r="O1025" s="60"/>
      <c r="P1025" s="60"/>
      <c r="Q1025" s="60"/>
      <c r="R1025" s="60"/>
      <c r="S1025" s="60"/>
      <c r="T1025" s="60"/>
      <c r="U1025" s="60"/>
      <c r="V1025" s="60"/>
      <c r="W1025" s="60"/>
      <c r="X1025" s="60"/>
      <c r="Y1025" s="60"/>
      <c r="Z1025" s="60"/>
      <c r="AA1025" s="60"/>
      <c r="AB1025" s="60"/>
      <c r="AC1025" s="60"/>
      <c r="AD1025" s="60"/>
      <c r="AE1025" s="60"/>
      <c r="AF1025" s="60"/>
    </row>
    <row r="1026" ht="15.75" customHeight="1">
      <c r="A1026" s="111"/>
      <c r="B1026" s="112"/>
      <c r="C1026" s="111"/>
      <c r="D1026" s="111"/>
      <c r="E1026" s="173"/>
      <c r="F1026" s="60"/>
      <c r="G1026" s="60"/>
      <c r="H1026" s="60"/>
      <c r="I1026" s="60"/>
      <c r="J1026" s="60"/>
      <c r="K1026" s="60"/>
      <c r="L1026" s="60"/>
      <c r="M1026" s="60"/>
      <c r="N1026" s="60"/>
      <c r="O1026" s="60"/>
      <c r="P1026" s="60"/>
      <c r="Q1026" s="60"/>
      <c r="R1026" s="60"/>
      <c r="S1026" s="60"/>
      <c r="T1026" s="60"/>
      <c r="U1026" s="60"/>
      <c r="V1026" s="60"/>
      <c r="W1026" s="60"/>
      <c r="X1026" s="60"/>
      <c r="Y1026" s="60"/>
      <c r="Z1026" s="60"/>
      <c r="AA1026" s="60"/>
      <c r="AB1026" s="60"/>
      <c r="AC1026" s="60"/>
      <c r="AD1026" s="60"/>
      <c r="AE1026" s="60"/>
      <c r="AF1026" s="60"/>
    </row>
    <row r="1027" ht="15.75" customHeight="1">
      <c r="A1027" s="111"/>
      <c r="B1027" s="112"/>
      <c r="C1027" s="111"/>
      <c r="D1027" s="111"/>
      <c r="E1027" s="173"/>
      <c r="F1027" s="60"/>
      <c r="G1027" s="60"/>
      <c r="H1027" s="60"/>
      <c r="I1027" s="60"/>
      <c r="J1027" s="60"/>
      <c r="K1027" s="60"/>
      <c r="L1027" s="60"/>
      <c r="M1027" s="60"/>
      <c r="N1027" s="60"/>
      <c r="O1027" s="60"/>
      <c r="P1027" s="60"/>
      <c r="Q1027" s="60"/>
      <c r="R1027" s="60"/>
      <c r="S1027" s="60"/>
      <c r="T1027" s="60"/>
      <c r="U1027" s="60"/>
      <c r="V1027" s="60"/>
      <c r="W1027" s="60"/>
      <c r="X1027" s="60"/>
      <c r="Y1027" s="60"/>
      <c r="Z1027" s="60"/>
      <c r="AA1027" s="60"/>
      <c r="AB1027" s="60"/>
      <c r="AC1027" s="60"/>
      <c r="AD1027" s="60"/>
      <c r="AE1027" s="60"/>
      <c r="AF1027" s="60"/>
    </row>
    <row r="1028" ht="15.75" customHeight="1">
      <c r="A1028" s="111"/>
      <c r="B1028" s="112"/>
      <c r="C1028" s="111"/>
      <c r="D1028" s="111"/>
      <c r="E1028" s="173"/>
      <c r="F1028" s="60"/>
      <c r="G1028" s="60"/>
      <c r="H1028" s="60"/>
      <c r="I1028" s="60"/>
      <c r="J1028" s="60"/>
      <c r="K1028" s="60"/>
      <c r="L1028" s="60"/>
      <c r="M1028" s="60"/>
      <c r="N1028" s="60"/>
      <c r="O1028" s="60"/>
      <c r="P1028" s="60"/>
      <c r="Q1028" s="60"/>
      <c r="R1028" s="60"/>
      <c r="S1028" s="60"/>
      <c r="T1028" s="60"/>
      <c r="U1028" s="60"/>
      <c r="V1028" s="60"/>
      <c r="W1028" s="60"/>
      <c r="X1028" s="60"/>
      <c r="Y1028" s="60"/>
      <c r="Z1028" s="60"/>
      <c r="AA1028" s="60"/>
      <c r="AB1028" s="60"/>
      <c r="AC1028" s="60"/>
      <c r="AD1028" s="60"/>
      <c r="AE1028" s="60"/>
      <c r="AF1028" s="60"/>
    </row>
    <row r="1029" ht="15.75" customHeight="1">
      <c r="A1029" s="111"/>
      <c r="B1029" s="112"/>
      <c r="C1029" s="111"/>
      <c r="D1029" s="111"/>
      <c r="E1029" s="173"/>
      <c r="F1029" s="60"/>
      <c r="G1029" s="60"/>
      <c r="H1029" s="60"/>
      <c r="I1029" s="60"/>
      <c r="J1029" s="60"/>
      <c r="K1029" s="60"/>
      <c r="L1029" s="60"/>
      <c r="M1029" s="60"/>
      <c r="N1029" s="60"/>
      <c r="O1029" s="60"/>
      <c r="P1029" s="60"/>
      <c r="Q1029" s="60"/>
      <c r="R1029" s="60"/>
      <c r="S1029" s="60"/>
      <c r="T1029" s="60"/>
      <c r="U1029" s="60"/>
      <c r="V1029" s="60"/>
      <c r="W1029" s="60"/>
      <c r="X1029" s="60"/>
      <c r="Y1029" s="60"/>
      <c r="Z1029" s="60"/>
      <c r="AA1029" s="60"/>
      <c r="AB1029" s="60"/>
      <c r="AC1029" s="60"/>
      <c r="AD1029" s="60"/>
      <c r="AE1029" s="60"/>
      <c r="AF1029" s="60"/>
    </row>
    <row r="1030" ht="15.75" customHeight="1">
      <c r="A1030" s="111"/>
      <c r="B1030" s="112"/>
      <c r="C1030" s="111"/>
      <c r="D1030" s="111"/>
      <c r="E1030" s="173"/>
      <c r="F1030" s="60"/>
      <c r="G1030" s="60"/>
      <c r="H1030" s="60"/>
      <c r="I1030" s="60"/>
      <c r="J1030" s="60"/>
      <c r="K1030" s="60"/>
      <c r="L1030" s="60"/>
      <c r="M1030" s="60"/>
      <c r="N1030" s="60"/>
      <c r="O1030" s="60"/>
      <c r="P1030" s="60"/>
      <c r="Q1030" s="60"/>
      <c r="R1030" s="60"/>
      <c r="S1030" s="60"/>
      <c r="T1030" s="60"/>
      <c r="U1030" s="60"/>
      <c r="V1030" s="60"/>
      <c r="W1030" s="60"/>
      <c r="X1030" s="60"/>
      <c r="Y1030" s="60"/>
      <c r="Z1030" s="60"/>
      <c r="AA1030" s="60"/>
      <c r="AB1030" s="60"/>
      <c r="AC1030" s="60"/>
      <c r="AD1030" s="60"/>
      <c r="AE1030" s="60"/>
      <c r="AF1030" s="60"/>
    </row>
    <row r="1031" ht="15.75" customHeight="1">
      <c r="A1031" s="111"/>
      <c r="B1031" s="112"/>
      <c r="C1031" s="111"/>
      <c r="D1031" s="111"/>
      <c r="E1031" s="173"/>
      <c r="F1031" s="60"/>
      <c r="G1031" s="60"/>
      <c r="H1031" s="60"/>
      <c r="I1031" s="60"/>
      <c r="J1031" s="60"/>
      <c r="K1031" s="60"/>
      <c r="L1031" s="60"/>
      <c r="M1031" s="60"/>
      <c r="N1031" s="60"/>
      <c r="O1031" s="60"/>
      <c r="P1031" s="60"/>
      <c r="Q1031" s="60"/>
      <c r="R1031" s="60"/>
      <c r="S1031" s="60"/>
      <c r="T1031" s="60"/>
      <c r="U1031" s="60"/>
      <c r="V1031" s="60"/>
      <c r="W1031" s="60"/>
      <c r="X1031" s="60"/>
      <c r="Y1031" s="60"/>
      <c r="Z1031" s="60"/>
      <c r="AA1031" s="60"/>
      <c r="AB1031" s="60"/>
      <c r="AC1031" s="60"/>
      <c r="AD1031" s="60"/>
      <c r="AE1031" s="60"/>
      <c r="AF1031" s="60"/>
    </row>
    <row r="1032" ht="15.75" customHeight="1">
      <c r="A1032" s="111"/>
      <c r="B1032" s="112"/>
      <c r="C1032" s="111"/>
      <c r="D1032" s="111"/>
      <c r="E1032" s="173"/>
      <c r="F1032" s="60"/>
      <c r="G1032" s="60"/>
      <c r="H1032" s="60"/>
      <c r="I1032" s="60"/>
      <c r="J1032" s="60"/>
      <c r="K1032" s="60"/>
      <c r="L1032" s="60"/>
      <c r="M1032" s="60"/>
      <c r="N1032" s="60"/>
      <c r="O1032" s="60"/>
      <c r="P1032" s="60"/>
      <c r="Q1032" s="60"/>
      <c r="R1032" s="60"/>
      <c r="S1032" s="60"/>
      <c r="T1032" s="60"/>
      <c r="U1032" s="60"/>
      <c r="V1032" s="60"/>
      <c r="W1032" s="60"/>
      <c r="X1032" s="60"/>
      <c r="Y1032" s="60"/>
      <c r="Z1032" s="60"/>
      <c r="AA1032" s="60"/>
      <c r="AB1032" s="60"/>
      <c r="AC1032" s="60"/>
      <c r="AD1032" s="60"/>
      <c r="AE1032" s="60"/>
      <c r="AF1032" s="60"/>
    </row>
    <row r="1033" ht="15.75" customHeight="1">
      <c r="A1033" s="111"/>
      <c r="B1033" s="112"/>
      <c r="C1033" s="111"/>
      <c r="D1033" s="111"/>
      <c r="E1033" s="173"/>
      <c r="F1033" s="60"/>
      <c r="G1033" s="60"/>
      <c r="H1033" s="60"/>
      <c r="I1033" s="60"/>
      <c r="J1033" s="60"/>
      <c r="K1033" s="60"/>
      <c r="L1033" s="60"/>
      <c r="M1033" s="60"/>
      <c r="N1033" s="60"/>
      <c r="O1033" s="60"/>
      <c r="P1033" s="60"/>
      <c r="Q1033" s="60"/>
      <c r="R1033" s="60"/>
      <c r="S1033" s="60"/>
      <c r="T1033" s="60"/>
      <c r="U1033" s="60"/>
      <c r="V1033" s="60"/>
      <c r="W1033" s="60"/>
      <c r="X1033" s="60"/>
      <c r="Y1033" s="60"/>
      <c r="Z1033" s="60"/>
      <c r="AA1033" s="60"/>
      <c r="AB1033" s="60"/>
      <c r="AC1033" s="60"/>
      <c r="AD1033" s="60"/>
      <c r="AE1033" s="60"/>
      <c r="AF1033" s="60"/>
    </row>
    <row r="1034" ht="15.75" customHeight="1">
      <c r="A1034" s="111"/>
      <c r="B1034" s="112"/>
      <c r="C1034" s="111"/>
      <c r="D1034" s="111"/>
      <c r="E1034" s="173"/>
      <c r="F1034" s="60"/>
      <c r="G1034" s="60"/>
      <c r="H1034" s="60"/>
      <c r="I1034" s="60"/>
      <c r="J1034" s="60"/>
      <c r="K1034" s="60"/>
      <c r="L1034" s="60"/>
      <c r="M1034" s="60"/>
      <c r="N1034" s="60"/>
      <c r="O1034" s="60"/>
      <c r="P1034" s="60"/>
      <c r="Q1034" s="60"/>
      <c r="R1034" s="60"/>
      <c r="S1034" s="60"/>
      <c r="T1034" s="60"/>
      <c r="U1034" s="60"/>
      <c r="V1034" s="60"/>
      <c r="W1034" s="60"/>
      <c r="X1034" s="60"/>
      <c r="Y1034" s="60"/>
      <c r="Z1034" s="60"/>
      <c r="AA1034" s="60"/>
      <c r="AB1034" s="60"/>
      <c r="AC1034" s="60"/>
      <c r="AD1034" s="60"/>
      <c r="AE1034" s="60"/>
      <c r="AF1034" s="60"/>
    </row>
    <row r="1035" ht="15.75" customHeight="1">
      <c r="A1035" s="111"/>
      <c r="B1035" s="112"/>
      <c r="C1035" s="111"/>
      <c r="D1035" s="111"/>
      <c r="E1035" s="173"/>
      <c r="F1035" s="60"/>
      <c r="G1035" s="60"/>
      <c r="H1035" s="60"/>
      <c r="I1035" s="60"/>
      <c r="J1035" s="60"/>
      <c r="K1035" s="60"/>
      <c r="L1035" s="60"/>
      <c r="M1035" s="60"/>
      <c r="N1035" s="60"/>
      <c r="O1035" s="60"/>
      <c r="P1035" s="60"/>
      <c r="Q1035" s="60"/>
      <c r="R1035" s="60"/>
      <c r="S1035" s="60"/>
      <c r="T1035" s="60"/>
      <c r="U1035" s="60"/>
      <c r="V1035" s="60"/>
      <c r="W1035" s="60"/>
      <c r="X1035" s="60"/>
      <c r="Y1035" s="60"/>
      <c r="Z1035" s="60"/>
      <c r="AA1035" s="60"/>
      <c r="AB1035" s="60"/>
      <c r="AC1035" s="60"/>
      <c r="AD1035" s="60"/>
      <c r="AE1035" s="60"/>
      <c r="AF1035" s="60"/>
    </row>
    <row r="1036" ht="15.75" customHeight="1">
      <c r="A1036" s="111"/>
      <c r="B1036" s="112"/>
      <c r="C1036" s="111"/>
      <c r="D1036" s="111"/>
      <c r="E1036" s="173"/>
      <c r="F1036" s="60"/>
      <c r="G1036" s="60"/>
      <c r="H1036" s="60"/>
      <c r="I1036" s="60"/>
      <c r="J1036" s="60"/>
      <c r="K1036" s="60"/>
      <c r="L1036" s="60"/>
      <c r="M1036" s="60"/>
      <c r="N1036" s="60"/>
      <c r="O1036" s="60"/>
      <c r="P1036" s="60"/>
      <c r="Q1036" s="60"/>
      <c r="R1036" s="60"/>
      <c r="S1036" s="60"/>
      <c r="T1036" s="60"/>
      <c r="U1036" s="60"/>
      <c r="V1036" s="60"/>
      <c r="W1036" s="60"/>
      <c r="X1036" s="60"/>
      <c r="Y1036" s="60"/>
      <c r="Z1036" s="60"/>
      <c r="AA1036" s="60"/>
      <c r="AB1036" s="60"/>
      <c r="AC1036" s="60"/>
      <c r="AD1036" s="60"/>
      <c r="AE1036" s="60"/>
      <c r="AF1036" s="60"/>
    </row>
    <row r="1037" ht="15.75" customHeight="1">
      <c r="A1037" s="111"/>
      <c r="B1037" s="112"/>
      <c r="C1037" s="111"/>
      <c r="D1037" s="111"/>
      <c r="E1037" s="173"/>
      <c r="F1037" s="60"/>
      <c r="G1037" s="60"/>
      <c r="H1037" s="60"/>
      <c r="I1037" s="60"/>
      <c r="J1037" s="60"/>
      <c r="K1037" s="60"/>
      <c r="L1037" s="60"/>
      <c r="M1037" s="60"/>
      <c r="N1037" s="60"/>
      <c r="O1037" s="60"/>
      <c r="P1037" s="60"/>
      <c r="Q1037" s="60"/>
      <c r="R1037" s="60"/>
      <c r="S1037" s="60"/>
      <c r="T1037" s="60"/>
      <c r="U1037" s="60"/>
      <c r="V1037" s="60"/>
      <c r="W1037" s="60"/>
      <c r="X1037" s="60"/>
      <c r="Y1037" s="60"/>
      <c r="Z1037" s="60"/>
      <c r="AA1037" s="60"/>
      <c r="AB1037" s="60"/>
      <c r="AC1037" s="60"/>
      <c r="AD1037" s="60"/>
      <c r="AE1037" s="60"/>
      <c r="AF1037" s="60"/>
    </row>
    <row r="1038" ht="15.75" customHeight="1">
      <c r="A1038" s="111"/>
      <c r="B1038" s="112"/>
      <c r="C1038" s="111"/>
      <c r="D1038" s="111"/>
      <c r="E1038" s="173"/>
      <c r="F1038" s="60"/>
      <c r="G1038" s="60"/>
      <c r="H1038" s="60"/>
      <c r="I1038" s="60"/>
      <c r="J1038" s="60"/>
      <c r="K1038" s="60"/>
      <c r="L1038" s="60"/>
      <c r="M1038" s="60"/>
      <c r="N1038" s="60"/>
      <c r="O1038" s="60"/>
      <c r="P1038" s="60"/>
      <c r="Q1038" s="60"/>
      <c r="R1038" s="60"/>
      <c r="S1038" s="60"/>
      <c r="T1038" s="60"/>
      <c r="U1038" s="60"/>
      <c r="V1038" s="60"/>
      <c r="W1038" s="60"/>
      <c r="X1038" s="60"/>
      <c r="Y1038" s="60"/>
      <c r="Z1038" s="60"/>
      <c r="AA1038" s="60"/>
      <c r="AB1038" s="60"/>
      <c r="AC1038" s="60"/>
      <c r="AD1038" s="60"/>
      <c r="AE1038" s="60"/>
      <c r="AF1038" s="60"/>
    </row>
    <row r="1039" ht="15.75" customHeight="1">
      <c r="A1039" s="111"/>
      <c r="B1039" s="112"/>
      <c r="C1039" s="111"/>
      <c r="D1039" s="111"/>
      <c r="E1039" s="173"/>
      <c r="F1039" s="60"/>
      <c r="G1039" s="60"/>
      <c r="H1039" s="60"/>
      <c r="I1039" s="60"/>
      <c r="J1039" s="60"/>
      <c r="K1039" s="60"/>
      <c r="L1039" s="60"/>
      <c r="M1039" s="60"/>
      <c r="N1039" s="60"/>
      <c r="O1039" s="60"/>
      <c r="P1039" s="60"/>
      <c r="Q1039" s="60"/>
      <c r="R1039" s="60"/>
      <c r="S1039" s="60"/>
      <c r="T1039" s="60"/>
      <c r="U1039" s="60"/>
      <c r="V1039" s="60"/>
      <c r="W1039" s="60"/>
      <c r="X1039" s="60"/>
      <c r="Y1039" s="60"/>
      <c r="Z1039" s="60"/>
      <c r="AA1039" s="60"/>
      <c r="AB1039" s="60"/>
      <c r="AC1039" s="60"/>
      <c r="AD1039" s="60"/>
      <c r="AE1039" s="60"/>
      <c r="AF1039" s="60"/>
    </row>
    <row r="1040" ht="15.75" customHeight="1">
      <c r="A1040" s="111"/>
      <c r="B1040" s="112"/>
      <c r="C1040" s="111"/>
      <c r="D1040" s="111"/>
      <c r="E1040" s="173"/>
      <c r="F1040" s="60"/>
      <c r="G1040" s="60"/>
      <c r="H1040" s="60"/>
      <c r="I1040" s="60"/>
      <c r="J1040" s="60"/>
      <c r="K1040" s="60"/>
      <c r="L1040" s="60"/>
      <c r="M1040" s="60"/>
      <c r="N1040" s="60"/>
      <c r="O1040" s="60"/>
      <c r="P1040" s="60"/>
      <c r="Q1040" s="60"/>
      <c r="R1040" s="60"/>
      <c r="S1040" s="60"/>
      <c r="T1040" s="60"/>
      <c r="U1040" s="60"/>
      <c r="V1040" s="60"/>
      <c r="W1040" s="60"/>
      <c r="X1040" s="60"/>
      <c r="Y1040" s="60"/>
      <c r="Z1040" s="60"/>
      <c r="AA1040" s="60"/>
      <c r="AB1040" s="60"/>
      <c r="AC1040" s="60"/>
      <c r="AD1040" s="60"/>
      <c r="AE1040" s="60"/>
      <c r="AF1040" s="60"/>
    </row>
    <row r="1041" ht="15.75" customHeight="1">
      <c r="A1041" s="111"/>
      <c r="B1041" s="112"/>
      <c r="C1041" s="111"/>
      <c r="D1041" s="111"/>
      <c r="E1041" s="173"/>
      <c r="F1041" s="60"/>
      <c r="G1041" s="60"/>
      <c r="H1041" s="60"/>
      <c r="I1041" s="60"/>
      <c r="J1041" s="60"/>
      <c r="K1041" s="60"/>
      <c r="L1041" s="60"/>
      <c r="M1041" s="60"/>
      <c r="N1041" s="60"/>
      <c r="O1041" s="60"/>
      <c r="P1041" s="60"/>
      <c r="Q1041" s="60"/>
      <c r="R1041" s="60"/>
      <c r="S1041" s="60"/>
      <c r="T1041" s="60"/>
      <c r="U1041" s="60"/>
      <c r="V1041" s="60"/>
      <c r="W1041" s="60"/>
      <c r="X1041" s="60"/>
      <c r="Y1041" s="60"/>
      <c r="Z1041" s="60"/>
      <c r="AA1041" s="60"/>
      <c r="AB1041" s="60"/>
      <c r="AC1041" s="60"/>
      <c r="AD1041" s="60"/>
      <c r="AE1041" s="60"/>
      <c r="AF1041" s="60"/>
    </row>
    <row r="1042" ht="15.75" customHeight="1">
      <c r="A1042" s="111"/>
      <c r="B1042" s="112"/>
      <c r="C1042" s="111"/>
      <c r="D1042" s="111"/>
      <c r="E1042" s="173"/>
      <c r="F1042" s="60"/>
      <c r="G1042" s="60"/>
      <c r="H1042" s="60"/>
      <c r="I1042" s="60"/>
      <c r="J1042" s="60"/>
      <c r="K1042" s="60"/>
      <c r="L1042" s="60"/>
      <c r="M1042" s="60"/>
      <c r="N1042" s="60"/>
      <c r="O1042" s="60"/>
      <c r="P1042" s="60"/>
      <c r="Q1042" s="60"/>
      <c r="R1042" s="60"/>
      <c r="S1042" s="60"/>
      <c r="T1042" s="60"/>
      <c r="U1042" s="60"/>
      <c r="V1042" s="60"/>
      <c r="W1042" s="60"/>
      <c r="X1042" s="60"/>
      <c r="Y1042" s="60"/>
      <c r="Z1042" s="60"/>
      <c r="AA1042" s="60"/>
      <c r="AB1042" s="60"/>
      <c r="AC1042" s="60"/>
      <c r="AD1042" s="60"/>
      <c r="AE1042" s="60"/>
      <c r="AF1042" s="60"/>
    </row>
    <row r="1043" ht="15.75" customHeight="1">
      <c r="A1043" s="111"/>
      <c r="B1043" s="112"/>
      <c r="C1043" s="111"/>
      <c r="D1043" s="111"/>
      <c r="E1043" s="173"/>
      <c r="F1043" s="60"/>
      <c r="G1043" s="60"/>
      <c r="H1043" s="60"/>
      <c r="I1043" s="60"/>
      <c r="J1043" s="60"/>
      <c r="K1043" s="60"/>
      <c r="L1043" s="60"/>
      <c r="M1043" s="60"/>
      <c r="N1043" s="60"/>
      <c r="O1043" s="60"/>
      <c r="P1043" s="60"/>
      <c r="Q1043" s="60"/>
      <c r="R1043" s="60"/>
      <c r="S1043" s="60"/>
      <c r="T1043" s="60"/>
      <c r="U1043" s="60"/>
      <c r="V1043" s="60"/>
      <c r="W1043" s="60"/>
      <c r="X1043" s="60"/>
      <c r="Y1043" s="60"/>
      <c r="Z1043" s="60"/>
      <c r="AA1043" s="60"/>
      <c r="AB1043" s="60"/>
      <c r="AC1043" s="60"/>
      <c r="AD1043" s="60"/>
      <c r="AE1043" s="60"/>
      <c r="AF1043" s="60"/>
    </row>
    <row r="1044" ht="15.75" customHeight="1">
      <c r="A1044" s="111"/>
      <c r="B1044" s="112"/>
      <c r="C1044" s="111"/>
      <c r="D1044" s="111"/>
      <c r="E1044" s="173"/>
      <c r="F1044" s="60"/>
      <c r="G1044" s="60"/>
      <c r="H1044" s="60"/>
      <c r="I1044" s="60"/>
      <c r="J1044" s="60"/>
      <c r="K1044" s="60"/>
      <c r="L1044" s="60"/>
      <c r="M1044" s="60"/>
      <c r="N1044" s="60"/>
      <c r="O1044" s="60"/>
      <c r="P1044" s="60"/>
      <c r="Q1044" s="60"/>
      <c r="R1044" s="60"/>
      <c r="S1044" s="60"/>
      <c r="T1044" s="60"/>
      <c r="U1044" s="60"/>
      <c r="V1044" s="60"/>
      <c r="W1044" s="60"/>
      <c r="X1044" s="60"/>
      <c r="Y1044" s="60"/>
      <c r="Z1044" s="60"/>
      <c r="AA1044" s="60"/>
      <c r="AB1044" s="60"/>
      <c r="AC1044" s="60"/>
      <c r="AD1044" s="60"/>
      <c r="AE1044" s="60"/>
      <c r="AF1044" s="60"/>
    </row>
    <row r="1045" ht="15.75" customHeight="1">
      <c r="A1045" s="111"/>
      <c r="B1045" s="112"/>
      <c r="C1045" s="111"/>
      <c r="D1045" s="111"/>
      <c r="E1045" s="173"/>
      <c r="F1045" s="60"/>
      <c r="G1045" s="60"/>
      <c r="H1045" s="60"/>
      <c r="I1045" s="60"/>
      <c r="J1045" s="60"/>
      <c r="K1045" s="60"/>
      <c r="L1045" s="60"/>
      <c r="M1045" s="60"/>
      <c r="N1045" s="60"/>
      <c r="O1045" s="60"/>
      <c r="P1045" s="60"/>
      <c r="Q1045" s="60"/>
      <c r="R1045" s="60"/>
      <c r="S1045" s="60"/>
      <c r="T1045" s="60"/>
      <c r="U1045" s="60"/>
      <c r="V1045" s="60"/>
      <c r="W1045" s="60"/>
      <c r="X1045" s="60"/>
      <c r="Y1045" s="60"/>
      <c r="Z1045" s="60"/>
      <c r="AA1045" s="60"/>
      <c r="AB1045" s="60"/>
      <c r="AC1045" s="60"/>
      <c r="AD1045" s="60"/>
      <c r="AE1045" s="60"/>
      <c r="AF1045" s="60"/>
    </row>
    <row r="1046" ht="15.75" customHeight="1">
      <c r="A1046" s="111"/>
      <c r="B1046" s="112"/>
      <c r="C1046" s="111"/>
      <c r="D1046" s="111"/>
      <c r="E1046" s="173"/>
      <c r="F1046" s="60"/>
      <c r="G1046" s="60"/>
      <c r="H1046" s="60"/>
      <c r="I1046" s="60"/>
      <c r="J1046" s="60"/>
      <c r="K1046" s="60"/>
      <c r="L1046" s="60"/>
      <c r="M1046" s="60"/>
      <c r="N1046" s="60"/>
      <c r="O1046" s="60"/>
      <c r="P1046" s="60"/>
      <c r="Q1046" s="60"/>
      <c r="R1046" s="60"/>
      <c r="S1046" s="60"/>
      <c r="T1046" s="60"/>
      <c r="U1046" s="60"/>
      <c r="V1046" s="60"/>
      <c r="W1046" s="60"/>
      <c r="X1046" s="60"/>
      <c r="Y1046" s="60"/>
      <c r="Z1046" s="60"/>
      <c r="AA1046" s="60"/>
      <c r="AB1046" s="60"/>
      <c r="AC1046" s="60"/>
      <c r="AD1046" s="60"/>
      <c r="AE1046" s="60"/>
      <c r="AF1046" s="60"/>
    </row>
    <row r="1047" ht="15.75" customHeight="1">
      <c r="A1047" s="111"/>
      <c r="B1047" s="112"/>
      <c r="C1047" s="111"/>
      <c r="D1047" s="111"/>
      <c r="E1047" s="173"/>
      <c r="F1047" s="60"/>
      <c r="G1047" s="60"/>
      <c r="H1047" s="60"/>
      <c r="I1047" s="60"/>
      <c r="J1047" s="60"/>
      <c r="K1047" s="60"/>
      <c r="L1047" s="60"/>
      <c r="M1047" s="60"/>
      <c r="N1047" s="60"/>
      <c r="O1047" s="60"/>
      <c r="P1047" s="60"/>
      <c r="Q1047" s="60"/>
      <c r="R1047" s="60"/>
      <c r="S1047" s="60"/>
      <c r="T1047" s="60"/>
      <c r="U1047" s="60"/>
      <c r="V1047" s="60"/>
      <c r="W1047" s="60"/>
      <c r="X1047" s="60"/>
      <c r="Y1047" s="60"/>
      <c r="Z1047" s="60"/>
      <c r="AA1047" s="60"/>
      <c r="AB1047" s="60"/>
      <c r="AC1047" s="60"/>
      <c r="AD1047" s="60"/>
      <c r="AE1047" s="60"/>
      <c r="AF1047" s="60"/>
    </row>
    <row r="1048" ht="15.75" customHeight="1">
      <c r="A1048" s="111"/>
      <c r="B1048" s="112"/>
      <c r="C1048" s="111"/>
      <c r="D1048" s="111"/>
      <c r="E1048" s="173"/>
      <c r="F1048" s="60"/>
      <c r="G1048" s="60"/>
      <c r="H1048" s="60"/>
      <c r="I1048" s="60"/>
      <c r="J1048" s="60"/>
      <c r="K1048" s="60"/>
      <c r="L1048" s="60"/>
      <c r="M1048" s="60"/>
      <c r="N1048" s="60"/>
      <c r="O1048" s="60"/>
      <c r="P1048" s="60"/>
      <c r="Q1048" s="60"/>
      <c r="R1048" s="60"/>
      <c r="S1048" s="60"/>
      <c r="T1048" s="60"/>
      <c r="U1048" s="60"/>
      <c r="V1048" s="60"/>
      <c r="W1048" s="60"/>
      <c r="X1048" s="60"/>
      <c r="Y1048" s="60"/>
      <c r="Z1048" s="60"/>
      <c r="AA1048" s="60"/>
      <c r="AB1048" s="60"/>
      <c r="AC1048" s="60"/>
      <c r="AD1048" s="60"/>
      <c r="AE1048" s="60"/>
      <c r="AF1048" s="60"/>
    </row>
    <row r="1049" ht="15.75" customHeight="1">
      <c r="A1049" s="111"/>
      <c r="B1049" s="112"/>
      <c r="C1049" s="111"/>
      <c r="D1049" s="111"/>
      <c r="E1049" s="173"/>
      <c r="F1049" s="60"/>
      <c r="G1049" s="60"/>
      <c r="H1049" s="60"/>
      <c r="I1049" s="60"/>
      <c r="J1049" s="60"/>
      <c r="K1049" s="60"/>
      <c r="L1049" s="60"/>
      <c r="M1049" s="60"/>
      <c r="N1049" s="60"/>
      <c r="O1049" s="60"/>
      <c r="P1049" s="60"/>
      <c r="Q1049" s="60"/>
      <c r="R1049" s="60"/>
      <c r="S1049" s="60"/>
      <c r="T1049" s="60"/>
      <c r="U1049" s="60"/>
      <c r="V1049" s="60"/>
      <c r="W1049" s="60"/>
      <c r="X1049" s="60"/>
      <c r="Y1049" s="60"/>
      <c r="Z1049" s="60"/>
      <c r="AA1049" s="60"/>
      <c r="AB1049" s="60"/>
      <c r="AC1049" s="60"/>
      <c r="AD1049" s="60"/>
      <c r="AE1049" s="60"/>
      <c r="AF1049" s="60"/>
    </row>
    <row r="1050" ht="15.75" customHeight="1">
      <c r="A1050" s="111"/>
      <c r="B1050" s="112"/>
      <c r="C1050" s="111"/>
      <c r="D1050" s="111"/>
      <c r="E1050" s="173"/>
      <c r="F1050" s="60"/>
      <c r="G1050" s="60"/>
      <c r="H1050" s="60"/>
      <c r="I1050" s="60"/>
      <c r="J1050" s="60"/>
      <c r="K1050" s="60"/>
      <c r="L1050" s="60"/>
      <c r="M1050" s="60"/>
      <c r="N1050" s="60"/>
      <c r="O1050" s="60"/>
      <c r="P1050" s="60"/>
      <c r="Q1050" s="60"/>
      <c r="R1050" s="60"/>
      <c r="S1050" s="60"/>
      <c r="T1050" s="60"/>
      <c r="U1050" s="60"/>
      <c r="V1050" s="60"/>
      <c r="W1050" s="60"/>
      <c r="X1050" s="60"/>
      <c r="Y1050" s="60"/>
      <c r="Z1050" s="60"/>
      <c r="AA1050" s="60"/>
      <c r="AB1050" s="60"/>
      <c r="AC1050" s="60"/>
      <c r="AD1050" s="60"/>
      <c r="AE1050" s="60"/>
      <c r="AF1050" s="60"/>
    </row>
    <row r="1051" ht="15.75" customHeight="1">
      <c r="A1051" s="111"/>
      <c r="B1051" s="112"/>
      <c r="C1051" s="111"/>
      <c r="D1051" s="111"/>
      <c r="E1051" s="173"/>
      <c r="F1051" s="60"/>
      <c r="G1051" s="60"/>
      <c r="H1051" s="60"/>
      <c r="I1051" s="60"/>
      <c r="J1051" s="60"/>
      <c r="K1051" s="60"/>
      <c r="L1051" s="60"/>
      <c r="M1051" s="60"/>
      <c r="N1051" s="60"/>
      <c r="O1051" s="60"/>
      <c r="P1051" s="60"/>
      <c r="Q1051" s="60"/>
      <c r="R1051" s="60"/>
      <c r="S1051" s="60"/>
      <c r="T1051" s="60"/>
      <c r="U1051" s="60"/>
      <c r="V1051" s="60"/>
      <c r="W1051" s="60"/>
      <c r="X1051" s="60"/>
      <c r="Y1051" s="60"/>
      <c r="Z1051" s="60"/>
      <c r="AA1051" s="60"/>
      <c r="AB1051" s="60"/>
      <c r="AC1051" s="60"/>
      <c r="AD1051" s="60"/>
      <c r="AE1051" s="60"/>
      <c r="AF1051" s="60"/>
    </row>
    <row r="1052" ht="15.75" customHeight="1">
      <c r="A1052" s="111"/>
      <c r="B1052" s="112"/>
      <c r="C1052" s="111"/>
      <c r="D1052" s="111"/>
      <c r="E1052" s="173"/>
      <c r="F1052" s="60"/>
      <c r="G1052" s="60"/>
      <c r="H1052" s="60"/>
      <c r="I1052" s="60"/>
      <c r="J1052" s="60"/>
      <c r="K1052" s="60"/>
      <c r="L1052" s="60"/>
      <c r="M1052" s="60"/>
      <c r="N1052" s="60"/>
      <c r="O1052" s="60"/>
      <c r="P1052" s="60"/>
      <c r="Q1052" s="60"/>
      <c r="R1052" s="60"/>
      <c r="S1052" s="60"/>
      <c r="T1052" s="60"/>
      <c r="U1052" s="60"/>
      <c r="V1052" s="60"/>
      <c r="W1052" s="60"/>
      <c r="X1052" s="60"/>
      <c r="Y1052" s="60"/>
      <c r="Z1052" s="60"/>
      <c r="AA1052" s="60"/>
      <c r="AB1052" s="60"/>
      <c r="AC1052" s="60"/>
      <c r="AD1052" s="60"/>
      <c r="AE1052" s="60"/>
      <c r="AF1052" s="60"/>
    </row>
    <row r="1053" ht="15.75" customHeight="1">
      <c r="A1053" s="111"/>
      <c r="B1053" s="112"/>
      <c r="C1053" s="111"/>
      <c r="D1053" s="111"/>
      <c r="E1053" s="173"/>
      <c r="F1053" s="60"/>
      <c r="G1053" s="60"/>
      <c r="H1053" s="60"/>
      <c r="I1053" s="60"/>
      <c r="J1053" s="60"/>
      <c r="K1053" s="60"/>
      <c r="L1053" s="60"/>
      <c r="M1053" s="60"/>
      <c r="N1053" s="60"/>
      <c r="O1053" s="60"/>
      <c r="P1053" s="60"/>
      <c r="Q1053" s="60"/>
      <c r="R1053" s="60"/>
      <c r="S1053" s="60"/>
      <c r="T1053" s="60"/>
      <c r="U1053" s="60"/>
      <c r="V1053" s="60"/>
      <c r="W1053" s="60"/>
      <c r="X1053" s="60"/>
      <c r="Y1053" s="60"/>
      <c r="Z1053" s="60"/>
      <c r="AA1053" s="60"/>
      <c r="AB1053" s="60"/>
      <c r="AC1053" s="60"/>
      <c r="AD1053" s="60"/>
      <c r="AE1053" s="60"/>
      <c r="AF1053" s="60"/>
    </row>
    <row r="1054" ht="15.75" customHeight="1">
      <c r="A1054" s="111"/>
      <c r="B1054" s="112"/>
      <c r="C1054" s="111"/>
      <c r="D1054" s="111"/>
      <c r="E1054" s="173"/>
      <c r="F1054" s="60"/>
      <c r="G1054" s="60"/>
      <c r="H1054" s="60"/>
      <c r="I1054" s="60"/>
      <c r="J1054" s="60"/>
      <c r="K1054" s="60"/>
      <c r="L1054" s="60"/>
      <c r="M1054" s="60"/>
      <c r="N1054" s="60"/>
      <c r="O1054" s="60"/>
      <c r="P1054" s="60"/>
      <c r="Q1054" s="60"/>
      <c r="R1054" s="60"/>
      <c r="S1054" s="60"/>
      <c r="T1054" s="60"/>
      <c r="U1054" s="60"/>
      <c r="V1054" s="60"/>
      <c r="W1054" s="60"/>
      <c r="X1054" s="60"/>
      <c r="Y1054" s="60"/>
      <c r="Z1054" s="60"/>
      <c r="AA1054" s="60"/>
      <c r="AB1054" s="60"/>
      <c r="AC1054" s="60"/>
      <c r="AD1054" s="60"/>
      <c r="AE1054" s="60"/>
      <c r="AF1054" s="60"/>
    </row>
    <row r="1055" ht="15.75" customHeight="1">
      <c r="A1055" s="111"/>
      <c r="B1055" s="112"/>
      <c r="C1055" s="111"/>
      <c r="D1055" s="111"/>
      <c r="E1055" s="173"/>
      <c r="F1055" s="60"/>
      <c r="G1055" s="60"/>
      <c r="H1055" s="60"/>
      <c r="I1055" s="60"/>
      <c r="J1055" s="60"/>
      <c r="K1055" s="60"/>
      <c r="L1055" s="60"/>
      <c r="M1055" s="60"/>
      <c r="N1055" s="60"/>
      <c r="O1055" s="60"/>
      <c r="P1055" s="60"/>
      <c r="Q1055" s="60"/>
      <c r="R1055" s="60"/>
      <c r="S1055" s="60"/>
      <c r="T1055" s="60"/>
      <c r="U1055" s="60"/>
      <c r="V1055" s="60"/>
      <c r="W1055" s="60"/>
      <c r="X1055" s="60"/>
      <c r="Y1055" s="60"/>
      <c r="Z1055" s="60"/>
      <c r="AA1055" s="60"/>
      <c r="AB1055" s="60"/>
      <c r="AC1055" s="60"/>
      <c r="AD1055" s="60"/>
      <c r="AE1055" s="60"/>
      <c r="AF1055" s="60"/>
    </row>
    <row r="1056" ht="15.75" customHeight="1">
      <c r="A1056" s="111"/>
      <c r="B1056" s="112"/>
      <c r="C1056" s="111"/>
      <c r="D1056" s="111"/>
      <c r="E1056" s="173"/>
      <c r="F1056" s="60"/>
      <c r="G1056" s="60"/>
      <c r="H1056" s="60"/>
      <c r="I1056" s="60"/>
      <c r="J1056" s="60"/>
      <c r="K1056" s="60"/>
      <c r="L1056" s="60"/>
      <c r="M1056" s="60"/>
      <c r="N1056" s="60"/>
      <c r="O1056" s="60"/>
      <c r="P1056" s="60"/>
      <c r="Q1056" s="60"/>
      <c r="R1056" s="60"/>
      <c r="S1056" s="60"/>
      <c r="T1056" s="60"/>
      <c r="U1056" s="60"/>
      <c r="V1056" s="60"/>
      <c r="W1056" s="60"/>
      <c r="X1056" s="60"/>
      <c r="Y1056" s="60"/>
      <c r="Z1056" s="60"/>
      <c r="AA1056" s="60"/>
      <c r="AB1056" s="60"/>
      <c r="AC1056" s="60"/>
      <c r="AD1056" s="60"/>
      <c r="AE1056" s="60"/>
      <c r="AF1056" s="60"/>
    </row>
    <row r="1057" ht="15.75" customHeight="1">
      <c r="A1057" s="111"/>
      <c r="B1057" s="112"/>
      <c r="C1057" s="111"/>
      <c r="D1057" s="111"/>
      <c r="E1057" s="173"/>
      <c r="F1057" s="60"/>
      <c r="G1057" s="60"/>
      <c r="H1057" s="60"/>
      <c r="I1057" s="60"/>
      <c r="J1057" s="60"/>
      <c r="K1057" s="60"/>
      <c r="L1057" s="60"/>
      <c r="M1057" s="60"/>
      <c r="N1057" s="60"/>
      <c r="O1057" s="60"/>
      <c r="P1057" s="60"/>
      <c r="Q1057" s="60"/>
      <c r="R1057" s="60"/>
      <c r="S1057" s="60"/>
      <c r="T1057" s="60"/>
      <c r="U1057" s="60"/>
      <c r="V1057" s="60"/>
      <c r="W1057" s="60"/>
      <c r="X1057" s="60"/>
      <c r="Y1057" s="60"/>
      <c r="Z1057" s="60"/>
      <c r="AA1057" s="60"/>
      <c r="AB1057" s="60"/>
      <c r="AC1057" s="60"/>
      <c r="AD1057" s="60"/>
      <c r="AE1057" s="60"/>
      <c r="AF1057" s="60"/>
    </row>
    <row r="1058" ht="15.75" customHeight="1">
      <c r="A1058" s="111"/>
      <c r="B1058" s="112"/>
      <c r="C1058" s="111"/>
      <c r="D1058" s="111"/>
      <c r="E1058" s="173"/>
      <c r="F1058" s="60"/>
      <c r="G1058" s="60"/>
      <c r="H1058" s="60"/>
      <c r="I1058" s="60"/>
      <c r="J1058" s="60"/>
      <c r="K1058" s="60"/>
      <c r="L1058" s="60"/>
      <c r="M1058" s="60"/>
      <c r="N1058" s="60"/>
      <c r="O1058" s="60"/>
      <c r="P1058" s="60"/>
      <c r="Q1058" s="60"/>
      <c r="R1058" s="60"/>
      <c r="S1058" s="60"/>
      <c r="T1058" s="60"/>
      <c r="U1058" s="60"/>
      <c r="V1058" s="60"/>
      <c r="W1058" s="60"/>
      <c r="X1058" s="60"/>
      <c r="Y1058" s="60"/>
      <c r="Z1058" s="60"/>
      <c r="AA1058" s="60"/>
      <c r="AB1058" s="60"/>
      <c r="AC1058" s="60"/>
      <c r="AD1058" s="60"/>
      <c r="AE1058" s="60"/>
      <c r="AF1058" s="60"/>
    </row>
    <row r="1059" ht="15.75" customHeight="1">
      <c r="A1059" s="111"/>
      <c r="B1059" s="112"/>
      <c r="C1059" s="111"/>
      <c r="D1059" s="111"/>
      <c r="E1059" s="173"/>
      <c r="F1059" s="60"/>
      <c r="G1059" s="60"/>
      <c r="H1059" s="60"/>
      <c r="I1059" s="60"/>
      <c r="J1059" s="60"/>
      <c r="K1059" s="60"/>
      <c r="L1059" s="60"/>
      <c r="M1059" s="60"/>
      <c r="N1059" s="60"/>
      <c r="O1059" s="60"/>
      <c r="P1059" s="60"/>
      <c r="Q1059" s="60"/>
      <c r="R1059" s="60"/>
      <c r="S1059" s="60"/>
      <c r="T1059" s="60"/>
      <c r="U1059" s="60"/>
      <c r="V1059" s="60"/>
      <c r="W1059" s="60"/>
      <c r="X1059" s="60"/>
      <c r="Y1059" s="60"/>
      <c r="Z1059" s="60"/>
      <c r="AA1059" s="60"/>
      <c r="AB1059" s="60"/>
      <c r="AC1059" s="60"/>
      <c r="AD1059" s="60"/>
      <c r="AE1059" s="60"/>
      <c r="AF1059" s="60"/>
    </row>
    <row r="1060" ht="15.75" customHeight="1">
      <c r="A1060" s="111"/>
      <c r="B1060" s="112"/>
      <c r="C1060" s="111"/>
      <c r="D1060" s="111"/>
      <c r="E1060" s="173"/>
      <c r="F1060" s="60"/>
      <c r="G1060" s="60"/>
      <c r="H1060" s="60"/>
      <c r="I1060" s="60"/>
      <c r="J1060" s="60"/>
      <c r="K1060" s="60"/>
      <c r="L1060" s="60"/>
      <c r="M1060" s="60"/>
      <c r="N1060" s="60"/>
      <c r="O1060" s="60"/>
      <c r="P1060" s="60"/>
      <c r="Q1060" s="60"/>
      <c r="R1060" s="60"/>
      <c r="S1060" s="60"/>
      <c r="T1060" s="60"/>
      <c r="U1060" s="60"/>
      <c r="V1060" s="60"/>
      <c r="W1060" s="60"/>
      <c r="X1060" s="60"/>
      <c r="Y1060" s="60"/>
      <c r="Z1060" s="60"/>
      <c r="AA1060" s="60"/>
      <c r="AB1060" s="60"/>
      <c r="AC1060" s="60"/>
      <c r="AD1060" s="60"/>
      <c r="AE1060" s="60"/>
      <c r="AF1060" s="60"/>
    </row>
    <row r="1061" ht="15.75" customHeight="1">
      <c r="A1061" s="111"/>
      <c r="B1061" s="112"/>
      <c r="C1061" s="111"/>
      <c r="D1061" s="111"/>
      <c r="E1061" s="173"/>
      <c r="F1061" s="60"/>
      <c r="G1061" s="60"/>
      <c r="H1061" s="60"/>
      <c r="I1061" s="60"/>
      <c r="J1061" s="60"/>
      <c r="K1061" s="60"/>
      <c r="L1061" s="60"/>
      <c r="M1061" s="60"/>
      <c r="N1061" s="60"/>
      <c r="O1061" s="60"/>
      <c r="P1061" s="60"/>
      <c r="Q1061" s="60"/>
      <c r="R1061" s="60"/>
      <c r="S1061" s="60"/>
      <c r="T1061" s="60"/>
      <c r="U1061" s="60"/>
      <c r="V1061" s="60"/>
      <c r="W1061" s="60"/>
      <c r="X1061" s="60"/>
      <c r="Y1061" s="60"/>
      <c r="Z1061" s="60"/>
      <c r="AA1061" s="60"/>
      <c r="AB1061" s="60"/>
      <c r="AC1061" s="60"/>
      <c r="AD1061" s="60"/>
      <c r="AE1061" s="60"/>
      <c r="AF1061" s="60"/>
    </row>
    <row r="1062" ht="15.75" customHeight="1">
      <c r="A1062" s="111"/>
      <c r="B1062" s="112"/>
      <c r="C1062" s="111"/>
      <c r="D1062" s="111"/>
      <c r="E1062" s="173"/>
      <c r="F1062" s="60"/>
      <c r="G1062" s="60"/>
      <c r="H1062" s="60"/>
      <c r="I1062" s="60"/>
      <c r="J1062" s="60"/>
      <c r="K1062" s="60"/>
      <c r="L1062" s="60"/>
      <c r="M1062" s="60"/>
      <c r="N1062" s="60"/>
      <c r="O1062" s="60"/>
      <c r="P1062" s="60"/>
      <c r="Q1062" s="60"/>
      <c r="R1062" s="60"/>
      <c r="S1062" s="60"/>
      <c r="T1062" s="60"/>
      <c r="U1062" s="60"/>
      <c r="V1062" s="60"/>
      <c r="W1062" s="60"/>
      <c r="X1062" s="60"/>
      <c r="Y1062" s="60"/>
      <c r="Z1062" s="60"/>
      <c r="AA1062" s="60"/>
      <c r="AB1062" s="60"/>
      <c r="AC1062" s="60"/>
      <c r="AD1062" s="60"/>
      <c r="AE1062" s="60"/>
      <c r="AF1062" s="60"/>
    </row>
    <row r="1063" ht="15.75" customHeight="1">
      <c r="A1063" s="111"/>
      <c r="B1063" s="112"/>
      <c r="C1063" s="111"/>
      <c r="D1063" s="111"/>
      <c r="E1063" s="173"/>
      <c r="F1063" s="60"/>
      <c r="G1063" s="60"/>
      <c r="H1063" s="60"/>
      <c r="I1063" s="60"/>
      <c r="J1063" s="60"/>
      <c r="K1063" s="60"/>
      <c r="L1063" s="60"/>
      <c r="M1063" s="60"/>
      <c r="N1063" s="60"/>
      <c r="O1063" s="60"/>
      <c r="P1063" s="60"/>
      <c r="Q1063" s="60"/>
      <c r="R1063" s="60"/>
      <c r="S1063" s="60"/>
      <c r="T1063" s="60"/>
      <c r="U1063" s="60"/>
      <c r="V1063" s="60"/>
      <c r="W1063" s="60"/>
      <c r="X1063" s="60"/>
      <c r="Y1063" s="60"/>
      <c r="Z1063" s="60"/>
      <c r="AA1063" s="60"/>
      <c r="AB1063" s="60"/>
      <c r="AC1063" s="60"/>
      <c r="AD1063" s="60"/>
      <c r="AE1063" s="60"/>
      <c r="AF1063" s="60"/>
    </row>
    <row r="1064" ht="15.75" customHeight="1">
      <c r="A1064" s="111"/>
      <c r="B1064" s="112"/>
      <c r="C1064" s="111"/>
      <c r="D1064" s="111"/>
      <c r="E1064" s="173"/>
      <c r="F1064" s="60"/>
      <c r="G1064" s="60"/>
      <c r="H1064" s="60"/>
      <c r="I1064" s="60"/>
      <c r="J1064" s="60"/>
      <c r="K1064" s="60"/>
      <c r="L1064" s="60"/>
      <c r="M1064" s="60"/>
      <c r="N1064" s="60"/>
      <c r="O1064" s="60"/>
      <c r="P1064" s="60"/>
      <c r="Q1064" s="60"/>
      <c r="R1064" s="60"/>
      <c r="S1064" s="60"/>
      <c r="T1064" s="60"/>
      <c r="U1064" s="60"/>
      <c r="V1064" s="60"/>
      <c r="W1064" s="60"/>
      <c r="X1064" s="60"/>
      <c r="Y1064" s="60"/>
      <c r="Z1064" s="60"/>
      <c r="AA1064" s="60"/>
      <c r="AB1064" s="60"/>
      <c r="AC1064" s="60"/>
      <c r="AD1064" s="60"/>
      <c r="AE1064" s="60"/>
      <c r="AF1064" s="60"/>
    </row>
    <row r="1065" ht="15.75" customHeight="1">
      <c r="A1065" s="111"/>
      <c r="B1065" s="112"/>
      <c r="C1065" s="111"/>
      <c r="D1065" s="111"/>
      <c r="E1065" s="173"/>
      <c r="F1065" s="60"/>
      <c r="G1065" s="60"/>
      <c r="H1065" s="60"/>
      <c r="I1065" s="60"/>
      <c r="J1065" s="60"/>
      <c r="K1065" s="60"/>
      <c r="L1065" s="60"/>
      <c r="M1065" s="60"/>
      <c r="N1065" s="60"/>
      <c r="O1065" s="60"/>
      <c r="P1065" s="60"/>
      <c r="Q1065" s="60"/>
      <c r="R1065" s="60"/>
      <c r="S1065" s="60"/>
      <c r="T1065" s="60"/>
      <c r="U1065" s="60"/>
      <c r="V1065" s="60"/>
      <c r="W1065" s="60"/>
      <c r="X1065" s="60"/>
      <c r="Y1065" s="60"/>
      <c r="Z1065" s="60"/>
      <c r="AA1065" s="60"/>
      <c r="AB1065" s="60"/>
      <c r="AC1065" s="60"/>
      <c r="AD1065" s="60"/>
      <c r="AE1065" s="60"/>
      <c r="AF1065" s="60"/>
    </row>
    <row r="1066" ht="15.75" customHeight="1">
      <c r="A1066" s="111"/>
      <c r="B1066" s="112"/>
      <c r="C1066" s="111"/>
      <c r="D1066" s="111"/>
      <c r="E1066" s="173"/>
      <c r="F1066" s="60"/>
      <c r="G1066" s="60"/>
      <c r="H1066" s="60"/>
      <c r="I1066" s="60"/>
      <c r="J1066" s="60"/>
      <c r="K1066" s="60"/>
      <c r="L1066" s="60"/>
      <c r="M1066" s="60"/>
      <c r="N1066" s="60"/>
      <c r="O1066" s="60"/>
      <c r="P1066" s="60"/>
      <c r="Q1066" s="60"/>
      <c r="R1066" s="60"/>
      <c r="S1066" s="60"/>
      <c r="T1066" s="60"/>
      <c r="U1066" s="60"/>
      <c r="V1066" s="60"/>
      <c r="W1066" s="60"/>
      <c r="X1066" s="60"/>
      <c r="Y1066" s="60"/>
      <c r="Z1066" s="60"/>
      <c r="AA1066" s="60"/>
      <c r="AB1066" s="60"/>
      <c r="AC1066" s="60"/>
      <c r="AD1066" s="60"/>
      <c r="AE1066" s="60"/>
      <c r="AF1066" s="60"/>
    </row>
    <row r="1067" ht="15.75" customHeight="1">
      <c r="A1067" s="111"/>
      <c r="B1067" s="112"/>
      <c r="C1067" s="111"/>
      <c r="D1067" s="111"/>
      <c r="E1067" s="173"/>
      <c r="F1067" s="60"/>
      <c r="G1067" s="60"/>
      <c r="H1067" s="60"/>
      <c r="I1067" s="60"/>
      <c r="J1067" s="60"/>
      <c r="K1067" s="60"/>
      <c r="L1067" s="60"/>
      <c r="M1067" s="60"/>
      <c r="N1067" s="60"/>
      <c r="O1067" s="60"/>
      <c r="P1067" s="60"/>
      <c r="Q1067" s="60"/>
      <c r="R1067" s="60"/>
      <c r="S1067" s="60"/>
      <c r="T1067" s="60"/>
      <c r="U1067" s="60"/>
      <c r="V1067" s="60"/>
      <c r="W1067" s="60"/>
      <c r="X1067" s="60"/>
      <c r="Y1067" s="60"/>
      <c r="Z1067" s="60"/>
      <c r="AA1067" s="60"/>
      <c r="AB1067" s="60"/>
      <c r="AC1067" s="60"/>
      <c r="AD1067" s="60"/>
      <c r="AE1067" s="60"/>
      <c r="AF1067" s="60"/>
    </row>
    <row r="1068" ht="15.75" customHeight="1">
      <c r="A1068" s="111"/>
      <c r="B1068" s="112"/>
      <c r="C1068" s="111"/>
      <c r="D1068" s="111"/>
      <c r="E1068" s="173"/>
      <c r="F1068" s="60"/>
      <c r="G1068" s="60"/>
      <c r="H1068" s="60"/>
      <c r="I1068" s="60"/>
      <c r="J1068" s="60"/>
      <c r="K1068" s="60"/>
      <c r="L1068" s="60"/>
      <c r="M1068" s="60"/>
      <c r="N1068" s="60"/>
      <c r="O1068" s="60"/>
      <c r="P1068" s="60"/>
      <c r="Q1068" s="60"/>
      <c r="R1068" s="60"/>
      <c r="S1068" s="60"/>
      <c r="T1068" s="60"/>
      <c r="U1068" s="60"/>
      <c r="V1068" s="60"/>
      <c r="W1068" s="60"/>
      <c r="X1068" s="60"/>
      <c r="Y1068" s="60"/>
      <c r="Z1068" s="60"/>
      <c r="AA1068" s="60"/>
      <c r="AB1068" s="60"/>
      <c r="AC1068" s="60"/>
      <c r="AD1068" s="60"/>
      <c r="AE1068" s="60"/>
      <c r="AF1068" s="60"/>
    </row>
    <row r="1069" ht="15.75" customHeight="1">
      <c r="A1069" s="111"/>
      <c r="B1069" s="112"/>
      <c r="C1069" s="111"/>
      <c r="D1069" s="111"/>
      <c r="E1069" s="173"/>
      <c r="F1069" s="60"/>
      <c r="G1069" s="60"/>
      <c r="H1069" s="60"/>
      <c r="I1069" s="60"/>
      <c r="J1069" s="60"/>
      <c r="K1069" s="60"/>
      <c r="L1069" s="60"/>
      <c r="M1069" s="60"/>
      <c r="N1069" s="60"/>
      <c r="O1069" s="60"/>
      <c r="P1069" s="60"/>
      <c r="Q1069" s="60"/>
      <c r="R1069" s="60"/>
      <c r="S1069" s="60"/>
      <c r="T1069" s="60"/>
      <c r="U1069" s="60"/>
      <c r="V1069" s="60"/>
      <c r="W1069" s="60"/>
      <c r="X1069" s="60"/>
      <c r="Y1069" s="60"/>
      <c r="Z1069" s="60"/>
      <c r="AA1069" s="60"/>
      <c r="AB1069" s="60"/>
      <c r="AC1069" s="60"/>
      <c r="AD1069" s="60"/>
      <c r="AE1069" s="60"/>
      <c r="AF1069" s="60"/>
    </row>
    <row r="1070" ht="15.75" customHeight="1">
      <c r="A1070" s="111"/>
      <c r="B1070" s="112"/>
      <c r="C1070" s="111"/>
      <c r="D1070" s="111"/>
      <c r="E1070" s="173"/>
      <c r="F1070" s="60"/>
      <c r="G1070" s="60"/>
      <c r="H1070" s="60"/>
      <c r="I1070" s="60"/>
      <c r="J1070" s="60"/>
      <c r="K1070" s="60"/>
      <c r="L1070" s="60"/>
      <c r="M1070" s="60"/>
      <c r="N1070" s="60"/>
      <c r="O1070" s="60"/>
      <c r="P1070" s="60"/>
      <c r="Q1070" s="60"/>
      <c r="R1070" s="60"/>
      <c r="S1070" s="60"/>
      <c r="T1070" s="60"/>
      <c r="U1070" s="60"/>
      <c r="V1070" s="60"/>
      <c r="W1070" s="60"/>
      <c r="X1070" s="60"/>
      <c r="Y1070" s="60"/>
      <c r="Z1070" s="60"/>
      <c r="AA1070" s="60"/>
      <c r="AB1070" s="60"/>
      <c r="AC1070" s="60"/>
      <c r="AD1070" s="60"/>
      <c r="AE1070" s="60"/>
      <c r="AF1070" s="60"/>
    </row>
    <row r="1071" ht="15.75" customHeight="1">
      <c r="A1071" s="111"/>
      <c r="B1071" s="112"/>
      <c r="C1071" s="111"/>
      <c r="D1071" s="111"/>
      <c r="E1071" s="173"/>
      <c r="F1071" s="60"/>
      <c r="G1071" s="60"/>
      <c r="H1071" s="60"/>
      <c r="I1071" s="60"/>
      <c r="J1071" s="60"/>
      <c r="K1071" s="60"/>
      <c r="L1071" s="60"/>
      <c r="M1071" s="60"/>
      <c r="N1071" s="60"/>
      <c r="O1071" s="60"/>
      <c r="P1071" s="60"/>
      <c r="Q1071" s="60"/>
      <c r="R1071" s="60"/>
      <c r="S1071" s="60"/>
      <c r="T1071" s="60"/>
      <c r="U1071" s="60"/>
      <c r="V1071" s="60"/>
      <c r="W1071" s="60"/>
      <c r="X1071" s="60"/>
      <c r="Y1071" s="60"/>
      <c r="Z1071" s="60"/>
      <c r="AA1071" s="60"/>
      <c r="AB1071" s="60"/>
      <c r="AC1071" s="60"/>
      <c r="AD1071" s="60"/>
      <c r="AE1071" s="60"/>
      <c r="AF1071" s="60"/>
    </row>
    <row r="1072" ht="15.75" customHeight="1">
      <c r="A1072" s="111"/>
      <c r="B1072" s="112"/>
      <c r="C1072" s="111"/>
      <c r="D1072" s="111"/>
      <c r="E1072" s="173"/>
      <c r="F1072" s="60"/>
      <c r="G1072" s="60"/>
      <c r="H1072" s="60"/>
      <c r="I1072" s="60"/>
      <c r="J1072" s="60"/>
      <c r="K1072" s="60"/>
      <c r="L1072" s="60"/>
      <c r="M1072" s="60"/>
      <c r="N1072" s="60"/>
      <c r="O1072" s="60"/>
      <c r="P1072" s="60"/>
      <c r="Q1072" s="60"/>
      <c r="R1072" s="60"/>
      <c r="S1072" s="60"/>
      <c r="T1072" s="60"/>
      <c r="U1072" s="60"/>
      <c r="V1072" s="60"/>
      <c r="W1072" s="60"/>
      <c r="X1072" s="60"/>
      <c r="Y1072" s="60"/>
      <c r="Z1072" s="60"/>
      <c r="AA1072" s="60"/>
      <c r="AB1072" s="60"/>
      <c r="AC1072" s="60"/>
      <c r="AD1072" s="60"/>
      <c r="AE1072" s="60"/>
      <c r="AF1072" s="60"/>
    </row>
    <row r="1073" ht="15.75" customHeight="1">
      <c r="A1073" s="111"/>
      <c r="B1073" s="112"/>
      <c r="C1073" s="111"/>
      <c r="D1073" s="111"/>
      <c r="E1073" s="173"/>
      <c r="F1073" s="60"/>
      <c r="G1073" s="60"/>
      <c r="H1073" s="60"/>
      <c r="I1073" s="60"/>
      <c r="J1073" s="60"/>
      <c r="K1073" s="60"/>
      <c r="L1073" s="60"/>
      <c r="M1073" s="60"/>
      <c r="N1073" s="60"/>
      <c r="O1073" s="60"/>
      <c r="P1073" s="60"/>
      <c r="Q1073" s="60"/>
      <c r="R1073" s="60"/>
      <c r="S1073" s="60"/>
      <c r="T1073" s="60"/>
      <c r="U1073" s="60"/>
      <c r="V1073" s="60"/>
      <c r="W1073" s="60"/>
      <c r="X1073" s="60"/>
      <c r="Y1073" s="60"/>
      <c r="Z1073" s="60"/>
      <c r="AA1073" s="60"/>
      <c r="AB1073" s="60"/>
      <c r="AC1073" s="60"/>
      <c r="AD1073" s="60"/>
      <c r="AE1073" s="60"/>
      <c r="AF1073" s="60"/>
    </row>
    <row r="1074" ht="15.75" customHeight="1">
      <c r="A1074" s="111"/>
      <c r="B1074" s="112"/>
      <c r="C1074" s="111"/>
      <c r="D1074" s="111"/>
      <c r="E1074" s="173"/>
      <c r="F1074" s="60"/>
      <c r="G1074" s="60"/>
      <c r="H1074" s="60"/>
      <c r="I1074" s="60"/>
      <c r="J1074" s="60"/>
      <c r="K1074" s="60"/>
      <c r="L1074" s="60"/>
      <c r="M1074" s="60"/>
      <c r="N1074" s="60"/>
      <c r="O1074" s="60"/>
      <c r="P1074" s="60"/>
      <c r="Q1074" s="60"/>
      <c r="R1074" s="60"/>
      <c r="S1074" s="60"/>
      <c r="T1074" s="60"/>
      <c r="U1074" s="60"/>
      <c r="V1074" s="60"/>
      <c r="W1074" s="60"/>
      <c r="X1074" s="60"/>
      <c r="Y1074" s="60"/>
      <c r="Z1074" s="60"/>
      <c r="AA1074" s="60"/>
      <c r="AB1074" s="60"/>
      <c r="AC1074" s="60"/>
      <c r="AD1074" s="60"/>
      <c r="AE1074" s="60"/>
      <c r="AF1074" s="60"/>
    </row>
    <row r="1075" ht="15.75" customHeight="1">
      <c r="A1075" s="111"/>
      <c r="B1075" s="112"/>
      <c r="C1075" s="111"/>
      <c r="D1075" s="111"/>
      <c r="E1075" s="173"/>
      <c r="F1075" s="60"/>
      <c r="G1075" s="60"/>
      <c r="H1075" s="60"/>
      <c r="I1075" s="60"/>
      <c r="J1075" s="60"/>
      <c r="K1075" s="60"/>
      <c r="L1075" s="60"/>
      <c r="M1075" s="60"/>
      <c r="N1075" s="60"/>
      <c r="O1075" s="60"/>
      <c r="P1075" s="60"/>
      <c r="Q1075" s="60"/>
      <c r="R1075" s="60"/>
      <c r="S1075" s="60"/>
      <c r="T1075" s="60"/>
      <c r="U1075" s="60"/>
      <c r="V1075" s="60"/>
      <c r="W1075" s="60"/>
      <c r="X1075" s="60"/>
      <c r="Y1075" s="60"/>
      <c r="Z1075" s="60"/>
      <c r="AA1075" s="60"/>
      <c r="AB1075" s="60"/>
      <c r="AC1075" s="60"/>
      <c r="AD1075" s="60"/>
      <c r="AE1075" s="60"/>
      <c r="AF1075" s="60"/>
    </row>
    <row r="1076" ht="15.75" customHeight="1">
      <c r="A1076" s="111"/>
      <c r="B1076" s="112"/>
      <c r="C1076" s="111"/>
      <c r="D1076" s="111"/>
      <c r="E1076" s="173"/>
      <c r="F1076" s="60"/>
      <c r="G1076" s="60"/>
      <c r="H1076" s="60"/>
      <c r="I1076" s="60"/>
      <c r="J1076" s="60"/>
      <c r="K1076" s="60"/>
      <c r="L1076" s="60"/>
      <c r="M1076" s="60"/>
      <c r="N1076" s="60"/>
      <c r="O1076" s="60"/>
      <c r="P1076" s="60"/>
      <c r="Q1076" s="60"/>
      <c r="R1076" s="60"/>
      <c r="S1076" s="60"/>
      <c r="T1076" s="60"/>
      <c r="U1076" s="60"/>
      <c r="V1076" s="60"/>
      <c r="W1076" s="60"/>
      <c r="X1076" s="60"/>
      <c r="Y1076" s="60"/>
      <c r="Z1076" s="60"/>
      <c r="AA1076" s="60"/>
      <c r="AB1076" s="60"/>
      <c r="AC1076" s="60"/>
      <c r="AD1076" s="60"/>
      <c r="AE1076" s="60"/>
      <c r="AF1076" s="60"/>
    </row>
    <row r="1077" ht="15.75" customHeight="1">
      <c r="A1077" s="111"/>
      <c r="B1077" s="112"/>
      <c r="C1077" s="111"/>
      <c r="D1077" s="111"/>
      <c r="E1077" s="173"/>
      <c r="F1077" s="60"/>
      <c r="G1077" s="60"/>
      <c r="H1077" s="60"/>
      <c r="I1077" s="60"/>
      <c r="J1077" s="60"/>
      <c r="K1077" s="60"/>
      <c r="L1077" s="60"/>
      <c r="M1077" s="60"/>
      <c r="N1077" s="60"/>
      <c r="O1077" s="60"/>
      <c r="P1077" s="60"/>
      <c r="Q1077" s="60"/>
      <c r="R1077" s="60"/>
      <c r="S1077" s="60"/>
      <c r="T1077" s="60"/>
      <c r="U1077" s="60"/>
      <c r="V1077" s="60"/>
      <c r="W1077" s="60"/>
      <c r="X1077" s="60"/>
      <c r="Y1077" s="60"/>
      <c r="Z1077" s="60"/>
      <c r="AA1077" s="60"/>
      <c r="AB1077" s="60"/>
      <c r="AC1077" s="60"/>
      <c r="AD1077" s="60"/>
      <c r="AE1077" s="60"/>
      <c r="AF1077" s="60"/>
    </row>
    <row r="1078" ht="15.75" customHeight="1">
      <c r="A1078" s="111"/>
      <c r="B1078" s="112"/>
      <c r="C1078" s="111"/>
      <c r="D1078" s="111"/>
      <c r="E1078" s="173"/>
      <c r="F1078" s="60"/>
      <c r="G1078" s="60"/>
      <c r="H1078" s="60"/>
      <c r="I1078" s="60"/>
      <c r="J1078" s="60"/>
      <c r="K1078" s="60"/>
      <c r="L1078" s="60"/>
      <c r="M1078" s="60"/>
      <c r="N1078" s="60"/>
      <c r="O1078" s="60"/>
      <c r="P1078" s="60"/>
      <c r="Q1078" s="60"/>
      <c r="R1078" s="60"/>
      <c r="S1078" s="60"/>
      <c r="T1078" s="60"/>
      <c r="U1078" s="60"/>
      <c r="V1078" s="60"/>
      <c r="W1078" s="60"/>
      <c r="X1078" s="60"/>
      <c r="Y1078" s="60"/>
      <c r="Z1078" s="60"/>
      <c r="AA1078" s="60"/>
      <c r="AB1078" s="60"/>
      <c r="AC1078" s="60"/>
      <c r="AD1078" s="60"/>
      <c r="AE1078" s="60"/>
      <c r="AF1078" s="60"/>
    </row>
    <row r="1079" ht="15.75" customHeight="1">
      <c r="A1079" s="111"/>
      <c r="B1079" s="112"/>
      <c r="C1079" s="111"/>
      <c r="D1079" s="111"/>
      <c r="E1079" s="173"/>
      <c r="F1079" s="60"/>
      <c r="G1079" s="60"/>
      <c r="H1079" s="60"/>
      <c r="I1079" s="60"/>
      <c r="J1079" s="60"/>
      <c r="K1079" s="60"/>
      <c r="L1079" s="60"/>
      <c r="M1079" s="60"/>
      <c r="N1079" s="60"/>
      <c r="O1079" s="60"/>
      <c r="P1079" s="60"/>
      <c r="Q1079" s="60"/>
      <c r="R1079" s="60"/>
      <c r="S1079" s="60"/>
      <c r="T1079" s="60"/>
      <c r="U1079" s="60"/>
      <c r="V1079" s="60"/>
      <c r="W1079" s="60"/>
      <c r="X1079" s="60"/>
      <c r="Y1079" s="60"/>
      <c r="Z1079" s="60"/>
      <c r="AA1079" s="60"/>
      <c r="AB1079" s="60"/>
      <c r="AC1079" s="60"/>
      <c r="AD1079" s="60"/>
      <c r="AE1079" s="60"/>
      <c r="AF1079" s="60"/>
    </row>
    <row r="1080" ht="15.75" customHeight="1">
      <c r="A1080" s="111"/>
      <c r="B1080" s="112"/>
      <c r="C1080" s="111"/>
      <c r="D1080" s="111"/>
      <c r="E1080" s="173"/>
      <c r="F1080" s="60"/>
      <c r="G1080" s="60"/>
      <c r="H1080" s="60"/>
      <c r="I1080" s="60"/>
      <c r="J1080" s="60"/>
      <c r="K1080" s="60"/>
      <c r="L1080" s="60"/>
      <c r="M1080" s="60"/>
      <c r="N1080" s="60"/>
      <c r="O1080" s="60"/>
      <c r="P1080" s="60"/>
      <c r="Q1080" s="60"/>
      <c r="R1080" s="60"/>
      <c r="S1080" s="60"/>
      <c r="T1080" s="60"/>
      <c r="U1080" s="60"/>
      <c r="V1080" s="60"/>
      <c r="W1080" s="60"/>
      <c r="X1080" s="60"/>
      <c r="Y1080" s="60"/>
      <c r="Z1080" s="60"/>
      <c r="AA1080" s="60"/>
      <c r="AB1080" s="60"/>
      <c r="AC1080" s="60"/>
      <c r="AD1080" s="60"/>
      <c r="AE1080" s="60"/>
      <c r="AF1080" s="60"/>
    </row>
    <row r="1081" ht="15.75" customHeight="1">
      <c r="A1081" s="111"/>
      <c r="B1081" s="112"/>
      <c r="C1081" s="111"/>
      <c r="D1081" s="111"/>
      <c r="E1081" s="173"/>
      <c r="F1081" s="60"/>
      <c r="G1081" s="60"/>
      <c r="H1081" s="60"/>
      <c r="I1081" s="60"/>
      <c r="J1081" s="60"/>
      <c r="K1081" s="60"/>
      <c r="L1081" s="60"/>
      <c r="M1081" s="60"/>
      <c r="N1081" s="60"/>
      <c r="O1081" s="60"/>
      <c r="P1081" s="60"/>
      <c r="Q1081" s="60"/>
      <c r="R1081" s="60"/>
      <c r="S1081" s="60"/>
      <c r="T1081" s="60"/>
      <c r="U1081" s="60"/>
      <c r="V1081" s="60"/>
      <c r="W1081" s="60"/>
      <c r="X1081" s="60"/>
      <c r="Y1081" s="60"/>
      <c r="Z1081" s="60"/>
      <c r="AA1081" s="60"/>
      <c r="AB1081" s="60"/>
      <c r="AC1081" s="60"/>
      <c r="AD1081" s="60"/>
      <c r="AE1081" s="60"/>
      <c r="AF1081" s="60"/>
    </row>
    <row r="1082" ht="15.75" customHeight="1">
      <c r="A1082" s="111"/>
      <c r="B1082" s="112"/>
      <c r="C1082" s="111"/>
      <c r="D1082" s="111"/>
      <c r="E1082" s="173"/>
      <c r="F1082" s="60"/>
      <c r="G1082" s="60"/>
      <c r="H1082" s="60"/>
      <c r="I1082" s="60"/>
      <c r="J1082" s="60"/>
      <c r="K1082" s="60"/>
      <c r="L1082" s="60"/>
      <c r="M1082" s="60"/>
      <c r="N1082" s="60"/>
      <c r="O1082" s="60"/>
      <c r="P1082" s="60"/>
      <c r="Q1082" s="60"/>
      <c r="R1082" s="60"/>
      <c r="S1082" s="60"/>
      <c r="T1082" s="60"/>
      <c r="U1082" s="60"/>
      <c r="V1082" s="60"/>
      <c r="W1082" s="60"/>
      <c r="X1082" s="60"/>
      <c r="Y1082" s="60"/>
      <c r="Z1082" s="60"/>
      <c r="AA1082" s="60"/>
      <c r="AB1082" s="60"/>
      <c r="AC1082" s="60"/>
      <c r="AD1082" s="60"/>
      <c r="AE1082" s="60"/>
      <c r="AF1082" s="60"/>
    </row>
    <row r="1083" ht="15.75" customHeight="1">
      <c r="A1083" s="111"/>
      <c r="B1083" s="112"/>
      <c r="C1083" s="111"/>
      <c r="D1083" s="111"/>
      <c r="E1083" s="173"/>
      <c r="F1083" s="60"/>
      <c r="G1083" s="60"/>
      <c r="H1083" s="60"/>
      <c r="I1083" s="60"/>
      <c r="J1083" s="60"/>
      <c r="K1083" s="60"/>
      <c r="L1083" s="60"/>
      <c r="M1083" s="60"/>
      <c r="N1083" s="60"/>
      <c r="O1083" s="60"/>
      <c r="P1083" s="60"/>
      <c r="Q1083" s="60"/>
      <c r="R1083" s="60"/>
      <c r="S1083" s="60"/>
      <c r="T1083" s="60"/>
      <c r="U1083" s="60"/>
      <c r="V1083" s="60"/>
      <c r="W1083" s="60"/>
      <c r="X1083" s="60"/>
      <c r="Y1083" s="60"/>
      <c r="Z1083" s="60"/>
      <c r="AA1083" s="60"/>
      <c r="AB1083" s="60"/>
      <c r="AC1083" s="60"/>
      <c r="AD1083" s="60"/>
      <c r="AE1083" s="60"/>
      <c r="AF1083" s="60"/>
    </row>
    <row r="1084" ht="15.75" customHeight="1">
      <c r="A1084" s="111"/>
      <c r="B1084" s="112"/>
      <c r="C1084" s="111"/>
      <c r="D1084" s="111"/>
      <c r="E1084" s="173"/>
      <c r="F1084" s="60"/>
      <c r="G1084" s="60"/>
      <c r="H1084" s="60"/>
      <c r="I1084" s="60"/>
      <c r="J1084" s="60"/>
      <c r="K1084" s="60"/>
      <c r="L1084" s="60"/>
      <c r="M1084" s="60"/>
      <c r="N1084" s="60"/>
      <c r="O1084" s="60"/>
      <c r="P1084" s="60"/>
      <c r="Q1084" s="60"/>
      <c r="R1084" s="60"/>
      <c r="S1084" s="60"/>
      <c r="T1084" s="60"/>
      <c r="U1084" s="60"/>
      <c r="V1084" s="60"/>
      <c r="W1084" s="60"/>
      <c r="X1084" s="60"/>
      <c r="Y1084" s="60"/>
      <c r="Z1084" s="60"/>
      <c r="AA1084" s="60"/>
      <c r="AB1084" s="60"/>
      <c r="AC1084" s="60"/>
      <c r="AD1084" s="60"/>
      <c r="AE1084" s="60"/>
      <c r="AF1084" s="60"/>
    </row>
    <row r="1085" ht="15.75" customHeight="1">
      <c r="A1085" s="111"/>
      <c r="B1085" s="112"/>
      <c r="C1085" s="111"/>
      <c r="D1085" s="111"/>
      <c r="E1085" s="173"/>
      <c r="F1085" s="60"/>
      <c r="G1085" s="60"/>
      <c r="H1085" s="60"/>
      <c r="I1085" s="60"/>
      <c r="J1085" s="60"/>
      <c r="K1085" s="60"/>
      <c r="L1085" s="60"/>
      <c r="M1085" s="60"/>
      <c r="N1085" s="60"/>
      <c r="O1085" s="60"/>
      <c r="P1085" s="60"/>
      <c r="Q1085" s="60"/>
      <c r="R1085" s="60"/>
      <c r="S1085" s="60"/>
      <c r="T1085" s="60"/>
      <c r="U1085" s="60"/>
      <c r="V1085" s="60"/>
      <c r="W1085" s="60"/>
      <c r="X1085" s="60"/>
      <c r="Y1085" s="60"/>
      <c r="Z1085" s="60"/>
      <c r="AA1085" s="60"/>
      <c r="AB1085" s="60"/>
      <c r="AC1085" s="60"/>
      <c r="AD1085" s="60"/>
      <c r="AE1085" s="60"/>
      <c r="AF1085" s="60"/>
    </row>
    <row r="1086" ht="15.75" customHeight="1">
      <c r="A1086" s="111"/>
      <c r="B1086" s="112"/>
      <c r="C1086" s="111"/>
      <c r="D1086" s="111"/>
      <c r="E1086" s="173"/>
      <c r="F1086" s="60"/>
      <c r="G1086" s="60"/>
      <c r="H1086" s="60"/>
      <c r="I1086" s="60"/>
      <c r="J1086" s="60"/>
      <c r="K1086" s="60"/>
      <c r="L1086" s="60"/>
      <c r="M1086" s="60"/>
      <c r="N1086" s="60"/>
      <c r="O1086" s="60"/>
      <c r="P1086" s="60"/>
      <c r="Q1086" s="60"/>
      <c r="R1086" s="60"/>
      <c r="S1086" s="60"/>
      <c r="T1086" s="60"/>
      <c r="U1086" s="60"/>
      <c r="V1086" s="60"/>
      <c r="W1086" s="60"/>
      <c r="X1086" s="60"/>
      <c r="Y1086" s="60"/>
      <c r="Z1086" s="60"/>
      <c r="AA1086" s="60"/>
      <c r="AB1086" s="60"/>
      <c r="AC1086" s="60"/>
      <c r="AD1086" s="60"/>
      <c r="AE1086" s="60"/>
      <c r="AF1086" s="60"/>
    </row>
    <row r="1087" ht="15.75" customHeight="1">
      <c r="A1087" s="111"/>
      <c r="B1087" s="112"/>
      <c r="C1087" s="111"/>
      <c r="D1087" s="111"/>
      <c r="E1087" s="173"/>
      <c r="F1087" s="60"/>
      <c r="G1087" s="60"/>
      <c r="H1087" s="60"/>
      <c r="I1087" s="60"/>
      <c r="J1087" s="60"/>
      <c r="K1087" s="60"/>
      <c r="L1087" s="60"/>
      <c r="M1087" s="60"/>
      <c r="N1087" s="60"/>
      <c r="O1087" s="60"/>
      <c r="P1087" s="60"/>
      <c r="Q1087" s="60"/>
      <c r="R1087" s="60"/>
      <c r="S1087" s="60"/>
      <c r="T1087" s="60"/>
      <c r="U1087" s="60"/>
      <c r="V1087" s="60"/>
      <c r="W1087" s="60"/>
      <c r="X1087" s="60"/>
      <c r="Y1087" s="60"/>
      <c r="Z1087" s="60"/>
      <c r="AA1087" s="60"/>
      <c r="AB1087" s="60"/>
      <c r="AC1087" s="60"/>
      <c r="AD1087" s="60"/>
      <c r="AE1087" s="60"/>
      <c r="AF1087" s="60"/>
    </row>
    <row r="1088" ht="15.75" customHeight="1">
      <c r="A1088" s="111"/>
      <c r="B1088" s="112"/>
      <c r="C1088" s="111"/>
      <c r="D1088" s="111"/>
      <c r="E1088" s="173"/>
      <c r="F1088" s="60"/>
      <c r="G1088" s="60"/>
      <c r="H1088" s="60"/>
      <c r="I1088" s="60"/>
      <c r="J1088" s="60"/>
      <c r="K1088" s="60"/>
      <c r="L1088" s="60"/>
      <c r="M1088" s="60"/>
      <c r="N1088" s="60"/>
      <c r="O1088" s="60"/>
      <c r="P1088" s="60"/>
      <c r="Q1088" s="60"/>
      <c r="R1088" s="60"/>
      <c r="S1088" s="60"/>
      <c r="T1088" s="60"/>
      <c r="U1088" s="60"/>
      <c r="V1088" s="60"/>
      <c r="W1088" s="60"/>
      <c r="X1088" s="60"/>
      <c r="Y1088" s="60"/>
      <c r="Z1088" s="60"/>
      <c r="AA1088" s="60"/>
      <c r="AB1088" s="60"/>
      <c r="AC1088" s="60"/>
      <c r="AD1088" s="60"/>
      <c r="AE1088" s="60"/>
      <c r="AF1088" s="60"/>
    </row>
    <row r="1089" ht="15.75" customHeight="1">
      <c r="A1089" s="111"/>
      <c r="B1089" s="112"/>
      <c r="C1089" s="111"/>
      <c r="D1089" s="111"/>
      <c r="E1089" s="173"/>
      <c r="F1089" s="60"/>
      <c r="G1089" s="60"/>
      <c r="H1089" s="60"/>
      <c r="I1089" s="60"/>
      <c r="J1089" s="60"/>
      <c r="K1089" s="60"/>
      <c r="L1089" s="60"/>
      <c r="M1089" s="60"/>
      <c r="N1089" s="60"/>
      <c r="O1089" s="60"/>
      <c r="P1089" s="60"/>
      <c r="Q1089" s="60"/>
      <c r="R1089" s="60"/>
      <c r="S1089" s="60"/>
      <c r="T1089" s="60"/>
      <c r="U1089" s="60"/>
      <c r="V1089" s="60"/>
      <c r="W1089" s="60"/>
      <c r="X1089" s="60"/>
      <c r="Y1089" s="60"/>
      <c r="Z1089" s="60"/>
      <c r="AA1089" s="60"/>
      <c r="AB1089" s="60"/>
      <c r="AC1089" s="60"/>
      <c r="AD1089" s="60"/>
      <c r="AE1089" s="60"/>
      <c r="AF1089" s="60"/>
    </row>
    <row r="1090" ht="15.75" customHeight="1">
      <c r="A1090" s="111"/>
      <c r="B1090" s="112"/>
      <c r="C1090" s="111"/>
      <c r="D1090" s="111"/>
      <c r="E1090" s="173"/>
      <c r="F1090" s="60"/>
      <c r="G1090" s="60"/>
      <c r="H1090" s="60"/>
      <c r="I1090" s="60"/>
      <c r="J1090" s="60"/>
      <c r="K1090" s="60"/>
      <c r="L1090" s="60"/>
      <c r="M1090" s="60"/>
      <c r="N1090" s="60"/>
      <c r="O1090" s="60"/>
      <c r="P1090" s="60"/>
      <c r="Q1090" s="60"/>
      <c r="R1090" s="60"/>
      <c r="S1090" s="60"/>
      <c r="T1090" s="60"/>
      <c r="U1090" s="60"/>
      <c r="V1090" s="60"/>
      <c r="W1090" s="60"/>
      <c r="X1090" s="60"/>
      <c r="Y1090" s="60"/>
      <c r="Z1090" s="60"/>
      <c r="AA1090" s="60"/>
      <c r="AB1090" s="60"/>
      <c r="AC1090" s="60"/>
      <c r="AD1090" s="60"/>
      <c r="AE1090" s="60"/>
      <c r="AF1090" s="60"/>
    </row>
    <row r="1091" ht="15.75" customHeight="1">
      <c r="A1091" s="111"/>
      <c r="B1091" s="112"/>
      <c r="C1091" s="111"/>
      <c r="D1091" s="111"/>
      <c r="E1091" s="173"/>
      <c r="F1091" s="60"/>
      <c r="G1091" s="60"/>
      <c r="H1091" s="60"/>
      <c r="I1091" s="60"/>
      <c r="J1091" s="60"/>
      <c r="K1091" s="60"/>
      <c r="L1091" s="60"/>
      <c r="M1091" s="60"/>
      <c r="N1091" s="60"/>
      <c r="O1091" s="60"/>
      <c r="P1091" s="60"/>
      <c r="Q1091" s="60"/>
      <c r="R1091" s="60"/>
      <c r="S1091" s="60"/>
      <c r="T1091" s="60"/>
      <c r="U1091" s="60"/>
      <c r="V1091" s="60"/>
      <c r="W1091" s="60"/>
      <c r="X1091" s="60"/>
      <c r="Y1091" s="60"/>
      <c r="Z1091" s="60"/>
      <c r="AA1091" s="60"/>
      <c r="AB1091" s="60"/>
      <c r="AC1091" s="60"/>
      <c r="AD1091" s="60"/>
      <c r="AE1091" s="60"/>
      <c r="AF1091" s="60"/>
    </row>
    <row r="1092" ht="15.75" customHeight="1">
      <c r="A1092" s="111"/>
      <c r="B1092" s="112"/>
      <c r="C1092" s="111"/>
      <c r="D1092" s="111"/>
      <c r="E1092" s="173"/>
      <c r="F1092" s="60"/>
      <c r="G1092" s="60"/>
      <c r="H1092" s="60"/>
      <c r="I1092" s="60"/>
      <c r="J1092" s="60"/>
      <c r="K1092" s="60"/>
      <c r="L1092" s="60"/>
      <c r="M1092" s="60"/>
      <c r="N1092" s="60"/>
      <c r="O1092" s="60"/>
      <c r="P1092" s="60"/>
      <c r="Q1092" s="60"/>
      <c r="R1092" s="60"/>
      <c r="S1092" s="60"/>
      <c r="T1092" s="60"/>
      <c r="U1092" s="60"/>
      <c r="V1092" s="60"/>
      <c r="W1092" s="60"/>
      <c r="X1092" s="60"/>
      <c r="Y1092" s="60"/>
      <c r="Z1092" s="60"/>
      <c r="AA1092" s="60"/>
      <c r="AB1092" s="60"/>
      <c r="AC1092" s="60"/>
      <c r="AD1092" s="60"/>
      <c r="AE1092" s="60"/>
      <c r="AF1092" s="60"/>
    </row>
    <row r="1093" ht="15.75" customHeight="1">
      <c r="A1093" s="111"/>
      <c r="B1093" s="112"/>
      <c r="C1093" s="111"/>
      <c r="D1093" s="111"/>
      <c r="E1093" s="173"/>
      <c r="F1093" s="60"/>
      <c r="G1093" s="60"/>
      <c r="H1093" s="60"/>
      <c r="I1093" s="60"/>
      <c r="J1093" s="60"/>
      <c r="K1093" s="60"/>
      <c r="L1093" s="60"/>
      <c r="M1093" s="60"/>
      <c r="N1093" s="60"/>
      <c r="O1093" s="60"/>
      <c r="P1093" s="60"/>
      <c r="Q1093" s="60"/>
      <c r="R1093" s="60"/>
      <c r="S1093" s="60"/>
      <c r="T1093" s="60"/>
      <c r="U1093" s="60"/>
      <c r="V1093" s="60"/>
      <c r="W1093" s="60"/>
      <c r="X1093" s="60"/>
      <c r="Y1093" s="60"/>
      <c r="Z1093" s="60"/>
      <c r="AA1093" s="60"/>
      <c r="AB1093" s="60"/>
      <c r="AC1093" s="60"/>
      <c r="AD1093" s="60"/>
      <c r="AE1093" s="60"/>
      <c r="AF1093" s="60"/>
    </row>
    <row r="1094" ht="15.75" customHeight="1">
      <c r="A1094" s="111"/>
      <c r="B1094" s="112"/>
      <c r="C1094" s="111"/>
      <c r="D1094" s="111"/>
      <c r="E1094" s="173"/>
      <c r="F1094" s="60"/>
      <c r="G1094" s="60"/>
      <c r="H1094" s="60"/>
      <c r="I1094" s="60"/>
      <c r="J1094" s="60"/>
      <c r="K1094" s="60"/>
      <c r="L1094" s="60"/>
      <c r="M1094" s="60"/>
      <c r="N1094" s="60"/>
      <c r="O1094" s="60"/>
      <c r="P1094" s="60"/>
      <c r="Q1094" s="60"/>
      <c r="R1094" s="60"/>
      <c r="S1094" s="60"/>
      <c r="T1094" s="60"/>
      <c r="U1094" s="60"/>
      <c r="V1094" s="60"/>
      <c r="W1094" s="60"/>
      <c r="X1094" s="60"/>
      <c r="Y1094" s="60"/>
      <c r="Z1094" s="60"/>
      <c r="AA1094" s="60"/>
      <c r="AB1094" s="60"/>
      <c r="AC1094" s="60"/>
      <c r="AD1094" s="60"/>
      <c r="AE1094" s="60"/>
      <c r="AF1094" s="60"/>
    </row>
    <row r="1095" ht="15.75" customHeight="1">
      <c r="A1095" s="111"/>
      <c r="B1095" s="112"/>
      <c r="C1095" s="111"/>
      <c r="D1095" s="111"/>
      <c r="E1095" s="173"/>
      <c r="F1095" s="60"/>
      <c r="G1095" s="60"/>
      <c r="H1095" s="60"/>
      <c r="I1095" s="60"/>
      <c r="J1095" s="60"/>
      <c r="K1095" s="60"/>
      <c r="L1095" s="60"/>
      <c r="M1095" s="60"/>
      <c r="N1095" s="60"/>
      <c r="O1095" s="60"/>
      <c r="P1095" s="60"/>
      <c r="Q1095" s="60"/>
      <c r="R1095" s="60"/>
      <c r="S1095" s="60"/>
      <c r="T1095" s="60"/>
      <c r="U1095" s="60"/>
      <c r="V1095" s="60"/>
      <c r="W1095" s="60"/>
      <c r="X1095" s="60"/>
      <c r="Y1095" s="60"/>
      <c r="Z1095" s="60"/>
      <c r="AA1095" s="60"/>
      <c r="AB1095" s="60"/>
      <c r="AC1095" s="60"/>
      <c r="AD1095" s="60"/>
      <c r="AE1095" s="60"/>
      <c r="AF1095" s="60"/>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5" t="s">
        <v>2</v>
      </c>
      <c r="B1" s="7" t="s">
        <v>7</v>
      </c>
      <c r="C1" s="10" t="s">
        <v>9</v>
      </c>
      <c r="D1" s="7" t="s">
        <v>13</v>
      </c>
      <c r="E1" s="7" t="s">
        <v>15</v>
      </c>
      <c r="F1" s="13" t="s">
        <v>16</v>
      </c>
      <c r="G1" s="15"/>
      <c r="H1" s="15"/>
      <c r="I1" s="15"/>
      <c r="J1" s="15"/>
      <c r="K1" s="15"/>
      <c r="L1" s="15"/>
      <c r="M1" s="15"/>
      <c r="N1" s="15"/>
      <c r="O1" s="15"/>
      <c r="P1" s="15"/>
      <c r="Q1" s="15"/>
      <c r="R1" s="15"/>
      <c r="S1" s="15"/>
      <c r="T1" s="15"/>
      <c r="U1" s="15"/>
      <c r="V1" s="15"/>
      <c r="W1" s="15"/>
      <c r="X1" s="15"/>
      <c r="Y1" s="15"/>
      <c r="Z1" s="15"/>
    </row>
    <row r="2" ht="15.75" customHeight="1">
      <c r="A2" s="21" t="s">
        <v>21</v>
      </c>
      <c r="B2" s="23" t="s">
        <v>25</v>
      </c>
      <c r="C2" s="33" t="str">
        <f>TEXT(YEAR(NOW())-2000, "00") &amp; TEXT(MONTH(NOW()), "00") &amp; TEXT(DAY(NOW()), "00") &amp; TEXT(HOUR(NOW()), "00") &amp; TEXT(MINUTE(NOW()), "00")</f>
        <v>2608031048</v>
      </c>
      <c r="D2" s="34" t="s">
        <v>50</v>
      </c>
      <c r="E2" s="34" t="s">
        <v>50</v>
      </c>
      <c r="F2" s="33" t="s">
        <v>51</v>
      </c>
      <c r="G2" s="37"/>
      <c r="H2" s="37"/>
      <c r="I2" s="37"/>
      <c r="J2" s="37"/>
      <c r="K2" s="37"/>
      <c r="L2" s="37"/>
      <c r="M2" s="37"/>
      <c r="N2" s="37"/>
      <c r="O2" s="37"/>
      <c r="P2" s="37"/>
      <c r="Q2" s="37"/>
      <c r="R2" s="37"/>
      <c r="S2" s="37"/>
      <c r="T2" s="37"/>
      <c r="U2" s="37"/>
      <c r="V2" s="37"/>
      <c r="W2" s="37"/>
      <c r="X2" s="37"/>
      <c r="Y2" s="37"/>
      <c r="Z2" s="37"/>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9" t="s">
        <v>1</v>
      </c>
      <c r="B1" s="11"/>
      <c r="C1" s="14"/>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ht="15.75" customHeight="1">
      <c r="A2" s="24"/>
      <c r="B2" s="25"/>
      <c r="C2" s="14"/>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ht="57.75" customHeight="1">
      <c r="A3" s="32" t="s">
        <v>49</v>
      </c>
      <c r="B3" s="25"/>
      <c r="C3" s="14"/>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5.75" customHeight="1">
      <c r="A4" s="42" t="s">
        <v>55</v>
      </c>
      <c r="B4" s="43"/>
      <c r="C4" s="14"/>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5" ht="15.75" customHeight="1">
      <c r="A5" s="16"/>
      <c r="B5" s="16"/>
      <c r="C5" s="14"/>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ht="18.0" customHeight="1">
      <c r="A6" s="48" t="s">
        <v>3</v>
      </c>
      <c r="B6" s="48" t="s">
        <v>5</v>
      </c>
      <c r="C6" s="51" t="s">
        <v>6</v>
      </c>
      <c r="D6" s="51" t="s">
        <v>60</v>
      </c>
      <c r="E6" s="48" t="s">
        <v>19</v>
      </c>
      <c r="F6" s="48" t="s">
        <v>63</v>
      </c>
      <c r="G6" s="48" t="s">
        <v>23</v>
      </c>
      <c r="H6" s="56" t="s">
        <v>24</v>
      </c>
      <c r="I6" s="48" t="s">
        <v>26</v>
      </c>
      <c r="J6" s="51" t="s">
        <v>27</v>
      </c>
      <c r="K6" s="51" t="s">
        <v>64</v>
      </c>
      <c r="L6" s="48" t="s">
        <v>30</v>
      </c>
      <c r="M6" s="48" t="s">
        <v>31</v>
      </c>
      <c r="N6" s="48" t="s">
        <v>33</v>
      </c>
      <c r="O6" s="48" t="s">
        <v>34</v>
      </c>
      <c r="P6" s="48" t="s">
        <v>65</v>
      </c>
      <c r="Q6" s="48" t="s">
        <v>35</v>
      </c>
      <c r="R6" s="48" t="s">
        <v>36</v>
      </c>
      <c r="S6" s="48" t="s">
        <v>37</v>
      </c>
      <c r="T6" s="48" t="s">
        <v>38</v>
      </c>
      <c r="U6" s="48" t="s">
        <v>40</v>
      </c>
      <c r="V6" s="48" t="s">
        <v>41</v>
      </c>
      <c r="W6" s="48" t="s">
        <v>71</v>
      </c>
      <c r="X6" s="48" t="s">
        <v>72</v>
      </c>
      <c r="Y6" s="48" t="s">
        <v>73</v>
      </c>
      <c r="Z6" s="48" t="s">
        <v>43</v>
      </c>
      <c r="AA6" s="48" t="s">
        <v>44</v>
      </c>
      <c r="AB6" s="48" t="s">
        <v>46</v>
      </c>
      <c r="AC6" s="48" t="s">
        <v>47</v>
      </c>
      <c r="AD6" s="48" t="s">
        <v>48</v>
      </c>
      <c r="AE6" s="62"/>
    </row>
    <row r="7" ht="15.75" customHeight="1">
      <c r="A7" s="63" t="s">
        <v>74</v>
      </c>
      <c r="B7" s="63" t="s">
        <v>76</v>
      </c>
      <c r="C7" s="63" t="s">
        <v>77</v>
      </c>
      <c r="D7" s="63" t="s">
        <v>78</v>
      </c>
      <c r="E7" s="63" t="s">
        <v>79</v>
      </c>
      <c r="F7" s="63" t="s">
        <v>80</v>
      </c>
      <c r="G7" s="64" t="s">
        <v>81</v>
      </c>
      <c r="H7" s="63" t="s">
        <v>83</v>
      </c>
      <c r="I7" s="63" t="s">
        <v>84</v>
      </c>
      <c r="J7" s="63" t="s">
        <v>85</v>
      </c>
      <c r="K7" s="63" t="s">
        <v>86</v>
      </c>
      <c r="L7" s="63" t="s">
        <v>87</v>
      </c>
      <c r="M7" s="63" t="s">
        <v>88</v>
      </c>
      <c r="N7" s="63" t="s">
        <v>89</v>
      </c>
      <c r="O7" s="63" t="s">
        <v>90</v>
      </c>
      <c r="P7" s="63" t="s">
        <v>93</v>
      </c>
      <c r="Q7" s="63" t="s">
        <v>94</v>
      </c>
      <c r="R7" s="63" t="s">
        <v>95</v>
      </c>
      <c r="S7" s="63" t="s">
        <v>96</v>
      </c>
      <c r="T7" s="63" t="s">
        <v>98</v>
      </c>
      <c r="U7" s="63" t="s">
        <v>99</v>
      </c>
      <c r="V7" s="63" t="s">
        <v>100</v>
      </c>
      <c r="W7" s="63" t="s">
        <v>101</v>
      </c>
      <c r="X7" s="63" t="s">
        <v>102</v>
      </c>
      <c r="Y7" s="63" t="s">
        <v>103</v>
      </c>
      <c r="Z7" s="67" t="s">
        <v>104</v>
      </c>
      <c r="AA7" s="63" t="s">
        <v>105</v>
      </c>
      <c r="AB7" s="63" t="s">
        <v>109</v>
      </c>
      <c r="AC7" s="63" t="s">
        <v>110</v>
      </c>
      <c r="AD7" s="63" t="s">
        <v>112</v>
      </c>
      <c r="AE7" s="68"/>
    </row>
    <row r="8" ht="15.75" customHeight="1">
      <c r="A8" s="69"/>
      <c r="B8" s="69"/>
      <c r="C8" s="69"/>
      <c r="D8" s="71" t="s">
        <v>113</v>
      </c>
      <c r="E8" s="69"/>
      <c r="F8" s="71" t="s">
        <v>113</v>
      </c>
      <c r="G8" s="73" t="s">
        <v>119</v>
      </c>
      <c r="H8" s="69"/>
      <c r="I8" s="73" t="s">
        <v>121</v>
      </c>
      <c r="J8" s="73" t="s">
        <v>121</v>
      </c>
      <c r="K8" s="69"/>
      <c r="L8" s="73" t="s">
        <v>124</v>
      </c>
      <c r="M8" s="73" t="s">
        <v>125</v>
      </c>
      <c r="N8" s="73" t="s">
        <v>125</v>
      </c>
      <c r="O8" s="73" t="s">
        <v>125</v>
      </c>
      <c r="P8" s="69"/>
      <c r="Q8" s="73" t="s">
        <v>125</v>
      </c>
      <c r="R8" s="73" t="s">
        <v>131</v>
      </c>
      <c r="S8" s="73" t="s">
        <v>133</v>
      </c>
      <c r="T8" s="73" t="s">
        <v>134</v>
      </c>
      <c r="U8" s="73" t="s">
        <v>125</v>
      </c>
      <c r="V8" s="73" t="s">
        <v>125</v>
      </c>
      <c r="W8" s="71" t="s">
        <v>113</v>
      </c>
      <c r="X8" s="71" t="s">
        <v>113</v>
      </c>
      <c r="Y8" s="71" t="s">
        <v>113</v>
      </c>
      <c r="Z8" s="73" t="s">
        <v>140</v>
      </c>
      <c r="AA8" s="73" t="s">
        <v>144</v>
      </c>
      <c r="AB8" s="73" t="s">
        <v>144</v>
      </c>
      <c r="AC8" s="79" t="s">
        <v>145</v>
      </c>
      <c r="AD8" s="73" t="s">
        <v>146</v>
      </c>
      <c r="AE8" s="68"/>
    </row>
    <row r="9" ht="15.75" customHeight="1">
      <c r="A9" s="16"/>
      <c r="B9" s="16"/>
      <c r="C9" s="14"/>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ht="15.75" customHeight="1">
      <c r="A10" s="85" t="s">
        <v>152</v>
      </c>
      <c r="B10" s="87"/>
      <c r="C10" s="88"/>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6"/>
    </row>
    <row r="11" ht="15.75" customHeight="1">
      <c r="A11" s="16"/>
      <c r="B11" s="16"/>
      <c r="C11" s="14"/>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ht="15.75" customHeight="1">
      <c r="A12" s="104" t="s">
        <v>160</v>
      </c>
      <c r="B12" s="106" t="s">
        <v>164</v>
      </c>
      <c r="C12" s="108" t="s">
        <v>167</v>
      </c>
      <c r="D12" s="106"/>
      <c r="E12" s="106"/>
      <c r="F12" s="106"/>
      <c r="G12" s="106"/>
      <c r="H12" s="106" t="s">
        <v>169</v>
      </c>
      <c r="I12" s="106"/>
      <c r="J12" s="106"/>
      <c r="K12" s="106"/>
      <c r="L12" s="106"/>
      <c r="M12" s="106"/>
      <c r="N12" s="106"/>
      <c r="O12" s="106"/>
      <c r="P12" s="106"/>
      <c r="Q12" s="106"/>
      <c r="R12" s="106"/>
      <c r="S12" s="106"/>
      <c r="T12" s="106"/>
      <c r="U12" s="106"/>
      <c r="V12" s="106"/>
      <c r="W12" s="106"/>
      <c r="X12" s="106"/>
      <c r="Y12" s="106"/>
      <c r="Z12" s="106"/>
      <c r="AA12" s="106"/>
      <c r="AB12" s="106"/>
      <c r="AC12" s="106"/>
      <c r="AD12" s="106"/>
      <c r="AE12" s="96"/>
    </row>
    <row r="13" ht="15.75" customHeight="1">
      <c r="A13" s="104" t="s">
        <v>160</v>
      </c>
      <c r="B13" s="106" t="s">
        <v>164</v>
      </c>
      <c r="C13" s="108" t="s">
        <v>173</v>
      </c>
      <c r="D13" s="106"/>
      <c r="E13" s="106"/>
      <c r="F13" s="106"/>
      <c r="G13" s="106"/>
      <c r="H13" s="108" t="s">
        <v>181</v>
      </c>
      <c r="I13" s="106"/>
      <c r="J13" s="106"/>
      <c r="K13" s="106"/>
      <c r="L13" s="106"/>
      <c r="M13" s="106"/>
      <c r="N13" s="106"/>
      <c r="O13" s="106"/>
      <c r="P13" s="106"/>
      <c r="Q13" s="106"/>
      <c r="R13" s="106"/>
      <c r="S13" s="106"/>
      <c r="T13" s="106"/>
      <c r="U13" s="106"/>
      <c r="V13" s="106"/>
      <c r="W13" s="106"/>
      <c r="X13" s="106"/>
      <c r="Y13" s="106"/>
      <c r="Z13" s="106"/>
      <c r="AA13" s="106"/>
      <c r="AB13" s="106"/>
      <c r="AC13" s="106"/>
      <c r="AD13" s="106"/>
      <c r="AE13" s="96"/>
    </row>
    <row r="14" ht="15.75" customHeight="1">
      <c r="A14" s="104" t="s">
        <v>160</v>
      </c>
      <c r="B14" s="106" t="s">
        <v>164</v>
      </c>
      <c r="C14" s="108" t="s">
        <v>192</v>
      </c>
      <c r="D14" s="106"/>
      <c r="E14" s="106"/>
      <c r="F14" s="106"/>
      <c r="G14" s="106"/>
      <c r="H14" s="106" t="s">
        <v>194</v>
      </c>
      <c r="I14" s="106"/>
      <c r="J14" s="106"/>
      <c r="K14" s="106"/>
      <c r="L14" s="106"/>
      <c r="M14" s="106"/>
      <c r="N14" s="106"/>
      <c r="O14" s="106"/>
      <c r="P14" s="106"/>
      <c r="Q14" s="106"/>
      <c r="R14" s="106"/>
      <c r="S14" s="106"/>
      <c r="T14" s="106"/>
      <c r="U14" s="106"/>
      <c r="V14" s="106"/>
      <c r="W14" s="106"/>
      <c r="X14" s="106"/>
      <c r="Y14" s="106"/>
      <c r="Z14" s="106"/>
      <c r="AA14" s="106"/>
      <c r="AB14" s="106"/>
      <c r="AC14" s="106"/>
      <c r="AD14" s="106"/>
      <c r="AE14" s="96"/>
    </row>
    <row r="15" ht="15.75" customHeight="1">
      <c r="A15" s="104" t="s">
        <v>160</v>
      </c>
      <c r="B15" s="106" t="s">
        <v>164</v>
      </c>
      <c r="C15" s="108" t="s">
        <v>192</v>
      </c>
      <c r="D15" s="106"/>
      <c r="E15" s="106"/>
      <c r="F15" s="106"/>
      <c r="G15" s="106"/>
      <c r="H15" s="106" t="s">
        <v>209</v>
      </c>
      <c r="I15" s="106"/>
      <c r="J15" s="106"/>
      <c r="K15" s="106"/>
      <c r="L15" s="106"/>
      <c r="M15" s="106"/>
      <c r="N15" s="106"/>
      <c r="O15" s="106"/>
      <c r="P15" s="106"/>
      <c r="Q15" s="106"/>
      <c r="R15" s="106"/>
      <c r="S15" s="106"/>
      <c r="T15" s="106"/>
      <c r="U15" s="106"/>
      <c r="V15" s="106"/>
      <c r="W15" s="106"/>
      <c r="X15" s="106"/>
      <c r="Y15" s="106"/>
      <c r="Z15" s="106"/>
      <c r="AA15" s="106"/>
      <c r="AB15" s="106"/>
      <c r="AC15" s="106"/>
      <c r="AD15" s="106"/>
      <c r="AE15" s="96"/>
    </row>
    <row r="16" ht="15.75" customHeight="1">
      <c r="A16" s="104" t="s">
        <v>217</v>
      </c>
      <c r="B16" s="106" t="s">
        <v>164</v>
      </c>
      <c r="C16" s="108" t="s">
        <v>218</v>
      </c>
      <c r="D16" s="104"/>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c r="AE16" s="96"/>
    </row>
    <row r="17" ht="15.75" customHeight="1">
      <c r="A17" s="104" t="s">
        <v>217</v>
      </c>
      <c r="B17" s="106" t="s">
        <v>164</v>
      </c>
      <c r="C17" s="108" t="s">
        <v>231</v>
      </c>
      <c r="D17" s="106"/>
      <c r="E17" s="106"/>
      <c r="F17" s="106"/>
      <c r="G17" s="106"/>
      <c r="H17" s="106" t="s">
        <v>232</v>
      </c>
      <c r="I17" s="106"/>
      <c r="J17" s="106"/>
      <c r="K17" s="106"/>
      <c r="L17" s="106"/>
      <c r="M17" s="106"/>
      <c r="N17" s="106"/>
      <c r="O17" s="106"/>
      <c r="P17" s="106"/>
      <c r="Q17" s="106"/>
      <c r="R17" s="106"/>
      <c r="S17" s="106"/>
      <c r="T17" s="106"/>
      <c r="U17" s="106"/>
      <c r="V17" s="106"/>
      <c r="W17" s="106"/>
      <c r="X17" s="106"/>
      <c r="Y17" s="106"/>
      <c r="Z17" s="106"/>
      <c r="AA17" s="106"/>
      <c r="AB17" s="106"/>
      <c r="AC17" s="106"/>
      <c r="AD17" s="106"/>
      <c r="AE17" s="96"/>
    </row>
    <row r="18" ht="15.75" customHeight="1">
      <c r="A18" s="104" t="s">
        <v>238</v>
      </c>
      <c r="B18" s="106" t="s">
        <v>164</v>
      </c>
      <c r="C18" s="108" t="s">
        <v>246</v>
      </c>
      <c r="D18" s="104"/>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96"/>
    </row>
    <row r="19" ht="15.75" customHeight="1">
      <c r="A19" s="104" t="s">
        <v>256</v>
      </c>
      <c r="B19" s="106" t="s">
        <v>164</v>
      </c>
      <c r="C19" s="108" t="s">
        <v>261</v>
      </c>
      <c r="D19" s="104"/>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96"/>
    </row>
    <row r="20" ht="15.75" customHeight="1">
      <c r="A20" s="104" t="s">
        <v>267</v>
      </c>
      <c r="B20" s="106" t="s">
        <v>164</v>
      </c>
      <c r="C20" s="108" t="s">
        <v>270</v>
      </c>
      <c r="D20" s="104"/>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96"/>
    </row>
    <row r="21" ht="15.75" customHeight="1">
      <c r="A21" s="104" t="s">
        <v>267</v>
      </c>
      <c r="B21" s="106" t="s">
        <v>164</v>
      </c>
      <c r="C21" s="108" t="s">
        <v>285</v>
      </c>
      <c r="D21" s="106"/>
      <c r="E21" s="106"/>
      <c r="F21" s="106"/>
      <c r="G21" s="106"/>
      <c r="H21" s="106" t="s">
        <v>289</v>
      </c>
      <c r="I21" s="106"/>
      <c r="J21" s="106"/>
      <c r="K21" s="106"/>
      <c r="L21" s="106"/>
      <c r="M21" s="106"/>
      <c r="N21" s="106"/>
      <c r="O21" s="106"/>
      <c r="P21" s="106"/>
      <c r="Q21" s="106"/>
      <c r="R21" s="106"/>
      <c r="S21" s="106"/>
      <c r="T21" s="106"/>
      <c r="U21" s="106"/>
      <c r="V21" s="106"/>
      <c r="W21" s="106"/>
      <c r="X21" s="106"/>
      <c r="Y21" s="106"/>
      <c r="Z21" s="106"/>
      <c r="AA21" s="106"/>
      <c r="AB21" s="106"/>
      <c r="AC21" s="106"/>
      <c r="AD21" s="106"/>
      <c r="AE21" s="96"/>
    </row>
    <row r="22" ht="15.75" customHeight="1">
      <c r="A22" s="104" t="s">
        <v>267</v>
      </c>
      <c r="B22" s="106" t="s">
        <v>164</v>
      </c>
      <c r="C22" s="108" t="s">
        <v>296</v>
      </c>
      <c r="D22" s="106"/>
      <c r="E22" s="106"/>
      <c r="F22" s="106"/>
      <c r="G22" s="106"/>
      <c r="H22" s="106" t="s">
        <v>301</v>
      </c>
      <c r="I22" s="106"/>
      <c r="J22" s="106"/>
      <c r="K22" s="106"/>
      <c r="L22" s="106"/>
      <c r="M22" s="106"/>
      <c r="N22" s="106"/>
      <c r="O22" s="106"/>
      <c r="P22" s="106"/>
      <c r="Q22" s="106"/>
      <c r="R22" s="106"/>
      <c r="S22" s="106"/>
      <c r="T22" s="106"/>
      <c r="U22" s="106"/>
      <c r="V22" s="106"/>
      <c r="W22" s="106"/>
      <c r="X22" s="106"/>
      <c r="Y22" s="106"/>
      <c r="Z22" s="106"/>
      <c r="AA22" s="106"/>
      <c r="AB22" s="106"/>
      <c r="AC22" s="106"/>
      <c r="AD22" s="106"/>
      <c r="AE22" s="96"/>
    </row>
    <row r="23" ht="15.75" customHeight="1">
      <c r="A23" s="104" t="s">
        <v>267</v>
      </c>
      <c r="B23" s="106" t="s">
        <v>164</v>
      </c>
      <c r="C23" s="108" t="s">
        <v>304</v>
      </c>
      <c r="D23" s="106"/>
      <c r="E23" s="106"/>
      <c r="F23" s="106"/>
      <c r="G23" s="106"/>
      <c r="H23" s="106" t="s">
        <v>308</v>
      </c>
      <c r="I23" s="106"/>
      <c r="J23" s="106"/>
      <c r="K23" s="106"/>
      <c r="L23" s="106"/>
      <c r="M23" s="106"/>
      <c r="N23" s="106"/>
      <c r="O23" s="106"/>
      <c r="P23" s="106"/>
      <c r="Q23" s="106"/>
      <c r="R23" s="106"/>
      <c r="S23" s="106"/>
      <c r="T23" s="106"/>
      <c r="U23" s="106"/>
      <c r="V23" s="106"/>
      <c r="W23" s="106"/>
      <c r="X23" s="106"/>
      <c r="Y23" s="106"/>
      <c r="Z23" s="106"/>
      <c r="AA23" s="106"/>
      <c r="AB23" s="106"/>
      <c r="AC23" s="106"/>
      <c r="AD23" s="106"/>
      <c r="AE23" s="96"/>
    </row>
    <row r="24" ht="15.75" customHeight="1">
      <c r="A24" s="104" t="s">
        <v>267</v>
      </c>
      <c r="B24" s="106" t="s">
        <v>164</v>
      </c>
      <c r="C24" s="108" t="s">
        <v>320</v>
      </c>
      <c r="D24" s="106"/>
      <c r="E24" s="106"/>
      <c r="F24" s="106"/>
      <c r="G24" s="106"/>
      <c r="H24" s="106" t="s">
        <v>322</v>
      </c>
      <c r="I24" s="106"/>
      <c r="J24" s="106"/>
      <c r="K24" s="106"/>
      <c r="L24" s="106"/>
      <c r="M24" s="106"/>
      <c r="N24" s="106"/>
      <c r="O24" s="106"/>
      <c r="P24" s="106"/>
      <c r="Q24" s="106"/>
      <c r="R24" s="106"/>
      <c r="S24" s="106"/>
      <c r="T24" s="106"/>
      <c r="U24" s="106"/>
      <c r="V24" s="106"/>
      <c r="W24" s="106"/>
      <c r="X24" s="106"/>
      <c r="Y24" s="106"/>
      <c r="Z24" s="106"/>
      <c r="AA24" s="106"/>
      <c r="AB24" s="106"/>
      <c r="AC24" s="106"/>
      <c r="AD24" s="106"/>
      <c r="AE24" s="96"/>
    </row>
    <row r="25" ht="15.75" customHeight="1">
      <c r="A25" s="104" t="s">
        <v>267</v>
      </c>
      <c r="B25" s="106" t="s">
        <v>164</v>
      </c>
      <c r="C25" s="108" t="s">
        <v>338</v>
      </c>
      <c r="D25" s="106"/>
      <c r="E25" s="106"/>
      <c r="F25" s="106"/>
      <c r="G25" s="106"/>
      <c r="H25" s="106" t="s">
        <v>340</v>
      </c>
      <c r="I25" s="106"/>
      <c r="J25" s="106"/>
      <c r="K25" s="106"/>
      <c r="L25" s="106"/>
      <c r="M25" s="106"/>
      <c r="N25" s="106"/>
      <c r="O25" s="106"/>
      <c r="P25" s="106"/>
      <c r="Q25" s="106"/>
      <c r="R25" s="106"/>
      <c r="S25" s="106"/>
      <c r="T25" s="106"/>
      <c r="U25" s="106"/>
      <c r="V25" s="106"/>
      <c r="W25" s="106"/>
      <c r="X25" s="106"/>
      <c r="Y25" s="106"/>
      <c r="Z25" s="106"/>
      <c r="AA25" s="106"/>
      <c r="AB25" s="106"/>
      <c r="AC25" s="106"/>
      <c r="AD25" s="106"/>
      <c r="AE25" s="96"/>
    </row>
    <row r="26" ht="15.75" customHeight="1">
      <c r="A26" s="104" t="s">
        <v>267</v>
      </c>
      <c r="B26" s="106" t="s">
        <v>164</v>
      </c>
      <c r="C26" s="108" t="s">
        <v>354</v>
      </c>
      <c r="D26" s="106"/>
      <c r="E26" s="106"/>
      <c r="F26" s="106"/>
      <c r="G26" s="106"/>
      <c r="H26" s="106" t="s">
        <v>355</v>
      </c>
      <c r="I26" s="106"/>
      <c r="J26" s="106"/>
      <c r="K26" s="106"/>
      <c r="L26" s="106"/>
      <c r="M26" s="106"/>
      <c r="N26" s="106"/>
      <c r="O26" s="106"/>
      <c r="P26" s="106"/>
      <c r="Q26" s="106"/>
      <c r="R26" s="106"/>
      <c r="S26" s="106"/>
      <c r="T26" s="106"/>
      <c r="U26" s="106"/>
      <c r="V26" s="106"/>
      <c r="W26" s="106"/>
      <c r="X26" s="106"/>
      <c r="Y26" s="106"/>
      <c r="Z26" s="106"/>
      <c r="AA26" s="106"/>
      <c r="AB26" s="106"/>
      <c r="AC26" s="106"/>
      <c r="AD26" s="106"/>
      <c r="AE26" s="96"/>
    </row>
    <row r="27" ht="15.75" customHeight="1">
      <c r="A27" s="104" t="s">
        <v>267</v>
      </c>
      <c r="B27" s="106" t="s">
        <v>164</v>
      </c>
      <c r="C27" s="108" t="s">
        <v>372</v>
      </c>
      <c r="D27" s="106"/>
      <c r="E27" s="106"/>
      <c r="F27" s="106"/>
      <c r="G27" s="106"/>
      <c r="H27" s="106" t="s">
        <v>380</v>
      </c>
      <c r="I27" s="106"/>
      <c r="J27" s="106"/>
      <c r="K27" s="106"/>
      <c r="L27" s="106"/>
      <c r="M27" s="106"/>
      <c r="N27" s="106"/>
      <c r="O27" s="106"/>
      <c r="P27" s="106"/>
      <c r="Q27" s="106"/>
      <c r="R27" s="106"/>
      <c r="S27" s="106"/>
      <c r="T27" s="106"/>
      <c r="U27" s="106"/>
      <c r="V27" s="106"/>
      <c r="W27" s="106"/>
      <c r="X27" s="106"/>
      <c r="Y27" s="106"/>
      <c r="Z27" s="106"/>
      <c r="AA27" s="106"/>
      <c r="AB27" s="106"/>
      <c r="AC27" s="106"/>
      <c r="AD27" s="106"/>
      <c r="AE27" s="96"/>
    </row>
    <row r="28" ht="15.75" customHeight="1">
      <c r="A28" s="104" t="s">
        <v>267</v>
      </c>
      <c r="B28" s="106" t="s">
        <v>164</v>
      </c>
      <c r="C28" s="108" t="s">
        <v>387</v>
      </c>
      <c r="D28" s="106"/>
      <c r="E28" s="106"/>
      <c r="F28" s="106"/>
      <c r="G28" s="106"/>
      <c r="H28" s="106" t="s">
        <v>389</v>
      </c>
      <c r="I28" s="106"/>
      <c r="J28" s="106"/>
      <c r="K28" s="106"/>
      <c r="L28" s="106"/>
      <c r="M28" s="106"/>
      <c r="N28" s="106"/>
      <c r="O28" s="106"/>
      <c r="P28" s="106"/>
      <c r="Q28" s="106"/>
      <c r="R28" s="106"/>
      <c r="S28" s="106"/>
      <c r="T28" s="106"/>
      <c r="U28" s="106"/>
      <c r="V28" s="106"/>
      <c r="W28" s="106"/>
      <c r="X28" s="106"/>
      <c r="Y28" s="106"/>
      <c r="Z28" s="106"/>
      <c r="AA28" s="106"/>
      <c r="AB28" s="106"/>
      <c r="AC28" s="106"/>
      <c r="AD28" s="106"/>
      <c r="AE28" s="96"/>
    </row>
    <row r="29" ht="15.75" customHeight="1">
      <c r="A29" s="104" t="s">
        <v>267</v>
      </c>
      <c r="B29" s="106" t="s">
        <v>164</v>
      </c>
      <c r="C29" s="108" t="s">
        <v>404</v>
      </c>
      <c r="D29" s="106"/>
      <c r="E29" s="106"/>
      <c r="F29" s="106"/>
      <c r="G29" s="106"/>
      <c r="H29" s="106" t="s">
        <v>405</v>
      </c>
      <c r="I29" s="106"/>
      <c r="J29" s="106"/>
      <c r="K29" s="106"/>
      <c r="L29" s="106"/>
      <c r="M29" s="106"/>
      <c r="N29" s="106"/>
      <c r="O29" s="106"/>
      <c r="P29" s="106"/>
      <c r="Q29" s="106"/>
      <c r="R29" s="106"/>
      <c r="S29" s="106"/>
      <c r="T29" s="106"/>
      <c r="U29" s="106"/>
      <c r="V29" s="106"/>
      <c r="W29" s="106"/>
      <c r="X29" s="106"/>
      <c r="Y29" s="106"/>
      <c r="Z29" s="106"/>
      <c r="AA29" s="106"/>
      <c r="AB29" s="106"/>
      <c r="AC29" s="106"/>
      <c r="AD29" s="106"/>
      <c r="AE29" s="96"/>
    </row>
    <row r="30" ht="15.75" customHeight="1">
      <c r="A30" s="104" t="s">
        <v>267</v>
      </c>
      <c r="B30" s="106" t="s">
        <v>164</v>
      </c>
      <c r="C30" s="108" t="s">
        <v>415</v>
      </c>
      <c r="D30" s="106"/>
      <c r="E30" s="106"/>
      <c r="F30" s="106"/>
      <c r="G30" s="106"/>
      <c r="H30" s="106" t="s">
        <v>416</v>
      </c>
      <c r="I30" s="106"/>
      <c r="J30" s="106"/>
      <c r="K30" s="106"/>
      <c r="L30" s="106"/>
      <c r="M30" s="106"/>
      <c r="N30" s="106"/>
      <c r="O30" s="106"/>
      <c r="P30" s="106"/>
      <c r="Q30" s="106"/>
      <c r="R30" s="106"/>
      <c r="S30" s="106"/>
      <c r="T30" s="106"/>
      <c r="U30" s="106"/>
      <c r="V30" s="106"/>
      <c r="W30" s="106"/>
      <c r="X30" s="106"/>
      <c r="Y30" s="106"/>
      <c r="Z30" s="106"/>
      <c r="AA30" s="106"/>
      <c r="AB30" s="106"/>
      <c r="AC30" s="106"/>
      <c r="AD30" s="106"/>
      <c r="AE30" s="96"/>
    </row>
    <row r="31" ht="15.75" customHeight="1">
      <c r="A31" s="104" t="s">
        <v>267</v>
      </c>
      <c r="B31" s="106" t="s">
        <v>164</v>
      </c>
      <c r="C31" s="108" t="s">
        <v>430</v>
      </c>
      <c r="D31" s="106"/>
      <c r="E31" s="106"/>
      <c r="F31" s="106"/>
      <c r="G31" s="106"/>
      <c r="H31" s="106" t="s">
        <v>434</v>
      </c>
      <c r="I31" s="106"/>
      <c r="J31" s="106"/>
      <c r="K31" s="106"/>
      <c r="L31" s="106"/>
      <c r="M31" s="106"/>
      <c r="N31" s="106"/>
      <c r="O31" s="106"/>
      <c r="P31" s="106"/>
      <c r="Q31" s="106"/>
      <c r="R31" s="106"/>
      <c r="S31" s="106"/>
      <c r="T31" s="106"/>
      <c r="U31" s="106"/>
      <c r="V31" s="106"/>
      <c r="W31" s="106"/>
      <c r="X31" s="106"/>
      <c r="Y31" s="106"/>
      <c r="Z31" s="106"/>
      <c r="AA31" s="106"/>
      <c r="AB31" s="106"/>
      <c r="AC31" s="106"/>
      <c r="AD31" s="106"/>
      <c r="AE31" s="96"/>
    </row>
    <row r="32" ht="15.75" customHeight="1">
      <c r="A32" s="104" t="s">
        <v>267</v>
      </c>
      <c r="B32" s="106" t="s">
        <v>164</v>
      </c>
      <c r="C32" s="143" t="s">
        <v>445</v>
      </c>
      <c r="D32" s="106"/>
      <c r="E32" s="106"/>
      <c r="F32" s="106"/>
      <c r="G32" s="106"/>
      <c r="H32" s="106" t="s">
        <v>450</v>
      </c>
      <c r="I32" s="106"/>
      <c r="J32" s="106"/>
      <c r="K32" s="106"/>
      <c r="L32" s="106"/>
      <c r="M32" s="106"/>
      <c r="N32" s="106"/>
      <c r="O32" s="106"/>
      <c r="P32" s="106"/>
      <c r="Q32" s="106"/>
      <c r="R32" s="106"/>
      <c r="S32" s="106"/>
      <c r="T32" s="106"/>
      <c r="U32" s="106"/>
      <c r="V32" s="106"/>
      <c r="W32" s="106"/>
      <c r="X32" s="106"/>
      <c r="Y32" s="106"/>
      <c r="Z32" s="106"/>
      <c r="AA32" s="106"/>
      <c r="AB32" s="106"/>
      <c r="AC32" s="106"/>
      <c r="AD32" s="106"/>
      <c r="AE32" s="96"/>
    </row>
    <row r="33" ht="15.75" customHeight="1">
      <c r="A33" s="104" t="s">
        <v>267</v>
      </c>
      <c r="B33" s="106" t="s">
        <v>164</v>
      </c>
      <c r="C33" s="108" t="s">
        <v>461</v>
      </c>
      <c r="D33" s="106"/>
      <c r="E33" s="106"/>
      <c r="F33" s="106"/>
      <c r="G33" s="106"/>
      <c r="H33" s="106" t="s">
        <v>467</v>
      </c>
      <c r="I33" s="106"/>
      <c r="J33" s="106"/>
      <c r="K33" s="106"/>
      <c r="L33" s="106"/>
      <c r="M33" s="106"/>
      <c r="N33" s="106"/>
      <c r="O33" s="106"/>
      <c r="P33" s="106"/>
      <c r="Q33" s="106"/>
      <c r="R33" s="106"/>
      <c r="S33" s="106"/>
      <c r="T33" s="106"/>
      <c r="U33" s="106"/>
      <c r="V33" s="106"/>
      <c r="W33" s="106"/>
      <c r="X33" s="106"/>
      <c r="Y33" s="106"/>
      <c r="Z33" s="106"/>
      <c r="AA33" s="106"/>
      <c r="AB33" s="106"/>
      <c r="AC33" s="106"/>
      <c r="AD33" s="106"/>
      <c r="AE33" s="96"/>
    </row>
    <row r="34" ht="15.75" customHeight="1">
      <c r="A34" s="104" t="s">
        <v>267</v>
      </c>
      <c r="B34" s="106" t="s">
        <v>164</v>
      </c>
      <c r="C34" s="108" t="s">
        <v>480</v>
      </c>
      <c r="D34" s="106"/>
      <c r="E34" s="106"/>
      <c r="F34" s="106"/>
      <c r="G34" s="106"/>
      <c r="H34" s="106" t="s">
        <v>483</v>
      </c>
      <c r="I34" s="106"/>
      <c r="J34" s="106"/>
      <c r="K34" s="106"/>
      <c r="L34" s="106"/>
      <c r="M34" s="106"/>
      <c r="N34" s="106"/>
      <c r="O34" s="106"/>
      <c r="P34" s="106"/>
      <c r="Q34" s="106"/>
      <c r="R34" s="106"/>
      <c r="S34" s="106"/>
      <c r="T34" s="106"/>
      <c r="U34" s="106"/>
      <c r="V34" s="106"/>
      <c r="W34" s="106"/>
      <c r="X34" s="106"/>
      <c r="Y34" s="106"/>
      <c r="Z34" s="106"/>
      <c r="AA34" s="106"/>
      <c r="AB34" s="106"/>
      <c r="AC34" s="106"/>
      <c r="AD34" s="106"/>
      <c r="AE34" s="96"/>
    </row>
    <row r="35" ht="15.75" customHeight="1">
      <c r="A35" s="104" t="s">
        <v>500</v>
      </c>
      <c r="B35" s="106" t="s">
        <v>164</v>
      </c>
      <c r="C35" s="108" t="s">
        <v>503</v>
      </c>
      <c r="D35" s="104"/>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96"/>
    </row>
    <row r="36" ht="15.75" customHeight="1">
      <c r="A36" s="104" t="s">
        <v>500</v>
      </c>
      <c r="B36" s="106" t="s">
        <v>164</v>
      </c>
      <c r="C36" s="108" t="s">
        <v>520</v>
      </c>
      <c r="D36" s="106"/>
      <c r="E36" s="106"/>
      <c r="F36" s="106"/>
      <c r="G36" s="106"/>
      <c r="H36" s="106" t="s">
        <v>340</v>
      </c>
      <c r="I36" s="106"/>
      <c r="J36" s="106"/>
      <c r="K36" s="106"/>
      <c r="L36" s="106"/>
      <c r="M36" s="106"/>
      <c r="N36" s="106"/>
      <c r="O36" s="106"/>
      <c r="P36" s="106"/>
      <c r="Q36" s="106"/>
      <c r="R36" s="106"/>
      <c r="S36" s="106"/>
      <c r="T36" s="106"/>
      <c r="U36" s="106"/>
      <c r="V36" s="106"/>
      <c r="W36" s="106"/>
      <c r="X36" s="106"/>
      <c r="Y36" s="106"/>
      <c r="Z36" s="106"/>
      <c r="AA36" s="106"/>
      <c r="AB36" s="106"/>
      <c r="AC36" s="106"/>
      <c r="AD36" s="106"/>
      <c r="AE36" s="96"/>
    </row>
    <row r="37" ht="15.75" customHeight="1">
      <c r="A37" s="104" t="s">
        <v>500</v>
      </c>
      <c r="B37" s="106" t="s">
        <v>164</v>
      </c>
      <c r="C37" s="108" t="s">
        <v>532</v>
      </c>
      <c r="D37" s="106"/>
      <c r="E37" s="106"/>
      <c r="F37" s="106"/>
      <c r="G37" s="106"/>
      <c r="H37" s="106" t="s">
        <v>355</v>
      </c>
      <c r="I37" s="106"/>
      <c r="J37" s="106"/>
      <c r="K37" s="106"/>
      <c r="L37" s="106"/>
      <c r="M37" s="106"/>
      <c r="N37" s="106"/>
      <c r="O37" s="106"/>
      <c r="P37" s="106"/>
      <c r="Q37" s="106"/>
      <c r="R37" s="106"/>
      <c r="S37" s="106"/>
      <c r="T37" s="106"/>
      <c r="U37" s="106"/>
      <c r="V37" s="106"/>
      <c r="W37" s="106"/>
      <c r="X37" s="106"/>
      <c r="Y37" s="106"/>
      <c r="Z37" s="106"/>
      <c r="AA37" s="106"/>
      <c r="AB37" s="106"/>
      <c r="AC37" s="106"/>
      <c r="AD37" s="106"/>
      <c r="AE37" s="96"/>
    </row>
    <row r="38" ht="15.75" customHeight="1">
      <c r="A38" s="104" t="s">
        <v>500</v>
      </c>
      <c r="B38" s="106" t="s">
        <v>164</v>
      </c>
      <c r="C38" s="108" t="s">
        <v>546</v>
      </c>
      <c r="D38" s="106"/>
      <c r="E38" s="106"/>
      <c r="F38" s="106"/>
      <c r="G38" s="106"/>
      <c r="H38" s="106" t="s">
        <v>380</v>
      </c>
      <c r="I38" s="106"/>
      <c r="J38" s="106"/>
      <c r="K38" s="106"/>
      <c r="L38" s="106"/>
      <c r="M38" s="106"/>
      <c r="N38" s="106"/>
      <c r="O38" s="106"/>
      <c r="P38" s="106"/>
      <c r="Q38" s="106"/>
      <c r="R38" s="106"/>
      <c r="S38" s="106"/>
      <c r="T38" s="106"/>
      <c r="U38" s="106"/>
      <c r="V38" s="106"/>
      <c r="W38" s="106"/>
      <c r="X38" s="106"/>
      <c r="Y38" s="106"/>
      <c r="Z38" s="106"/>
      <c r="AA38" s="106"/>
      <c r="AB38" s="106"/>
      <c r="AC38" s="106"/>
      <c r="AD38" s="106"/>
      <c r="AE38" s="96"/>
    </row>
    <row r="39" ht="15.75" customHeight="1">
      <c r="A39" s="104" t="s">
        <v>500</v>
      </c>
      <c r="B39" s="106" t="s">
        <v>164</v>
      </c>
      <c r="C39" s="108" t="s">
        <v>567</v>
      </c>
      <c r="D39" s="106"/>
      <c r="E39" s="106"/>
      <c r="F39" s="106"/>
      <c r="G39" s="106"/>
      <c r="H39" s="106" t="s">
        <v>416</v>
      </c>
      <c r="I39" s="106"/>
      <c r="J39" s="106"/>
      <c r="K39" s="106"/>
      <c r="L39" s="106"/>
      <c r="M39" s="106"/>
      <c r="N39" s="106"/>
      <c r="O39" s="106"/>
      <c r="P39" s="106"/>
      <c r="Q39" s="106"/>
      <c r="R39" s="106"/>
      <c r="S39" s="106"/>
      <c r="T39" s="106"/>
      <c r="U39" s="106"/>
      <c r="V39" s="106"/>
      <c r="W39" s="106"/>
      <c r="X39" s="106"/>
      <c r="Y39" s="106"/>
      <c r="Z39" s="106"/>
      <c r="AA39" s="106"/>
      <c r="AB39" s="106"/>
      <c r="AC39" s="106"/>
      <c r="AD39" s="106"/>
      <c r="AE39" s="96"/>
    </row>
    <row r="40" ht="15.75" customHeight="1">
      <c r="A40" s="104" t="s">
        <v>500</v>
      </c>
      <c r="B40" s="106" t="s">
        <v>164</v>
      </c>
      <c r="C40" s="108" t="s">
        <v>579</v>
      </c>
      <c r="D40" s="106"/>
      <c r="E40" s="106"/>
      <c r="F40" s="106"/>
      <c r="G40" s="106"/>
      <c r="H40" s="106" t="s">
        <v>434</v>
      </c>
      <c r="I40" s="106"/>
      <c r="J40" s="106"/>
      <c r="K40" s="106"/>
      <c r="L40" s="106"/>
      <c r="M40" s="106"/>
      <c r="N40" s="106"/>
      <c r="O40" s="106"/>
      <c r="P40" s="106"/>
      <c r="Q40" s="106"/>
      <c r="R40" s="106"/>
      <c r="S40" s="106"/>
      <c r="T40" s="106"/>
      <c r="U40" s="106"/>
      <c r="V40" s="106"/>
      <c r="W40" s="106"/>
      <c r="X40" s="106"/>
      <c r="Y40" s="106"/>
      <c r="Z40" s="106"/>
      <c r="AA40" s="106"/>
      <c r="AB40" s="106"/>
      <c r="AC40" s="106"/>
      <c r="AD40" s="106"/>
      <c r="AE40" s="96"/>
    </row>
    <row r="41" ht="15.75" customHeight="1">
      <c r="A41" s="104" t="s">
        <v>500</v>
      </c>
      <c r="B41" s="106" t="s">
        <v>164</v>
      </c>
      <c r="C41" s="143" t="s">
        <v>594</v>
      </c>
      <c r="D41" s="106"/>
      <c r="E41" s="106"/>
      <c r="F41" s="106"/>
      <c r="G41" s="106"/>
      <c r="H41" s="106" t="s">
        <v>450</v>
      </c>
      <c r="I41" s="106"/>
      <c r="J41" s="106"/>
      <c r="K41" s="106"/>
      <c r="L41" s="106"/>
      <c r="M41" s="106"/>
      <c r="N41" s="106"/>
      <c r="O41" s="106"/>
      <c r="P41" s="106"/>
      <c r="Q41" s="106"/>
      <c r="R41" s="106"/>
      <c r="S41" s="106"/>
      <c r="T41" s="106"/>
      <c r="U41" s="106"/>
      <c r="V41" s="106"/>
      <c r="W41" s="106"/>
      <c r="X41" s="106"/>
      <c r="Y41" s="106"/>
      <c r="Z41" s="106"/>
      <c r="AA41" s="106"/>
      <c r="AB41" s="106"/>
      <c r="AC41" s="106"/>
      <c r="AD41" s="106"/>
      <c r="AE41" s="96"/>
    </row>
    <row r="42" ht="15.75" customHeight="1">
      <c r="A42" s="104" t="s">
        <v>500</v>
      </c>
      <c r="B42" s="106" t="s">
        <v>164</v>
      </c>
      <c r="C42" s="108" t="s">
        <v>608</v>
      </c>
      <c r="D42" s="106"/>
      <c r="E42" s="106"/>
      <c r="F42" s="106"/>
      <c r="G42" s="106"/>
      <c r="H42" s="106" t="s">
        <v>467</v>
      </c>
      <c r="I42" s="106"/>
      <c r="J42" s="106"/>
      <c r="K42" s="106"/>
      <c r="L42" s="106"/>
      <c r="M42" s="106"/>
      <c r="N42" s="106"/>
      <c r="O42" s="106"/>
      <c r="P42" s="106"/>
      <c r="Q42" s="106"/>
      <c r="R42" s="106"/>
      <c r="S42" s="106"/>
      <c r="T42" s="106"/>
      <c r="U42" s="106"/>
      <c r="V42" s="106"/>
      <c r="W42" s="106"/>
      <c r="X42" s="106"/>
      <c r="Y42" s="106"/>
      <c r="Z42" s="106"/>
      <c r="AA42" s="106"/>
      <c r="AB42" s="106"/>
      <c r="AC42" s="106"/>
      <c r="AD42" s="106"/>
      <c r="AE42" s="96"/>
    </row>
    <row r="43" ht="15.75" customHeight="1">
      <c r="A43" s="104" t="s">
        <v>500</v>
      </c>
      <c r="B43" s="106" t="s">
        <v>164</v>
      </c>
      <c r="C43" s="108" t="s">
        <v>622</v>
      </c>
      <c r="D43" s="106"/>
      <c r="E43" s="106"/>
      <c r="F43" s="106"/>
      <c r="G43" s="106"/>
      <c r="H43" s="106" t="s">
        <v>483</v>
      </c>
      <c r="I43" s="106"/>
      <c r="J43" s="106"/>
      <c r="K43" s="106"/>
      <c r="L43" s="106"/>
      <c r="M43" s="106"/>
      <c r="N43" s="106"/>
      <c r="O43" s="106"/>
      <c r="P43" s="106"/>
      <c r="Q43" s="106"/>
      <c r="R43" s="106"/>
      <c r="S43" s="106"/>
      <c r="T43" s="106"/>
      <c r="U43" s="106"/>
      <c r="V43" s="106"/>
      <c r="W43" s="106"/>
      <c r="X43" s="106"/>
      <c r="Y43" s="106"/>
      <c r="Z43" s="106"/>
      <c r="AA43" s="106"/>
      <c r="AB43" s="106"/>
      <c r="AC43" s="106"/>
      <c r="AD43" s="106"/>
      <c r="AE43" s="96"/>
    </row>
    <row r="44" ht="15.75" customHeight="1">
      <c r="A44" s="104" t="s">
        <v>647</v>
      </c>
      <c r="B44" s="106" t="s">
        <v>164</v>
      </c>
      <c r="C44" s="108" t="s">
        <v>661</v>
      </c>
      <c r="D44" s="104"/>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96"/>
    </row>
    <row r="45" ht="15.75" customHeight="1">
      <c r="A45" s="104" t="s">
        <v>670</v>
      </c>
      <c r="B45" s="106" t="s">
        <v>164</v>
      </c>
      <c r="C45" s="108" t="s">
        <v>678</v>
      </c>
      <c r="D45" s="155"/>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96"/>
    </row>
    <row r="46" ht="15.75" customHeight="1">
      <c r="A46" s="104" t="s">
        <v>699</v>
      </c>
      <c r="B46" s="106" t="s">
        <v>164</v>
      </c>
      <c r="C46" s="108" t="s">
        <v>705</v>
      </c>
      <c r="D46" s="104"/>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96"/>
    </row>
    <row r="47" ht="15.75" customHeight="1">
      <c r="A47" s="104" t="s">
        <v>714</v>
      </c>
      <c r="B47" s="106" t="s">
        <v>164</v>
      </c>
      <c r="C47" s="108" t="s">
        <v>720</v>
      </c>
      <c r="D47" s="104"/>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96"/>
    </row>
    <row r="48" ht="15.75" customHeight="1">
      <c r="A48" s="104" t="s">
        <v>730</v>
      </c>
      <c r="B48" s="106" t="s">
        <v>164</v>
      </c>
      <c r="C48" s="108" t="s">
        <v>731</v>
      </c>
      <c r="D48" s="104"/>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96"/>
    </row>
    <row r="49" ht="15.75" customHeight="1">
      <c r="A49" s="104" t="s">
        <v>730</v>
      </c>
      <c r="B49" s="106" t="s">
        <v>164</v>
      </c>
      <c r="C49" s="108" t="s">
        <v>737</v>
      </c>
      <c r="D49" s="106"/>
      <c r="E49" s="106"/>
      <c r="F49" s="106"/>
      <c r="G49" s="106"/>
      <c r="H49" s="106" t="s">
        <v>740</v>
      </c>
      <c r="I49" s="106"/>
      <c r="J49" s="106"/>
      <c r="K49" s="106"/>
      <c r="L49" s="106"/>
      <c r="M49" s="106"/>
      <c r="N49" s="106"/>
      <c r="O49" s="106"/>
      <c r="P49" s="106"/>
      <c r="Q49" s="106"/>
      <c r="R49" s="106"/>
      <c r="S49" s="106"/>
      <c r="T49" s="106"/>
      <c r="U49" s="106"/>
      <c r="V49" s="106"/>
      <c r="W49" s="106"/>
      <c r="X49" s="106"/>
      <c r="Y49" s="106"/>
      <c r="Z49" s="106"/>
      <c r="AA49" s="106"/>
      <c r="AB49" s="106"/>
      <c r="AC49" s="106"/>
      <c r="AD49" s="106"/>
      <c r="AE49" s="96"/>
    </row>
    <row r="50" ht="15.75" customHeight="1">
      <c r="A50" s="104" t="s">
        <v>755</v>
      </c>
      <c r="B50" s="106" t="s">
        <v>164</v>
      </c>
      <c r="C50" s="108" t="s">
        <v>756</v>
      </c>
      <c r="D50" s="104"/>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96"/>
    </row>
    <row r="51" ht="15.75" customHeight="1">
      <c r="A51" s="104" t="s">
        <v>755</v>
      </c>
      <c r="B51" s="106" t="s">
        <v>164</v>
      </c>
      <c r="C51" s="108" t="s">
        <v>764</v>
      </c>
      <c r="D51" s="106"/>
      <c r="E51" s="106"/>
      <c r="F51" s="106"/>
      <c r="G51" s="106"/>
      <c r="H51" s="106" t="s">
        <v>740</v>
      </c>
      <c r="I51" s="106"/>
      <c r="J51" s="106"/>
      <c r="K51" s="106"/>
      <c r="L51" s="106"/>
      <c r="M51" s="106"/>
      <c r="N51" s="106"/>
      <c r="O51" s="106"/>
      <c r="P51" s="106"/>
      <c r="Q51" s="106"/>
      <c r="R51" s="106"/>
      <c r="S51" s="106"/>
      <c r="T51" s="106"/>
      <c r="U51" s="106"/>
      <c r="V51" s="106"/>
      <c r="W51" s="106"/>
      <c r="X51" s="106"/>
      <c r="Y51" s="106"/>
      <c r="Z51" s="106"/>
      <c r="AA51" s="106"/>
      <c r="AB51" s="106"/>
      <c r="AC51" s="106"/>
      <c r="AD51" s="106"/>
      <c r="AE51" s="96"/>
    </row>
    <row r="52" ht="15.75" customHeight="1">
      <c r="A52" s="104" t="s">
        <v>770</v>
      </c>
      <c r="B52" s="106" t="s">
        <v>164</v>
      </c>
      <c r="C52" s="108" t="s">
        <v>774</v>
      </c>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96"/>
    </row>
    <row r="53" ht="15.75" customHeight="1">
      <c r="A53" s="104" t="s">
        <v>11</v>
      </c>
      <c r="B53" s="106" t="s">
        <v>164</v>
      </c>
      <c r="C53" s="108" t="s">
        <v>783</v>
      </c>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96"/>
    </row>
    <row r="54" ht="15.75" customHeight="1">
      <c r="A54" s="104" t="s">
        <v>11</v>
      </c>
      <c r="B54" s="106" t="s">
        <v>164</v>
      </c>
      <c r="C54" s="108" t="s">
        <v>792</v>
      </c>
      <c r="D54" s="106"/>
      <c r="E54" s="106"/>
      <c r="F54" s="106"/>
      <c r="G54" s="106"/>
      <c r="H54" s="106" t="s">
        <v>797</v>
      </c>
      <c r="I54" s="106"/>
      <c r="J54" s="106"/>
      <c r="K54" s="106"/>
      <c r="L54" s="106"/>
      <c r="M54" s="106"/>
      <c r="N54" s="106"/>
      <c r="O54" s="106"/>
      <c r="P54" s="106"/>
      <c r="Q54" s="106"/>
      <c r="R54" s="106"/>
      <c r="S54" s="106"/>
      <c r="T54" s="106"/>
      <c r="U54" s="106"/>
      <c r="V54" s="106"/>
      <c r="W54" s="106"/>
      <c r="X54" s="106"/>
      <c r="Y54" s="106"/>
      <c r="Z54" s="106"/>
      <c r="AA54" s="106"/>
      <c r="AB54" s="106"/>
      <c r="AC54" s="106"/>
      <c r="AD54" s="106"/>
      <c r="AE54" s="96"/>
    </row>
    <row r="55" ht="15.75" customHeight="1">
      <c r="A55" s="104" t="s">
        <v>11</v>
      </c>
      <c r="B55" s="106" t="s">
        <v>164</v>
      </c>
      <c r="C55" s="108" t="s">
        <v>803</v>
      </c>
      <c r="D55" s="106"/>
      <c r="E55" s="106"/>
      <c r="F55" s="106"/>
      <c r="G55" s="106"/>
      <c r="H55" s="106" t="s">
        <v>804</v>
      </c>
      <c r="I55" s="106"/>
      <c r="J55" s="106"/>
      <c r="K55" s="106"/>
      <c r="L55" s="106"/>
      <c r="M55" s="106"/>
      <c r="N55" s="106"/>
      <c r="O55" s="106"/>
      <c r="P55" s="106"/>
      <c r="Q55" s="106"/>
      <c r="R55" s="106"/>
      <c r="S55" s="106"/>
      <c r="T55" s="106"/>
      <c r="U55" s="106"/>
      <c r="V55" s="106"/>
      <c r="W55" s="106"/>
      <c r="X55" s="106"/>
      <c r="Y55" s="106"/>
      <c r="Z55" s="106"/>
      <c r="AA55" s="106"/>
      <c r="AB55" s="106"/>
      <c r="AC55" s="106"/>
      <c r="AD55" s="106"/>
      <c r="AE55" s="96"/>
    </row>
    <row r="56" ht="15.75" customHeight="1">
      <c r="A56" s="104" t="s">
        <v>11</v>
      </c>
      <c r="B56" s="106" t="s">
        <v>164</v>
      </c>
      <c r="C56" s="108" t="s">
        <v>813</v>
      </c>
      <c r="D56" s="106"/>
      <c r="E56" s="106"/>
      <c r="F56" s="106"/>
      <c r="G56" s="106"/>
      <c r="H56" s="106" t="s">
        <v>819</v>
      </c>
      <c r="I56" s="106"/>
      <c r="J56" s="106"/>
      <c r="K56" s="106"/>
      <c r="L56" s="106"/>
      <c r="M56" s="106"/>
      <c r="N56" s="106"/>
      <c r="O56" s="106"/>
      <c r="P56" s="106"/>
      <c r="Q56" s="106"/>
      <c r="R56" s="106"/>
      <c r="S56" s="106"/>
      <c r="T56" s="106"/>
      <c r="U56" s="106"/>
      <c r="V56" s="106"/>
      <c r="W56" s="106"/>
      <c r="X56" s="106"/>
      <c r="Y56" s="106"/>
      <c r="Z56" s="106"/>
      <c r="AA56" s="106"/>
      <c r="AB56" s="106"/>
      <c r="AC56" s="106"/>
      <c r="AD56" s="106"/>
      <c r="AE56" s="96"/>
    </row>
    <row r="57" ht="15.75" customHeight="1">
      <c r="A57" s="104" t="s">
        <v>826</v>
      </c>
      <c r="B57" s="106" t="s">
        <v>164</v>
      </c>
      <c r="C57" s="108" t="s">
        <v>828</v>
      </c>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96"/>
    </row>
    <row r="58" ht="15.75" customHeight="1">
      <c r="A58" s="104" t="s">
        <v>834</v>
      </c>
      <c r="B58" s="106" t="s">
        <v>164</v>
      </c>
      <c r="C58" s="108" t="s">
        <v>838</v>
      </c>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96"/>
    </row>
    <row r="59" ht="15.75" customHeight="1">
      <c r="A59" s="104" t="s">
        <v>851</v>
      </c>
      <c r="B59" s="106" t="s">
        <v>164</v>
      </c>
      <c r="C59" s="108" t="s">
        <v>855</v>
      </c>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96"/>
    </row>
    <row r="60" ht="15.75" customHeight="1">
      <c r="A60" s="104" t="s">
        <v>44</v>
      </c>
      <c r="B60" s="106" t="s">
        <v>164</v>
      </c>
      <c r="C60" s="108" t="s">
        <v>871</v>
      </c>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96"/>
    </row>
    <row r="61" ht="15.75" customHeight="1">
      <c r="A61" s="104" t="s">
        <v>56</v>
      </c>
      <c r="B61" s="106" t="s">
        <v>164</v>
      </c>
      <c r="C61" s="108"/>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96"/>
    </row>
    <row r="62" ht="15.75" customHeight="1">
      <c r="A62" s="104" t="s">
        <v>66</v>
      </c>
      <c r="B62" s="106" t="s">
        <v>164</v>
      </c>
      <c r="C62" s="108"/>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96"/>
    </row>
    <row r="63" ht="15.75" customHeight="1">
      <c r="A63" s="104" t="s">
        <v>75</v>
      </c>
      <c r="B63" s="106" t="s">
        <v>164</v>
      </c>
      <c r="C63" s="108"/>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96"/>
    </row>
    <row r="64" ht="15.75" customHeight="1">
      <c r="A64" s="104" t="s">
        <v>912</v>
      </c>
      <c r="B64" s="106" t="s">
        <v>164</v>
      </c>
      <c r="C64" s="108"/>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96"/>
    </row>
    <row r="65" ht="15.75" customHeight="1">
      <c r="A65" s="104" t="s">
        <v>922</v>
      </c>
      <c r="B65" s="106" t="s">
        <v>164</v>
      </c>
      <c r="C65" s="108"/>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96"/>
    </row>
    <row r="66" ht="15.75" customHeight="1">
      <c r="A66" s="175" t="s">
        <v>203</v>
      </c>
      <c r="B66" s="106" t="s">
        <v>164</v>
      </c>
      <c r="C66" s="108"/>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96"/>
    </row>
    <row r="67" ht="15.75" customHeight="1">
      <c r="A67" s="104" t="s">
        <v>91</v>
      </c>
      <c r="B67" s="106" t="s">
        <v>164</v>
      </c>
      <c r="C67" s="108"/>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96"/>
    </row>
    <row r="68" ht="15.75" customHeight="1">
      <c r="A68" s="104" t="s">
        <v>953</v>
      </c>
      <c r="B68" s="106" t="s">
        <v>164</v>
      </c>
      <c r="C68" s="108"/>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96"/>
    </row>
    <row r="69" ht="15.75" customHeight="1">
      <c r="A69" s="104" t="s">
        <v>115</v>
      </c>
      <c r="B69" s="106" t="s">
        <v>164</v>
      </c>
      <c r="C69" s="108"/>
      <c r="D69" s="106"/>
      <c r="E69" s="106"/>
      <c r="F69" s="106"/>
      <c r="G69" s="106"/>
      <c r="H69" s="106"/>
      <c r="I69" s="106"/>
      <c r="J69" s="106"/>
      <c r="K69" s="106"/>
      <c r="L69" s="106"/>
      <c r="M69" s="106"/>
      <c r="N69" s="106"/>
      <c r="O69" s="106"/>
      <c r="P69" s="106"/>
      <c r="Q69" s="106"/>
      <c r="R69" s="106" t="s">
        <v>975</v>
      </c>
      <c r="S69" s="106"/>
      <c r="T69" s="106"/>
      <c r="U69" s="106"/>
      <c r="V69" s="106"/>
      <c r="W69" s="106"/>
      <c r="X69" s="106"/>
      <c r="Y69" s="106"/>
      <c r="Z69" s="106"/>
      <c r="AA69" s="106"/>
      <c r="AB69" s="106"/>
      <c r="AC69" s="106"/>
      <c r="AD69" s="106"/>
      <c r="AE69" s="96"/>
    </row>
    <row r="70" ht="15.75" customHeight="1">
      <c r="A70" s="104" t="s">
        <v>150</v>
      </c>
      <c r="B70" s="106" t="s">
        <v>164</v>
      </c>
      <c r="C70" s="108"/>
      <c r="D70" s="106"/>
      <c r="E70" s="106"/>
      <c r="F70" s="106"/>
      <c r="G70" s="106"/>
      <c r="H70" s="106"/>
      <c r="I70" s="106"/>
      <c r="J70" s="106"/>
      <c r="K70" s="106"/>
      <c r="L70" s="106"/>
      <c r="M70" s="106"/>
      <c r="N70" s="106"/>
      <c r="O70" s="106"/>
      <c r="P70" s="106"/>
      <c r="Q70" s="106"/>
      <c r="R70" s="106" t="s">
        <v>985</v>
      </c>
      <c r="S70" s="106"/>
      <c r="T70" s="106"/>
      <c r="U70" s="106"/>
      <c r="V70" s="106"/>
      <c r="W70" s="106"/>
      <c r="X70" s="106"/>
      <c r="Y70" s="106"/>
      <c r="Z70" s="106"/>
      <c r="AA70" s="106"/>
      <c r="AB70" s="106"/>
      <c r="AC70" s="106"/>
      <c r="AD70" s="106"/>
      <c r="AE70" s="96"/>
    </row>
    <row r="71" ht="15.75" customHeight="1">
      <c r="A71" s="104" t="s">
        <v>126</v>
      </c>
      <c r="B71" s="106" t="s">
        <v>164</v>
      </c>
      <c r="C71" s="108"/>
      <c r="D71" s="106"/>
      <c r="E71" s="106"/>
      <c r="F71" s="106"/>
      <c r="G71" s="106"/>
      <c r="H71" s="106" t="s">
        <v>997</v>
      </c>
      <c r="I71" s="106"/>
      <c r="J71" s="106"/>
      <c r="K71" s="106"/>
      <c r="L71" s="106"/>
      <c r="M71" s="106"/>
      <c r="N71" s="106"/>
      <c r="O71" s="106"/>
      <c r="P71" s="106"/>
      <c r="Q71" s="106"/>
      <c r="R71" s="106"/>
      <c r="S71" s="106"/>
      <c r="T71" s="106"/>
      <c r="U71" s="106"/>
      <c r="V71" s="106"/>
      <c r="W71" s="106"/>
      <c r="X71" s="106"/>
      <c r="Y71" s="106"/>
      <c r="Z71" s="106"/>
      <c r="AA71" s="106"/>
      <c r="AB71" s="106"/>
      <c r="AC71" s="106"/>
      <c r="AD71" s="106"/>
      <c r="AE71" s="96"/>
    </row>
    <row r="72" ht="15.75" customHeight="1">
      <c r="A72" s="106" t="s">
        <v>126</v>
      </c>
      <c r="B72" s="106" t="s">
        <v>164</v>
      </c>
      <c r="C72" s="108"/>
      <c r="D72" s="106"/>
      <c r="E72" s="106"/>
      <c r="F72" s="106"/>
      <c r="G72" s="106"/>
      <c r="H72" s="106" t="s">
        <v>1013</v>
      </c>
      <c r="I72" s="106"/>
      <c r="J72" s="106"/>
      <c r="K72" s="106"/>
      <c r="L72" s="106"/>
      <c r="M72" s="106"/>
      <c r="N72" s="106"/>
      <c r="O72" s="106"/>
      <c r="P72" s="106"/>
      <c r="Q72" s="106"/>
      <c r="R72" s="106"/>
      <c r="S72" s="106"/>
      <c r="T72" s="106"/>
      <c r="U72" s="106"/>
      <c r="V72" s="106"/>
      <c r="W72" s="106"/>
      <c r="X72" s="106"/>
      <c r="Y72" s="106"/>
      <c r="Z72" s="106"/>
      <c r="AA72" s="106"/>
      <c r="AB72" s="106"/>
      <c r="AC72" s="106"/>
      <c r="AD72" s="106"/>
      <c r="AE72" s="96"/>
    </row>
    <row r="73" ht="15.75" customHeight="1">
      <c r="A73" s="104" t="s">
        <v>1024</v>
      </c>
      <c r="B73" s="106" t="s">
        <v>164</v>
      </c>
      <c r="C73" s="108"/>
      <c r="D73" s="106"/>
      <c r="E73" s="106"/>
      <c r="F73" s="106"/>
      <c r="G73" s="106"/>
      <c r="H73" s="106" t="s">
        <v>1031</v>
      </c>
      <c r="I73" s="106"/>
      <c r="J73" s="106"/>
      <c r="K73" s="106"/>
      <c r="L73" s="106"/>
      <c r="M73" s="106"/>
      <c r="N73" s="106"/>
      <c r="O73" s="106"/>
      <c r="P73" s="106"/>
      <c r="Q73" s="106"/>
      <c r="R73" s="106"/>
      <c r="S73" s="106"/>
      <c r="T73" s="106"/>
      <c r="U73" s="106"/>
      <c r="V73" s="106"/>
      <c r="W73" s="106"/>
      <c r="X73" s="106"/>
      <c r="Y73" s="106"/>
      <c r="Z73" s="106"/>
      <c r="AA73" s="106"/>
      <c r="AB73" s="106"/>
      <c r="AC73" s="106"/>
      <c r="AD73" s="106"/>
      <c r="AE73" s="96"/>
    </row>
    <row r="74" ht="15.75" customHeight="1">
      <c r="A74" s="104" t="s">
        <v>1024</v>
      </c>
      <c r="B74" s="106" t="s">
        <v>164</v>
      </c>
      <c r="C74" s="108"/>
      <c r="D74" s="106"/>
      <c r="E74" s="106"/>
      <c r="F74" s="106"/>
      <c r="G74" s="106"/>
      <c r="H74" s="106" t="s">
        <v>1049</v>
      </c>
      <c r="I74" s="106"/>
      <c r="J74" s="106"/>
      <c r="K74" s="106"/>
      <c r="L74" s="106"/>
      <c r="M74" s="106"/>
      <c r="N74" s="106"/>
      <c r="O74" s="106"/>
      <c r="P74" s="106"/>
      <c r="Q74" s="106"/>
      <c r="R74" s="106"/>
      <c r="S74" s="106"/>
      <c r="T74" s="106"/>
      <c r="U74" s="106"/>
      <c r="V74" s="106"/>
      <c r="W74" s="106"/>
      <c r="X74" s="106"/>
      <c r="Y74" s="106"/>
      <c r="Z74" s="106"/>
      <c r="AA74" s="106"/>
      <c r="AB74" s="106"/>
      <c r="AC74" s="106"/>
      <c r="AD74" s="106"/>
      <c r="AE74" s="96"/>
    </row>
    <row r="75" ht="15.75" customHeight="1">
      <c r="A75" s="104" t="s">
        <v>1024</v>
      </c>
      <c r="B75" s="106" t="s">
        <v>164</v>
      </c>
      <c r="C75" s="108"/>
      <c r="D75" s="106"/>
      <c r="E75" s="106"/>
      <c r="F75" s="106"/>
      <c r="G75" s="106"/>
      <c r="H75" s="106" t="s">
        <v>1069</v>
      </c>
      <c r="I75" s="106"/>
      <c r="J75" s="106"/>
      <c r="K75" s="106"/>
      <c r="L75" s="106"/>
      <c r="M75" s="106"/>
      <c r="N75" s="106"/>
      <c r="O75" s="106"/>
      <c r="P75" s="106"/>
      <c r="Q75" s="106"/>
      <c r="R75" s="106"/>
      <c r="S75" s="106"/>
      <c r="T75" s="106"/>
      <c r="U75" s="106"/>
      <c r="V75" s="106"/>
      <c r="W75" s="106"/>
      <c r="X75" s="106"/>
      <c r="Y75" s="106"/>
      <c r="Z75" s="106"/>
      <c r="AA75" s="106"/>
      <c r="AB75" s="106"/>
      <c r="AC75" s="106"/>
      <c r="AD75" s="106"/>
      <c r="AE75" s="96"/>
    </row>
    <row r="76" ht="15.75" customHeight="1">
      <c r="A76" s="104" t="s">
        <v>161</v>
      </c>
      <c r="B76" s="106" t="s">
        <v>1073</v>
      </c>
      <c r="C76" s="108" t="s">
        <v>1075</v>
      </c>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96"/>
    </row>
    <row r="77" ht="15.75" customHeight="1">
      <c r="A77" s="106" t="s">
        <v>1095</v>
      </c>
      <c r="B77" s="106"/>
      <c r="C77" s="108"/>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96"/>
    </row>
    <row r="78" ht="15.75" customHeight="1">
      <c r="A78" s="106" t="s">
        <v>343</v>
      </c>
      <c r="B78" s="106" t="s">
        <v>1073</v>
      </c>
      <c r="C78" s="108"/>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96"/>
    </row>
    <row r="79" ht="15.75" customHeight="1">
      <c r="A79" s="104" t="s">
        <v>807</v>
      </c>
      <c r="B79" s="106" t="s">
        <v>1113</v>
      </c>
      <c r="C79" s="108" t="s">
        <v>1114</v>
      </c>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96"/>
    </row>
    <row r="80" ht="15.75" customHeight="1">
      <c r="A80" s="106" t="s">
        <v>1095</v>
      </c>
      <c r="B80" s="106"/>
      <c r="C80" s="108"/>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96"/>
    </row>
    <row r="81" ht="15.75" customHeight="1">
      <c r="A81" s="106" t="s">
        <v>842</v>
      </c>
      <c r="B81" s="106" t="s">
        <v>1113</v>
      </c>
      <c r="C81" s="108"/>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96"/>
    </row>
    <row r="82" ht="15.75" customHeight="1">
      <c r="A82" s="104" t="s">
        <v>807</v>
      </c>
      <c r="B82" s="106" t="s">
        <v>1113</v>
      </c>
      <c r="C82" s="108" t="s">
        <v>1160</v>
      </c>
      <c r="D82" s="106"/>
      <c r="E82" s="106"/>
      <c r="F82" s="106"/>
      <c r="G82" s="106"/>
      <c r="H82" s="106"/>
      <c r="I82" s="106"/>
      <c r="J82" s="106"/>
      <c r="K82" s="106"/>
      <c r="L82" s="106"/>
      <c r="M82" s="106"/>
      <c r="N82" s="106"/>
      <c r="O82" s="106"/>
      <c r="P82" s="106"/>
      <c r="Q82" s="106"/>
      <c r="R82" s="106"/>
      <c r="S82" s="186">
        <v>3.0</v>
      </c>
      <c r="T82" s="106"/>
      <c r="U82" s="106"/>
      <c r="V82" s="106"/>
      <c r="W82" s="106"/>
      <c r="X82" s="106"/>
      <c r="Y82" s="106"/>
      <c r="Z82" s="106"/>
      <c r="AA82" s="106"/>
      <c r="AB82" s="106"/>
      <c r="AC82" s="106"/>
      <c r="AD82" s="106"/>
      <c r="AE82" s="96"/>
    </row>
    <row r="83" ht="15.75" customHeight="1">
      <c r="A83" s="106" t="s">
        <v>1095</v>
      </c>
      <c r="B83" s="106"/>
      <c r="C83" s="108"/>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96"/>
    </row>
    <row r="84" ht="15.75" customHeight="1">
      <c r="A84" s="106" t="s">
        <v>842</v>
      </c>
      <c r="B84" s="106" t="s">
        <v>1113</v>
      </c>
      <c r="C84" s="108"/>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96"/>
    </row>
    <row r="85" ht="15.75" customHeight="1">
      <c r="A85" s="104" t="s">
        <v>1200</v>
      </c>
      <c r="B85" s="106" t="s">
        <v>164</v>
      </c>
      <c r="C85" s="108"/>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96"/>
    </row>
    <row r="86" ht="15.75" customHeight="1">
      <c r="A86" s="104" t="s">
        <v>1219</v>
      </c>
      <c r="B86" s="106" t="s">
        <v>164</v>
      </c>
      <c r="C86" s="108"/>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96"/>
    </row>
    <row r="87" ht="15.75" customHeight="1">
      <c r="A87" s="104" t="s">
        <v>1235</v>
      </c>
      <c r="B87" s="106" t="s">
        <v>164</v>
      </c>
      <c r="C87" s="108"/>
      <c r="D87" s="106"/>
      <c r="E87" s="106"/>
      <c r="F87" s="106"/>
      <c r="G87" s="106"/>
      <c r="H87" s="106" t="s">
        <v>1240</v>
      </c>
      <c r="I87" s="106"/>
      <c r="J87" s="106"/>
      <c r="K87" s="106"/>
      <c r="L87" s="106"/>
      <c r="M87" s="106"/>
      <c r="N87" s="106"/>
      <c r="O87" s="106"/>
      <c r="P87" s="106"/>
      <c r="Q87" s="106"/>
      <c r="R87" s="106"/>
      <c r="S87" s="106"/>
      <c r="T87" s="106"/>
      <c r="U87" s="106"/>
      <c r="V87" s="106"/>
      <c r="W87" s="106"/>
      <c r="X87" s="106"/>
      <c r="Y87" s="106"/>
      <c r="Z87" s="106"/>
      <c r="AA87" s="106"/>
      <c r="AB87" s="106"/>
      <c r="AC87" s="106"/>
      <c r="AD87" s="106"/>
      <c r="AE87" s="96"/>
    </row>
    <row r="88" ht="15.75" customHeight="1">
      <c r="A88" s="104" t="s">
        <v>1252</v>
      </c>
      <c r="B88" s="106" t="s">
        <v>164</v>
      </c>
      <c r="C88" s="108"/>
      <c r="D88" s="106"/>
      <c r="E88" s="106"/>
      <c r="F88" s="106"/>
      <c r="G88" s="106"/>
      <c r="H88" s="106" t="s">
        <v>1265</v>
      </c>
      <c r="I88" s="106"/>
      <c r="J88" s="106"/>
      <c r="K88" s="106"/>
      <c r="L88" s="106"/>
      <c r="M88" s="106"/>
      <c r="N88" s="106"/>
      <c r="O88" s="106"/>
      <c r="P88" s="106"/>
      <c r="Q88" s="106"/>
      <c r="R88" s="106"/>
      <c r="S88" s="106"/>
      <c r="T88" s="106"/>
      <c r="U88" s="106"/>
      <c r="V88" s="106"/>
      <c r="W88" s="106"/>
      <c r="X88" s="106"/>
      <c r="Y88" s="106"/>
      <c r="Z88" s="106"/>
      <c r="AA88" s="106"/>
      <c r="AB88" s="106"/>
      <c r="AC88" s="106"/>
      <c r="AD88" s="106"/>
      <c r="AE88" s="96"/>
    </row>
    <row r="89" ht="15.75" customHeight="1">
      <c r="A89" s="104" t="s">
        <v>1276</v>
      </c>
      <c r="B89" s="106" t="s">
        <v>164</v>
      </c>
      <c r="C89" s="108"/>
      <c r="D89" s="106"/>
      <c r="E89" s="106"/>
      <c r="F89" s="106"/>
      <c r="G89" s="106"/>
      <c r="H89" s="106" t="s">
        <v>1288</v>
      </c>
      <c r="I89" s="106"/>
      <c r="J89" s="106"/>
      <c r="K89" s="106"/>
      <c r="L89" s="106"/>
      <c r="M89" s="106"/>
      <c r="N89" s="106"/>
      <c r="O89" s="106"/>
      <c r="P89" s="106"/>
      <c r="Q89" s="106"/>
      <c r="R89" s="106"/>
      <c r="S89" s="106"/>
      <c r="T89" s="106"/>
      <c r="U89" s="106"/>
      <c r="V89" s="106"/>
      <c r="W89" s="106"/>
      <c r="X89" s="106"/>
      <c r="Y89" s="106"/>
      <c r="Z89" s="106"/>
      <c r="AA89" s="106"/>
      <c r="AB89" s="106"/>
      <c r="AC89" s="106"/>
      <c r="AD89" s="106"/>
      <c r="AE89" s="96"/>
    </row>
    <row r="90" ht="15.75" customHeight="1">
      <c r="C90" s="14"/>
    </row>
    <row r="91" ht="15.75" customHeight="1">
      <c r="A91" s="189" t="s">
        <v>1301</v>
      </c>
      <c r="B91" s="190"/>
      <c r="C91" s="191"/>
      <c r="D91" s="192"/>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ht="15.75" customHeight="1">
      <c r="A92" s="193" t="s">
        <v>1317</v>
      </c>
      <c r="B92" s="194"/>
      <c r="C92" s="190"/>
      <c r="D92" s="192"/>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ht="15.75" customHeight="1">
      <c r="C93" s="14"/>
    </row>
    <row r="94" ht="15.75" customHeight="1">
      <c r="A94" s="195" t="s">
        <v>1326</v>
      </c>
      <c r="B94" s="195" t="s">
        <v>1332</v>
      </c>
      <c r="C94" s="195" t="s">
        <v>1336</v>
      </c>
      <c r="D94" s="195" t="s">
        <v>1337</v>
      </c>
    </row>
    <row r="95" ht="15.75" customHeight="1">
      <c r="A95" s="196" t="s">
        <v>1338</v>
      </c>
      <c r="B95" s="196" t="s">
        <v>1339</v>
      </c>
      <c r="C95" s="196" t="s">
        <v>1340</v>
      </c>
      <c r="D95" s="196">
        <v>2.0</v>
      </c>
    </row>
    <row r="96" ht="15.75" customHeight="1">
      <c r="A96" s="196" t="s">
        <v>1341</v>
      </c>
      <c r="B96" s="196" t="s">
        <v>1342</v>
      </c>
      <c r="C96" s="197" t="str">
        <f>"3 - 2"</f>
        <v>3 - 2</v>
      </c>
      <c r="D96" s="196">
        <v>1.0</v>
      </c>
    </row>
    <row r="97" ht="15.75" customHeight="1">
      <c r="A97" s="196" t="s">
        <v>1346</v>
      </c>
      <c r="B97" s="196" t="s">
        <v>1347</v>
      </c>
      <c r="C97" s="196" t="s">
        <v>1348</v>
      </c>
      <c r="D97" s="196">
        <v>6.0</v>
      </c>
    </row>
    <row r="98" ht="15.75" customHeight="1">
      <c r="A98" s="196" t="s">
        <v>1349</v>
      </c>
      <c r="B98" s="196" t="s">
        <v>1350</v>
      </c>
      <c r="C98" s="196" t="s">
        <v>1352</v>
      </c>
      <c r="D98" s="196">
        <v>5.0</v>
      </c>
    </row>
    <row r="99" ht="15.75" customHeight="1">
      <c r="A99" s="196" t="s">
        <v>1358</v>
      </c>
      <c r="B99" s="196" t="s">
        <v>1359</v>
      </c>
      <c r="C99" s="196" t="s">
        <v>1360</v>
      </c>
      <c r="D99" s="196">
        <v>1.0</v>
      </c>
    </row>
    <row r="100" ht="15.75" customHeight="1">
      <c r="A100" s="196" t="s">
        <v>1362</v>
      </c>
      <c r="B100" s="196" t="s">
        <v>1363</v>
      </c>
      <c r="C100" s="196" t="s">
        <v>1364</v>
      </c>
      <c r="D100" s="196" t="s">
        <v>1365</v>
      </c>
    </row>
    <row r="101" ht="15.75" customHeight="1">
      <c r="A101" s="196" t="s">
        <v>1366</v>
      </c>
      <c r="B101" s="196" t="s">
        <v>1367</v>
      </c>
      <c r="C101" s="196" t="s">
        <v>1368</v>
      </c>
      <c r="D101" s="196" t="s">
        <v>1365</v>
      </c>
    </row>
    <row r="102" ht="15.75" customHeight="1">
      <c r="A102" s="196" t="s">
        <v>1375</v>
      </c>
      <c r="B102" s="196" t="s">
        <v>1376</v>
      </c>
      <c r="C102" s="196" t="s">
        <v>1377</v>
      </c>
      <c r="D102" s="196" t="s">
        <v>1365</v>
      </c>
    </row>
    <row r="103" ht="15.75" customHeight="1">
      <c r="A103" s="196" t="s">
        <v>1382</v>
      </c>
      <c r="B103" s="196" t="s">
        <v>1383</v>
      </c>
      <c r="C103" s="196" t="s">
        <v>1384</v>
      </c>
      <c r="D103" s="196" t="s">
        <v>1365</v>
      </c>
    </row>
    <row r="104" ht="15.75" customHeight="1">
      <c r="A104" s="196" t="s">
        <v>1386</v>
      </c>
      <c r="B104" s="196" t="s">
        <v>1387</v>
      </c>
      <c r="C104" s="196" t="s">
        <v>1388</v>
      </c>
      <c r="D104" s="196" t="s">
        <v>1365</v>
      </c>
    </row>
    <row r="105" ht="15.75" customHeight="1">
      <c r="A105" s="196" t="s">
        <v>1390</v>
      </c>
      <c r="B105" s="196" t="s">
        <v>1392</v>
      </c>
      <c r="C105" s="196" t="s">
        <v>1394</v>
      </c>
      <c r="D105" s="196" t="s">
        <v>1365</v>
      </c>
    </row>
    <row r="106" ht="15.75" customHeight="1">
      <c r="A106" s="196" t="s">
        <v>1395</v>
      </c>
      <c r="B106" s="196" t="s">
        <v>1396</v>
      </c>
      <c r="C106" s="196" t="s">
        <v>1397</v>
      </c>
      <c r="D106" s="196" t="s">
        <v>1365</v>
      </c>
    </row>
    <row r="107" ht="15.75" customHeight="1">
      <c r="A107" s="196" t="s">
        <v>1401</v>
      </c>
      <c r="B107" s="196" t="s">
        <v>1402</v>
      </c>
      <c r="C107" s="196" t="s">
        <v>1403</v>
      </c>
      <c r="D107" s="196" t="s">
        <v>1365</v>
      </c>
    </row>
    <row r="108" ht="15.75" customHeight="1">
      <c r="A108" s="196" t="s">
        <v>1407</v>
      </c>
      <c r="B108" s="196" t="s">
        <v>1410</v>
      </c>
      <c r="C108" s="196" t="s">
        <v>1412</v>
      </c>
      <c r="D108" s="196" t="s">
        <v>1414</v>
      </c>
    </row>
    <row r="109" ht="15.75" customHeight="1">
      <c r="A109" s="198"/>
      <c r="B109" s="198"/>
      <c r="C109" s="199"/>
      <c r="D109" s="198"/>
    </row>
    <row r="110" ht="15.75" customHeight="1">
      <c r="A110" s="198"/>
      <c r="B110" s="195" t="s">
        <v>1415</v>
      </c>
      <c r="C110" s="195" t="s">
        <v>1336</v>
      </c>
      <c r="D110" s="198"/>
    </row>
    <row r="111" ht="15.75" customHeight="1">
      <c r="A111" s="198"/>
      <c r="B111" s="196" t="s">
        <v>1419</v>
      </c>
      <c r="C111" s="196" t="s">
        <v>1420</v>
      </c>
      <c r="D111" s="198"/>
    </row>
    <row r="112" ht="15.75" customHeight="1">
      <c r="A112" s="198"/>
      <c r="B112" s="196" t="s">
        <v>1425</v>
      </c>
      <c r="C112" s="200" t="s">
        <v>1427</v>
      </c>
      <c r="D112" s="198"/>
    </row>
    <row r="113" ht="15.75" customHeight="1">
      <c r="A113" s="198"/>
      <c r="B113" s="201" t="s">
        <v>1431</v>
      </c>
      <c r="C113" s="202" t="s">
        <v>1432</v>
      </c>
      <c r="D113" s="198"/>
    </row>
    <row r="114" ht="15.75" customHeight="1">
      <c r="A114" s="198"/>
      <c r="B114" s="202" t="s">
        <v>1432</v>
      </c>
      <c r="C114" s="202" t="s">
        <v>1432</v>
      </c>
      <c r="D114" s="198"/>
    </row>
    <row r="115" ht="15.75" customHeight="1">
      <c r="A115" s="198"/>
      <c r="B115" s="202" t="s">
        <v>1438</v>
      </c>
      <c r="C115" s="202" t="s">
        <v>1439</v>
      </c>
      <c r="D115" s="198"/>
    </row>
    <row r="116" ht="15.75" customHeight="1">
      <c r="A116" s="198"/>
      <c r="B116" s="202" t="s">
        <v>1440</v>
      </c>
      <c r="C116" s="202" t="s">
        <v>1441</v>
      </c>
      <c r="D116" s="198"/>
    </row>
    <row r="117" ht="15.75" customHeight="1">
      <c r="A117" s="198"/>
      <c r="B117" s="202" t="s">
        <v>1443</v>
      </c>
      <c r="C117" s="202" t="s">
        <v>1445</v>
      </c>
      <c r="D117" s="198"/>
    </row>
    <row r="118" ht="15.75" customHeight="1">
      <c r="A118" s="198"/>
      <c r="B118" s="202" t="s">
        <v>1448</v>
      </c>
      <c r="C118" s="202" t="s">
        <v>1449</v>
      </c>
      <c r="D118" s="198"/>
    </row>
    <row r="119" ht="15.75" customHeight="1">
      <c r="A119" s="198"/>
      <c r="B119" s="202" t="s">
        <v>1454</v>
      </c>
      <c r="C119" s="202" t="s">
        <v>1456</v>
      </c>
      <c r="D119" s="198"/>
    </row>
    <row r="120" ht="15.75" customHeight="1">
      <c r="A120" s="198"/>
      <c r="B120" s="202" t="s">
        <v>1458</v>
      </c>
      <c r="C120" s="202" t="s">
        <v>1459</v>
      </c>
      <c r="D120" s="198"/>
    </row>
    <row r="121" ht="15.75" customHeight="1">
      <c r="A121" s="198"/>
      <c r="B121" s="202" t="s">
        <v>1466</v>
      </c>
      <c r="C121" s="202" t="s">
        <v>1467</v>
      </c>
      <c r="D121" s="198"/>
    </row>
    <row r="122" ht="15.75" customHeight="1">
      <c r="A122" s="198"/>
      <c r="B122" s="202" t="s">
        <v>1471</v>
      </c>
      <c r="C122" s="202" t="s">
        <v>1471</v>
      </c>
      <c r="D122" s="198"/>
    </row>
    <row r="123" ht="15.75" customHeight="1">
      <c r="A123" s="198"/>
      <c r="B123" s="202" t="s">
        <v>1472</v>
      </c>
      <c r="C123" s="202" t="s">
        <v>1476</v>
      </c>
      <c r="D123" s="198"/>
    </row>
    <row r="124" ht="15.75" customHeight="1">
      <c r="A124" s="198"/>
      <c r="B124" s="202" t="s">
        <v>1482</v>
      </c>
      <c r="C124" s="202" t="s">
        <v>1483</v>
      </c>
      <c r="D124" s="198"/>
    </row>
    <row r="125" ht="15.75" customHeight="1">
      <c r="A125" s="198"/>
      <c r="B125" s="202" t="s">
        <v>1486</v>
      </c>
      <c r="C125" s="202" t="s">
        <v>1487</v>
      </c>
      <c r="D125" s="198"/>
    </row>
    <row r="126" ht="15.75" customHeight="1">
      <c r="A126" s="198"/>
      <c r="B126" s="202" t="s">
        <v>1488</v>
      </c>
      <c r="C126" s="202" t="s">
        <v>1489</v>
      </c>
      <c r="D126" s="198"/>
    </row>
    <row r="127" ht="15.75" customHeight="1">
      <c r="A127" s="198"/>
      <c r="B127" s="202" t="s">
        <v>1490</v>
      </c>
      <c r="C127" s="202" t="s">
        <v>1492</v>
      </c>
      <c r="D127" s="198"/>
    </row>
    <row r="128" ht="15.75" customHeight="1">
      <c r="A128" s="198"/>
      <c r="B128" s="202" t="s">
        <v>1498</v>
      </c>
      <c r="C128" s="202" t="s">
        <v>1501</v>
      </c>
      <c r="D128" s="198"/>
    </row>
    <row r="129" ht="15.75" customHeight="1">
      <c r="A129" s="198"/>
      <c r="B129" s="202" t="s">
        <v>1502</v>
      </c>
      <c r="C129" s="202" t="s">
        <v>1504</v>
      </c>
      <c r="D129" s="198"/>
    </row>
    <row r="130" ht="15.75" customHeight="1">
      <c r="A130" s="198"/>
      <c r="B130" s="202" t="s">
        <v>1509</v>
      </c>
      <c r="C130" s="202" t="s">
        <v>1512</v>
      </c>
      <c r="D130" s="198"/>
    </row>
    <row r="131" ht="15.75" customHeight="1">
      <c r="A131" s="198"/>
      <c r="B131" s="202" t="s">
        <v>1513</v>
      </c>
      <c r="C131" s="202" t="s">
        <v>1516</v>
      </c>
      <c r="D131" s="198"/>
    </row>
    <row r="132" ht="15.75" customHeight="1">
      <c r="A132" s="198"/>
      <c r="B132" s="202" t="s">
        <v>1521</v>
      </c>
      <c r="C132" s="202" t="s">
        <v>1523</v>
      </c>
      <c r="D132" s="198"/>
    </row>
    <row r="133" ht="15.75" customHeight="1">
      <c r="A133" s="198"/>
      <c r="B133" s="202" t="s">
        <v>1524</v>
      </c>
      <c r="C133" s="202" t="s">
        <v>1527</v>
      </c>
      <c r="D133" s="198"/>
    </row>
    <row r="134" ht="15.75" customHeight="1">
      <c r="A134" s="198"/>
      <c r="B134" s="211" t="s">
        <v>1530</v>
      </c>
      <c r="C134" s="211" t="s">
        <v>1531</v>
      </c>
      <c r="D134" s="198"/>
    </row>
    <row r="135" ht="15.75" customHeight="1">
      <c r="A135" s="198"/>
      <c r="B135" s="211" t="s">
        <v>1532</v>
      </c>
      <c r="C135" s="212" t="s">
        <v>156</v>
      </c>
      <c r="D135" s="198"/>
    </row>
    <row r="136" ht="15.75" customHeight="1">
      <c r="A136" s="198"/>
      <c r="B136" s="211" t="s">
        <v>1534</v>
      </c>
      <c r="C136" s="211" t="s">
        <v>1534</v>
      </c>
      <c r="D136" s="198"/>
    </row>
    <row r="137" ht="15.75" customHeight="1">
      <c r="A137" s="198"/>
      <c r="B137" s="211" t="s">
        <v>123</v>
      </c>
      <c r="C137" s="211" t="s">
        <v>123</v>
      </c>
      <c r="D137" s="198"/>
    </row>
    <row r="138" ht="15.75" customHeight="1">
      <c r="A138" s="198"/>
      <c r="B138" s="211" t="s">
        <v>1544</v>
      </c>
      <c r="C138" s="211" t="s">
        <v>1547</v>
      </c>
      <c r="D138" s="198"/>
    </row>
    <row r="139" ht="15.75" customHeight="1">
      <c r="A139" s="198"/>
      <c r="B139" s="211" t="s">
        <v>1555</v>
      </c>
      <c r="C139" s="211" t="s">
        <v>1557</v>
      </c>
      <c r="D139" s="198"/>
    </row>
    <row r="140" ht="15.75" customHeight="1">
      <c r="A140" s="198"/>
      <c r="B140" s="211" t="s">
        <v>1558</v>
      </c>
      <c r="C140" s="211" t="s">
        <v>1559</v>
      </c>
      <c r="D140" s="198"/>
    </row>
    <row r="141" ht="15.75" customHeight="1">
      <c r="A141" s="198"/>
      <c r="B141" s="211" t="s">
        <v>1563</v>
      </c>
      <c r="C141" s="211" t="s">
        <v>1564</v>
      </c>
      <c r="D141" s="198"/>
    </row>
    <row r="142" ht="15.75" customHeight="1">
      <c r="A142" s="198"/>
      <c r="B142" s="211" t="s">
        <v>1565</v>
      </c>
      <c r="C142" s="211" t="s">
        <v>1567</v>
      </c>
      <c r="D142" s="198"/>
    </row>
    <row r="143" ht="15.75" customHeight="1">
      <c r="A143" s="198"/>
      <c r="B143" s="211" t="s">
        <v>1574</v>
      </c>
      <c r="C143" s="211" t="s">
        <v>1574</v>
      </c>
      <c r="D143" s="198"/>
    </row>
    <row r="144" ht="15.75" customHeight="1">
      <c r="A144" s="213"/>
      <c r="B144" s="214" t="s">
        <v>1582</v>
      </c>
      <c r="C144" s="214" t="s">
        <v>1583</v>
      </c>
      <c r="D144" s="213"/>
    </row>
    <row r="145" ht="15.75" customHeight="1">
      <c r="A145" s="16"/>
      <c r="B145" s="215"/>
      <c r="C145" s="215"/>
      <c r="D145" s="16"/>
      <c r="E145" s="16"/>
    </row>
    <row r="146" ht="15.75" customHeight="1">
      <c r="A146" s="16"/>
      <c r="B146" s="215"/>
      <c r="C146" s="215"/>
      <c r="D146" s="16"/>
      <c r="E146" s="16"/>
    </row>
    <row r="147" ht="15.75" customHeight="1">
      <c r="A147" s="16"/>
      <c r="B147" s="215"/>
      <c r="C147" s="215"/>
      <c r="D147" s="16"/>
      <c r="E147" s="16"/>
    </row>
    <row r="148" ht="15.75" customHeight="1">
      <c r="A148" s="16"/>
      <c r="B148" s="215"/>
      <c r="C148" s="215"/>
      <c r="D148" s="16"/>
      <c r="E148" s="16"/>
    </row>
    <row r="149" ht="15.75" customHeight="1">
      <c r="A149" s="16"/>
      <c r="B149" s="215"/>
      <c r="C149" s="215"/>
      <c r="D149" s="16"/>
      <c r="E149" s="16"/>
    </row>
    <row r="150" ht="15.75" customHeight="1">
      <c r="A150" s="16"/>
      <c r="B150" s="215"/>
      <c r="C150" s="215"/>
      <c r="D150" s="16"/>
      <c r="E150" s="16"/>
    </row>
    <row r="151" ht="15.75" customHeight="1">
      <c r="A151" s="16"/>
      <c r="B151" s="215"/>
      <c r="C151" s="215"/>
      <c r="D151" s="16"/>
      <c r="E151" s="16"/>
    </row>
    <row r="152" ht="15.75" customHeight="1">
      <c r="A152" s="16"/>
      <c r="B152" s="215"/>
      <c r="C152" s="215"/>
      <c r="D152" s="16"/>
      <c r="E152" s="16"/>
    </row>
    <row r="153" ht="15.75" customHeight="1">
      <c r="A153" s="16"/>
      <c r="B153" s="215"/>
      <c r="C153" s="215"/>
      <c r="D153" s="16"/>
      <c r="E153" s="16"/>
    </row>
    <row r="154" ht="15.75" customHeight="1">
      <c r="A154" s="16"/>
      <c r="B154" s="215"/>
      <c r="C154" s="215"/>
      <c r="D154" s="16"/>
      <c r="E154" s="16"/>
    </row>
    <row r="155" ht="15.75" customHeight="1">
      <c r="A155" s="16"/>
      <c r="B155" s="215"/>
      <c r="C155" s="215"/>
      <c r="D155" s="16"/>
      <c r="E155" s="16"/>
    </row>
    <row r="156" ht="15.75" customHeight="1">
      <c r="A156" s="16"/>
      <c r="B156" s="16"/>
      <c r="C156" s="14"/>
      <c r="D156" s="16"/>
      <c r="E156" s="16"/>
    </row>
    <row r="157" ht="15.75" customHeight="1">
      <c r="A157" s="16"/>
      <c r="B157" s="16"/>
      <c r="C157" s="14"/>
      <c r="D157" s="16"/>
      <c r="E157" s="16"/>
    </row>
    <row r="158" ht="15.75" customHeight="1">
      <c r="A158" s="16"/>
      <c r="B158" s="16"/>
      <c r="C158" s="14"/>
      <c r="D158" s="16"/>
      <c r="E158" s="16"/>
    </row>
    <row r="159" ht="15.75" customHeight="1">
      <c r="A159" s="16"/>
      <c r="B159" s="16"/>
      <c r="C159" s="14"/>
      <c r="D159" s="16"/>
      <c r="E159" s="16"/>
    </row>
    <row r="160" ht="15.75" customHeight="1">
      <c r="A160" s="16"/>
      <c r="B160" s="16"/>
      <c r="C160" s="14"/>
      <c r="D160" s="16"/>
      <c r="E160" s="16"/>
    </row>
    <row r="161" ht="15.75" customHeight="1">
      <c r="C161" s="14"/>
    </row>
    <row r="162" ht="15.75" customHeight="1">
      <c r="C162" s="14"/>
    </row>
    <row r="163" ht="15.75" customHeight="1">
      <c r="C163" s="14"/>
    </row>
    <row r="164" ht="15.75" customHeight="1">
      <c r="C164" s="14"/>
    </row>
    <row r="165" ht="15.75" customHeight="1">
      <c r="C165" s="14"/>
    </row>
    <row r="166" ht="15.75" customHeight="1">
      <c r="C166" s="14"/>
    </row>
    <row r="167" ht="15.75" customHeight="1">
      <c r="C167" s="14"/>
    </row>
    <row r="168" ht="15.75" customHeight="1">
      <c r="C168" s="14"/>
    </row>
    <row r="169" ht="15.75" customHeight="1">
      <c r="C169" s="14"/>
    </row>
    <row r="170" ht="15.75" customHeight="1">
      <c r="C170" s="14"/>
    </row>
    <row r="171" ht="15.75" customHeight="1">
      <c r="C171" s="14"/>
    </row>
    <row r="172" ht="15.75" customHeight="1">
      <c r="C172" s="14"/>
    </row>
    <row r="173" ht="15.75" customHeight="1">
      <c r="C173" s="14"/>
    </row>
    <row r="174" ht="15.75" customHeight="1">
      <c r="C174" s="14"/>
    </row>
    <row r="175" ht="15.75" customHeight="1">
      <c r="C175" s="14"/>
    </row>
    <row r="176" ht="15.75" customHeight="1">
      <c r="C176" s="14"/>
    </row>
    <row r="177" ht="15.75" customHeight="1">
      <c r="C177" s="14"/>
    </row>
    <row r="178" ht="15.75" customHeight="1">
      <c r="C178" s="14"/>
    </row>
    <row r="179" ht="15.75" customHeight="1">
      <c r="C179" s="14"/>
    </row>
    <row r="180" ht="15.75" customHeight="1">
      <c r="C180" s="14"/>
    </row>
    <row r="181" ht="15.75" customHeight="1">
      <c r="C181" s="14"/>
    </row>
    <row r="182" ht="15.75" customHeight="1">
      <c r="C182" s="14"/>
    </row>
    <row r="183" ht="15.75" customHeight="1">
      <c r="C183" s="14"/>
    </row>
    <row r="184" ht="15.75" customHeight="1">
      <c r="C184" s="14"/>
    </row>
    <row r="185" ht="15.75" customHeight="1">
      <c r="C185" s="14"/>
    </row>
    <row r="186" ht="15.75" customHeight="1">
      <c r="C186" s="14"/>
    </row>
    <row r="187" ht="15.75" customHeight="1">
      <c r="C187" s="14"/>
    </row>
    <row r="188" ht="15.75" customHeight="1">
      <c r="C188" s="14"/>
    </row>
    <row r="189" ht="15.75" customHeight="1">
      <c r="C189" s="14"/>
    </row>
    <row r="190" ht="15.75" customHeight="1">
      <c r="C190" s="14"/>
    </row>
    <row r="191" ht="15.75" customHeight="1">
      <c r="C191" s="14"/>
    </row>
    <row r="192" ht="15.75" customHeight="1">
      <c r="C192" s="14"/>
    </row>
    <row r="193" ht="15.75" customHeight="1">
      <c r="C193" s="14"/>
    </row>
    <row r="194" ht="15.75" customHeight="1">
      <c r="C194" s="14"/>
    </row>
    <row r="195" ht="15.75" customHeight="1">
      <c r="C195" s="14"/>
    </row>
    <row r="196" ht="15.75" customHeight="1">
      <c r="C196" s="14"/>
    </row>
    <row r="197" ht="15.75" customHeight="1">
      <c r="C197" s="14"/>
    </row>
    <row r="198" ht="15.75" customHeight="1">
      <c r="C198" s="14"/>
    </row>
    <row r="199" ht="15.75" customHeight="1">
      <c r="C199" s="14"/>
    </row>
    <row r="200" ht="15.75" customHeight="1">
      <c r="C200" s="14"/>
    </row>
    <row r="201" ht="15.75" customHeight="1">
      <c r="C201" s="14"/>
    </row>
    <row r="202" ht="15.75" customHeight="1">
      <c r="C202" s="14"/>
    </row>
    <row r="203" ht="15.75" customHeight="1">
      <c r="C203" s="14"/>
    </row>
    <row r="204" ht="15.75" customHeight="1">
      <c r="C204" s="14"/>
    </row>
    <row r="205" ht="15.75" customHeight="1">
      <c r="C205" s="14"/>
    </row>
    <row r="206" ht="15.75" customHeight="1">
      <c r="C206" s="14"/>
    </row>
    <row r="207" ht="15.75" customHeight="1">
      <c r="C207" s="14"/>
    </row>
    <row r="208" ht="15.75" customHeight="1">
      <c r="C208" s="14"/>
    </row>
    <row r="209" ht="15.75" customHeight="1">
      <c r="C209" s="14"/>
    </row>
    <row r="210" ht="15.75" customHeight="1">
      <c r="C210" s="14"/>
    </row>
    <row r="211" ht="15.75" customHeight="1">
      <c r="C211" s="14"/>
    </row>
    <row r="212" ht="15.75" customHeight="1">
      <c r="C212" s="14"/>
    </row>
    <row r="213" ht="15.75" customHeight="1">
      <c r="C213" s="14"/>
    </row>
    <row r="214" ht="15.75" customHeight="1">
      <c r="C214" s="14"/>
    </row>
    <row r="215" ht="15.75" customHeight="1">
      <c r="C215" s="14"/>
    </row>
    <row r="216" ht="15.75" customHeight="1">
      <c r="C216" s="14"/>
    </row>
    <row r="217" ht="15.75" customHeight="1">
      <c r="C217" s="14"/>
    </row>
    <row r="218" ht="15.75" customHeight="1">
      <c r="C218" s="14"/>
    </row>
    <row r="219" ht="15.75" customHeight="1">
      <c r="C219" s="14"/>
    </row>
    <row r="220" ht="15.75" customHeight="1">
      <c r="C220" s="14"/>
    </row>
    <row r="221" ht="15.75" customHeight="1">
      <c r="C221" s="14"/>
    </row>
    <row r="222" ht="15.75" customHeight="1">
      <c r="C222" s="14"/>
    </row>
    <row r="223" ht="15.75" customHeight="1">
      <c r="C223" s="14"/>
    </row>
    <row r="224" ht="15.75" customHeight="1">
      <c r="C224" s="14"/>
    </row>
    <row r="225" ht="15.75" customHeight="1">
      <c r="C225" s="14"/>
    </row>
    <row r="226" ht="15.75" customHeight="1">
      <c r="C226" s="14"/>
    </row>
    <row r="227" ht="15.75" customHeight="1">
      <c r="C227" s="14"/>
    </row>
    <row r="228" ht="15.75" customHeight="1">
      <c r="C228" s="14"/>
    </row>
    <row r="229" ht="15.75" customHeight="1">
      <c r="C229" s="14"/>
    </row>
    <row r="230" ht="15.75" customHeight="1">
      <c r="C230" s="14"/>
    </row>
    <row r="231" ht="15.75" customHeight="1">
      <c r="C231" s="14"/>
    </row>
    <row r="232" ht="15.75" customHeight="1">
      <c r="C232" s="14"/>
    </row>
    <row r="233" ht="15.75" customHeight="1">
      <c r="C233" s="14"/>
    </row>
    <row r="234" ht="15.75" customHeight="1">
      <c r="C234" s="14"/>
    </row>
    <row r="235" ht="15.75" customHeight="1">
      <c r="C235" s="14"/>
    </row>
    <row r="236" ht="15.75" customHeight="1">
      <c r="C236" s="14"/>
    </row>
    <row r="237" ht="15.75" customHeight="1">
      <c r="C237" s="14"/>
    </row>
    <row r="238" ht="15.75" customHeight="1">
      <c r="C238" s="14"/>
    </row>
    <row r="239" ht="15.75" customHeight="1">
      <c r="C239" s="14"/>
    </row>
    <row r="240" ht="15.75" customHeight="1">
      <c r="C240" s="14"/>
    </row>
    <row r="241" ht="15.75" customHeight="1">
      <c r="C241" s="14"/>
    </row>
    <row r="242" ht="15.75" customHeight="1">
      <c r="C242" s="14"/>
    </row>
    <row r="243" ht="15.75" customHeight="1">
      <c r="C243" s="14"/>
    </row>
    <row r="244" ht="15.75" customHeight="1">
      <c r="C244" s="14"/>
    </row>
    <row r="245" ht="15.75" customHeight="1">
      <c r="C245" s="14"/>
    </row>
    <row r="246" ht="15.75" customHeight="1">
      <c r="C246" s="14"/>
    </row>
    <row r="247" ht="15.75" customHeight="1">
      <c r="C247" s="14"/>
    </row>
    <row r="248" ht="15.75" customHeight="1">
      <c r="C248" s="14"/>
    </row>
    <row r="249" ht="15.75" customHeight="1">
      <c r="C249" s="14"/>
    </row>
    <row r="250" ht="15.75" customHeight="1">
      <c r="C250" s="14"/>
    </row>
    <row r="251" ht="15.75" customHeight="1">
      <c r="C251" s="14"/>
    </row>
    <row r="252" ht="15.75" customHeight="1">
      <c r="C252" s="14"/>
    </row>
    <row r="253" ht="15.75" customHeight="1">
      <c r="C253" s="14"/>
    </row>
    <row r="254" ht="15.75" customHeight="1">
      <c r="C254" s="14"/>
    </row>
    <row r="255" ht="15.75" customHeight="1">
      <c r="C255" s="14"/>
    </row>
    <row r="256" ht="15.75" customHeight="1">
      <c r="C256" s="14"/>
    </row>
    <row r="257" ht="15.75" customHeight="1">
      <c r="C257" s="14"/>
    </row>
    <row r="258" ht="15.75" customHeight="1">
      <c r="C258" s="14"/>
    </row>
    <row r="259" ht="15.75" customHeight="1">
      <c r="C259" s="14"/>
    </row>
    <row r="260" ht="15.75" customHeight="1">
      <c r="C260" s="14"/>
    </row>
    <row r="261" ht="15.75" customHeight="1">
      <c r="C261" s="14"/>
    </row>
    <row r="262" ht="15.75" customHeight="1">
      <c r="C262" s="14"/>
    </row>
    <row r="263" ht="15.75" customHeight="1">
      <c r="C263" s="14"/>
    </row>
    <row r="264" ht="15.75" customHeight="1">
      <c r="C264" s="14"/>
    </row>
    <row r="265" ht="15.75" customHeight="1">
      <c r="C265" s="14"/>
    </row>
    <row r="266" ht="15.75" customHeight="1">
      <c r="C266" s="14"/>
    </row>
    <row r="267" ht="15.75" customHeight="1">
      <c r="C267" s="14"/>
    </row>
    <row r="268" ht="15.75" customHeight="1">
      <c r="C268" s="14"/>
    </row>
    <row r="269" ht="15.75" customHeight="1">
      <c r="C269" s="14"/>
    </row>
    <row r="270" ht="15.75" customHeight="1">
      <c r="C270" s="14"/>
    </row>
    <row r="271" ht="15.75" customHeight="1">
      <c r="C271" s="14"/>
    </row>
    <row r="272" ht="15.75" customHeight="1">
      <c r="C272" s="14"/>
    </row>
    <row r="273" ht="15.75" customHeight="1">
      <c r="C273" s="14"/>
    </row>
    <row r="274" ht="15.75" customHeight="1">
      <c r="C274" s="14"/>
    </row>
    <row r="275" ht="15.75" customHeight="1">
      <c r="C275" s="14"/>
    </row>
    <row r="276" ht="15.75" customHeight="1">
      <c r="C276" s="14"/>
    </row>
    <row r="277" ht="15.75" customHeight="1">
      <c r="C277" s="14"/>
    </row>
    <row r="278" ht="15.75" customHeight="1">
      <c r="C278" s="14"/>
    </row>
    <row r="279" ht="15.75" customHeight="1">
      <c r="C279" s="14"/>
    </row>
    <row r="280" ht="15.75" customHeight="1">
      <c r="C280" s="14"/>
    </row>
    <row r="281" ht="15.75" customHeight="1">
      <c r="C281" s="14"/>
    </row>
    <row r="282" ht="15.75" customHeight="1">
      <c r="C282" s="14"/>
    </row>
    <row r="283" ht="15.75" customHeight="1">
      <c r="C283" s="14"/>
    </row>
    <row r="284" ht="15.75" customHeight="1">
      <c r="C284" s="14"/>
    </row>
    <row r="285" ht="15.75" customHeight="1">
      <c r="C285" s="14"/>
    </row>
    <row r="286" ht="15.75" customHeight="1">
      <c r="C286" s="14"/>
    </row>
    <row r="287" ht="15.75" customHeight="1">
      <c r="C287" s="14"/>
    </row>
    <row r="288" ht="15.75" customHeight="1">
      <c r="C288" s="14"/>
    </row>
    <row r="289" ht="15.75" customHeight="1">
      <c r="C289" s="14"/>
    </row>
    <row r="290" ht="15.75" customHeight="1">
      <c r="C290" s="14"/>
    </row>
    <row r="291" ht="15.75" customHeight="1">
      <c r="C291" s="14"/>
    </row>
    <row r="292" ht="15.75" customHeight="1">
      <c r="C292" s="14"/>
    </row>
    <row r="293" ht="15.75" customHeight="1">
      <c r="C293" s="14"/>
    </row>
    <row r="294" ht="15.75" customHeight="1">
      <c r="C294" s="14"/>
    </row>
    <row r="295" ht="15.75" customHeight="1">
      <c r="C295" s="14"/>
    </row>
    <row r="296" ht="15.75" customHeight="1">
      <c r="C296" s="14"/>
    </row>
    <row r="297" ht="15.75" customHeight="1">
      <c r="C297" s="14"/>
    </row>
    <row r="298" ht="15.75" customHeight="1">
      <c r="C298" s="14"/>
    </row>
    <row r="299" ht="15.75" customHeight="1">
      <c r="C299" s="14"/>
    </row>
    <row r="300" ht="15.75" customHeight="1">
      <c r="C300" s="14"/>
    </row>
    <row r="301" ht="15.75" customHeight="1">
      <c r="C301" s="14"/>
    </row>
    <row r="302" ht="15.75" customHeight="1">
      <c r="C302" s="14"/>
    </row>
    <row r="303" ht="15.75" customHeight="1">
      <c r="C303" s="14"/>
    </row>
    <row r="304" ht="15.75" customHeight="1">
      <c r="C304" s="14"/>
    </row>
    <row r="305" ht="15.75" customHeight="1">
      <c r="C305" s="14"/>
    </row>
    <row r="306" ht="15.75" customHeight="1">
      <c r="C306" s="14"/>
    </row>
    <row r="307" ht="15.75" customHeight="1">
      <c r="C307" s="14"/>
    </row>
    <row r="308" ht="15.75" customHeight="1">
      <c r="C308" s="14"/>
    </row>
    <row r="309" ht="15.75" customHeight="1">
      <c r="C309" s="14"/>
    </row>
    <row r="310" ht="15.75" customHeight="1">
      <c r="C310" s="14"/>
    </row>
    <row r="311" ht="15.75" customHeight="1">
      <c r="C311" s="14"/>
    </row>
    <row r="312" ht="15.75" customHeight="1">
      <c r="C312" s="14"/>
    </row>
    <row r="313" ht="15.75" customHeight="1">
      <c r="C313" s="14"/>
    </row>
    <row r="314" ht="15.75" customHeight="1">
      <c r="C314" s="14"/>
    </row>
    <row r="315" ht="15.75" customHeight="1">
      <c r="C315" s="14"/>
    </row>
    <row r="316" ht="15.75" customHeight="1">
      <c r="C316" s="14"/>
    </row>
    <row r="317" ht="15.75" customHeight="1">
      <c r="C317" s="14"/>
    </row>
    <row r="318" ht="15.75" customHeight="1">
      <c r="C318" s="14"/>
    </row>
    <row r="319" ht="15.75" customHeight="1">
      <c r="C319" s="14"/>
    </row>
    <row r="320" ht="15.75" customHeight="1">
      <c r="C320" s="14"/>
    </row>
    <row r="321" ht="15.75" customHeight="1">
      <c r="C321" s="14"/>
    </row>
    <row r="322" ht="15.75" customHeight="1">
      <c r="C322" s="14"/>
    </row>
    <row r="323" ht="15.75" customHeight="1">
      <c r="C323" s="14"/>
    </row>
    <row r="324" ht="15.75" customHeight="1">
      <c r="C324" s="14"/>
    </row>
    <row r="325" ht="15.75" customHeight="1">
      <c r="C325" s="14"/>
    </row>
    <row r="326" ht="15.75" customHeight="1">
      <c r="C326" s="14"/>
    </row>
    <row r="327" ht="15.75" customHeight="1">
      <c r="C327" s="14"/>
    </row>
    <row r="328" ht="15.75" customHeight="1">
      <c r="C328" s="14"/>
    </row>
    <row r="329" ht="15.75" customHeight="1">
      <c r="C329" s="14"/>
    </row>
    <row r="330" ht="15.75" customHeight="1">
      <c r="C330" s="14"/>
    </row>
    <row r="331" ht="15.75" customHeight="1">
      <c r="C331" s="14"/>
    </row>
    <row r="332" ht="15.75" customHeight="1">
      <c r="C332" s="14"/>
    </row>
    <row r="333" ht="15.75" customHeight="1">
      <c r="C333" s="14"/>
    </row>
    <row r="334" ht="15.75" customHeight="1">
      <c r="C334" s="14"/>
    </row>
    <row r="335" ht="15.75" customHeight="1">
      <c r="C335" s="14"/>
    </row>
    <row r="336" ht="15.75" customHeight="1">
      <c r="C336" s="14"/>
    </row>
    <row r="337" ht="15.75" customHeight="1">
      <c r="C337" s="14"/>
    </row>
    <row r="338" ht="15.75" customHeight="1">
      <c r="C338" s="14"/>
    </row>
    <row r="339" ht="15.75" customHeight="1">
      <c r="C339" s="14"/>
    </row>
    <row r="340" ht="15.75" customHeight="1">
      <c r="C340" s="14"/>
    </row>
    <row r="341" ht="15.75" customHeight="1">
      <c r="C341" s="14"/>
    </row>
    <row r="342" ht="15.75" customHeight="1">
      <c r="C342" s="14"/>
    </row>
    <row r="343" ht="15.75" customHeight="1">
      <c r="C343" s="14"/>
    </row>
    <row r="344" ht="15.75" customHeight="1">
      <c r="C344" s="14"/>
    </row>
    <row r="345" ht="15.75" customHeight="1">
      <c r="C345" s="14"/>
    </row>
    <row r="346" ht="15.75" customHeight="1">
      <c r="C346" s="14"/>
    </row>
    <row r="347" ht="15.75" customHeight="1">
      <c r="C347" s="14"/>
    </row>
    <row r="348" ht="15.75" customHeight="1">
      <c r="C348" s="14"/>
    </row>
    <row r="349" ht="15.75" customHeight="1">
      <c r="C349" s="14"/>
    </row>
    <row r="350" ht="15.75" customHeight="1">
      <c r="C350" s="14"/>
    </row>
    <row r="351" ht="15.75" customHeight="1">
      <c r="C351" s="14"/>
    </row>
    <row r="352" ht="15.75" customHeight="1">
      <c r="C352" s="14"/>
    </row>
    <row r="353" ht="15.75" customHeight="1">
      <c r="C353" s="14"/>
    </row>
    <row r="354" ht="15.75" customHeight="1">
      <c r="C354" s="14"/>
    </row>
    <row r="355" ht="15.75" customHeight="1">
      <c r="C355" s="14"/>
    </row>
    <row r="356" ht="15.75" customHeight="1">
      <c r="C356" s="14"/>
    </row>
    <row r="357" ht="15.75" customHeight="1">
      <c r="C357" s="14"/>
    </row>
    <row r="358" ht="15.75" customHeight="1">
      <c r="C358" s="14"/>
    </row>
    <row r="359" ht="15.75" customHeight="1">
      <c r="C359" s="14"/>
    </row>
    <row r="360" ht="15.75" customHeight="1">
      <c r="C360" s="14"/>
    </row>
    <row r="361" ht="15.75" customHeight="1">
      <c r="C361" s="14"/>
    </row>
    <row r="362" ht="15.75" customHeight="1">
      <c r="C362" s="14"/>
    </row>
    <row r="363" ht="15.75" customHeight="1">
      <c r="C363" s="14"/>
    </row>
    <row r="364" ht="15.75" customHeight="1">
      <c r="C364" s="14"/>
    </row>
    <row r="365" ht="15.75" customHeight="1">
      <c r="C365" s="14"/>
    </row>
    <row r="366" ht="15.75" customHeight="1">
      <c r="C366" s="14"/>
    </row>
    <row r="367" ht="15.75" customHeight="1">
      <c r="C367" s="14"/>
    </row>
    <row r="368" ht="15.75" customHeight="1">
      <c r="C368" s="14"/>
    </row>
    <row r="369" ht="15.75" customHeight="1">
      <c r="C369" s="14"/>
    </row>
    <row r="370" ht="15.75" customHeight="1">
      <c r="C370" s="14"/>
    </row>
    <row r="371" ht="15.75" customHeight="1">
      <c r="C371" s="14"/>
    </row>
    <row r="372" ht="15.75" customHeight="1">
      <c r="C372" s="14"/>
    </row>
    <row r="373" ht="15.75" customHeight="1">
      <c r="C373" s="14"/>
    </row>
    <row r="374" ht="15.75" customHeight="1">
      <c r="C374" s="14"/>
    </row>
    <row r="375" ht="15.75" customHeight="1">
      <c r="C375" s="14"/>
    </row>
    <row r="376" ht="15.75" customHeight="1">
      <c r="C376" s="14"/>
    </row>
    <row r="377" ht="15.75" customHeight="1">
      <c r="C377" s="14"/>
    </row>
    <row r="378" ht="15.75" customHeight="1">
      <c r="C378" s="14"/>
    </row>
    <row r="379" ht="15.75" customHeight="1">
      <c r="C379" s="14"/>
    </row>
    <row r="380" ht="15.75" customHeight="1">
      <c r="C380" s="14"/>
    </row>
    <row r="381" ht="15.75" customHeight="1">
      <c r="C381" s="14"/>
    </row>
    <row r="382" ht="15.75" customHeight="1">
      <c r="C382" s="14"/>
    </row>
    <row r="383" ht="15.75" customHeight="1">
      <c r="C383" s="14"/>
    </row>
    <row r="384" ht="15.75" customHeight="1">
      <c r="C384" s="14"/>
    </row>
    <row r="385" ht="15.75" customHeight="1">
      <c r="C385" s="14"/>
    </row>
    <row r="386" ht="15.75" customHeight="1">
      <c r="C386" s="14"/>
    </row>
    <row r="387" ht="15.75" customHeight="1">
      <c r="C387" s="14"/>
    </row>
    <row r="388" ht="15.75" customHeight="1">
      <c r="C388" s="14"/>
    </row>
    <row r="389" ht="15.75" customHeight="1">
      <c r="C389" s="14"/>
    </row>
    <row r="390" ht="15.75" customHeight="1">
      <c r="C390" s="14"/>
    </row>
    <row r="391" ht="15.75" customHeight="1">
      <c r="C391" s="14"/>
    </row>
    <row r="392" ht="15.75" customHeight="1">
      <c r="C392" s="14"/>
    </row>
    <row r="393" ht="15.75" customHeight="1">
      <c r="C393" s="14"/>
    </row>
    <row r="394" ht="15.75" customHeight="1">
      <c r="C394" s="14"/>
    </row>
    <row r="395" ht="15.75" customHeight="1">
      <c r="C395" s="14"/>
    </row>
    <row r="396" ht="15.75" customHeight="1">
      <c r="C396" s="14"/>
    </row>
    <row r="397" ht="15.75" customHeight="1">
      <c r="C397" s="14"/>
    </row>
    <row r="398" ht="15.75" customHeight="1">
      <c r="C398" s="14"/>
    </row>
    <row r="399" ht="15.75" customHeight="1">
      <c r="C399" s="14"/>
    </row>
    <row r="400" ht="15.75" customHeight="1">
      <c r="C400" s="14"/>
    </row>
    <row r="401" ht="15.75" customHeight="1">
      <c r="C401" s="14"/>
    </row>
    <row r="402" ht="15.75" customHeight="1">
      <c r="C402" s="14"/>
    </row>
    <row r="403" ht="15.75" customHeight="1">
      <c r="C403" s="14"/>
    </row>
    <row r="404" ht="15.75" customHeight="1">
      <c r="C404" s="14"/>
    </row>
    <row r="405" ht="15.75" customHeight="1">
      <c r="C405" s="14"/>
    </row>
    <row r="406" ht="15.75" customHeight="1">
      <c r="C406" s="14"/>
    </row>
    <row r="407" ht="15.75" customHeight="1">
      <c r="C407" s="14"/>
    </row>
    <row r="408" ht="15.75" customHeight="1">
      <c r="C408" s="14"/>
    </row>
    <row r="409" ht="15.75" customHeight="1">
      <c r="C409" s="14"/>
    </row>
    <row r="410" ht="15.75" customHeight="1">
      <c r="C410" s="14"/>
    </row>
    <row r="411" ht="15.75" customHeight="1">
      <c r="C411" s="14"/>
    </row>
    <row r="412" ht="15.75" customHeight="1">
      <c r="C412" s="14"/>
    </row>
    <row r="413" ht="15.75" customHeight="1">
      <c r="C413" s="14"/>
    </row>
    <row r="414" ht="15.75" customHeight="1">
      <c r="C414" s="14"/>
    </row>
    <row r="415" ht="15.75" customHeight="1">
      <c r="C415" s="14"/>
    </row>
    <row r="416" ht="15.75" customHeight="1">
      <c r="C416" s="14"/>
    </row>
    <row r="417" ht="15.75" customHeight="1">
      <c r="C417" s="14"/>
    </row>
    <row r="418" ht="15.75" customHeight="1">
      <c r="C418" s="14"/>
    </row>
    <row r="419" ht="15.75" customHeight="1">
      <c r="C419" s="14"/>
    </row>
    <row r="420" ht="15.75" customHeight="1">
      <c r="C420" s="14"/>
    </row>
    <row r="421" ht="15.75" customHeight="1">
      <c r="C421" s="14"/>
    </row>
    <row r="422" ht="15.75" customHeight="1">
      <c r="C422" s="14"/>
    </row>
    <row r="423" ht="15.75" customHeight="1">
      <c r="C423" s="14"/>
    </row>
    <row r="424" ht="15.75" customHeight="1">
      <c r="C424" s="14"/>
    </row>
    <row r="425" ht="15.75" customHeight="1">
      <c r="C425" s="14"/>
    </row>
    <row r="426" ht="15.75" customHeight="1">
      <c r="C426" s="14"/>
    </row>
    <row r="427" ht="15.75" customHeight="1">
      <c r="C427" s="14"/>
    </row>
    <row r="428" ht="15.75" customHeight="1">
      <c r="C428" s="14"/>
    </row>
    <row r="429" ht="15.75" customHeight="1">
      <c r="C429" s="14"/>
    </row>
    <row r="430" ht="15.75" customHeight="1">
      <c r="C430" s="14"/>
    </row>
    <row r="431" ht="15.75" customHeight="1">
      <c r="C431" s="14"/>
    </row>
    <row r="432" ht="15.75" customHeight="1">
      <c r="C432" s="14"/>
    </row>
    <row r="433" ht="15.75" customHeight="1">
      <c r="C433" s="14"/>
    </row>
    <row r="434" ht="15.75" customHeight="1">
      <c r="C434" s="14"/>
    </row>
    <row r="435" ht="15.75" customHeight="1">
      <c r="C435" s="14"/>
    </row>
    <row r="436" ht="15.75" customHeight="1">
      <c r="C436" s="14"/>
    </row>
    <row r="437" ht="15.75" customHeight="1">
      <c r="C437" s="14"/>
    </row>
    <row r="438" ht="15.75" customHeight="1">
      <c r="C438" s="14"/>
    </row>
    <row r="439" ht="15.75" customHeight="1">
      <c r="C439" s="14"/>
    </row>
    <row r="440" ht="15.75" customHeight="1">
      <c r="C440" s="14"/>
    </row>
    <row r="441" ht="15.75" customHeight="1">
      <c r="C441" s="14"/>
    </row>
    <row r="442" ht="15.75" customHeight="1">
      <c r="C442" s="14"/>
    </row>
    <row r="443" ht="15.75" customHeight="1">
      <c r="C443" s="14"/>
    </row>
    <row r="444" ht="15.75" customHeight="1">
      <c r="C444" s="14"/>
    </row>
    <row r="445" ht="15.75" customHeight="1">
      <c r="C445" s="14"/>
    </row>
    <row r="446" ht="15.75" customHeight="1">
      <c r="C446" s="14"/>
    </row>
    <row r="447" ht="15.75" customHeight="1">
      <c r="C447" s="14"/>
    </row>
    <row r="448" ht="15.75" customHeight="1">
      <c r="C448" s="14"/>
    </row>
    <row r="449" ht="15.75" customHeight="1">
      <c r="C449" s="14"/>
    </row>
    <row r="450" ht="15.75" customHeight="1">
      <c r="C450" s="14"/>
    </row>
    <row r="451" ht="15.75" customHeight="1">
      <c r="C451" s="14"/>
    </row>
    <row r="452" ht="15.75" customHeight="1">
      <c r="C452" s="14"/>
    </row>
    <row r="453" ht="15.75" customHeight="1">
      <c r="C453" s="14"/>
    </row>
    <row r="454" ht="15.75" customHeight="1">
      <c r="C454" s="14"/>
    </row>
    <row r="455" ht="15.75" customHeight="1">
      <c r="C455" s="14"/>
    </row>
    <row r="456" ht="15.75" customHeight="1">
      <c r="C456" s="14"/>
    </row>
    <row r="457" ht="15.75" customHeight="1">
      <c r="C457" s="14"/>
    </row>
    <row r="458" ht="15.75" customHeight="1">
      <c r="C458" s="14"/>
    </row>
    <row r="459" ht="15.75" customHeight="1">
      <c r="C459" s="14"/>
    </row>
    <row r="460" ht="15.75" customHeight="1">
      <c r="C460" s="14"/>
    </row>
    <row r="461" ht="15.75" customHeight="1">
      <c r="C461" s="14"/>
    </row>
    <row r="462" ht="15.75" customHeight="1">
      <c r="C462" s="14"/>
    </row>
    <row r="463" ht="15.75" customHeight="1">
      <c r="C463" s="14"/>
    </row>
    <row r="464" ht="15.75" customHeight="1">
      <c r="C464" s="14"/>
    </row>
    <row r="465" ht="15.75" customHeight="1">
      <c r="C465" s="14"/>
    </row>
    <row r="466" ht="15.75" customHeight="1">
      <c r="C466" s="14"/>
    </row>
    <row r="467" ht="15.75" customHeight="1">
      <c r="C467" s="14"/>
    </row>
    <row r="468" ht="15.75" customHeight="1">
      <c r="C468" s="14"/>
    </row>
    <row r="469" ht="15.75" customHeight="1">
      <c r="C469" s="14"/>
    </row>
    <row r="470" ht="15.75" customHeight="1">
      <c r="C470" s="14"/>
    </row>
    <row r="471" ht="15.75" customHeight="1">
      <c r="C471" s="14"/>
    </row>
    <row r="472" ht="15.75" customHeight="1">
      <c r="C472" s="14"/>
    </row>
    <row r="473" ht="15.75" customHeight="1">
      <c r="C473" s="14"/>
    </row>
    <row r="474" ht="15.75" customHeight="1">
      <c r="C474" s="14"/>
    </row>
    <row r="475" ht="15.75" customHeight="1">
      <c r="C475" s="14"/>
    </row>
    <row r="476" ht="15.75" customHeight="1">
      <c r="C476" s="14"/>
    </row>
    <row r="477" ht="15.75" customHeight="1">
      <c r="C477" s="14"/>
    </row>
    <row r="478" ht="15.75" customHeight="1">
      <c r="C478" s="14"/>
    </row>
    <row r="479" ht="15.75" customHeight="1">
      <c r="C479" s="14"/>
    </row>
    <row r="480" ht="15.75" customHeight="1">
      <c r="C480" s="14"/>
    </row>
    <row r="481" ht="15.75" customHeight="1">
      <c r="C481" s="14"/>
    </row>
    <row r="482" ht="15.75" customHeight="1">
      <c r="C482" s="14"/>
    </row>
    <row r="483" ht="15.75" customHeight="1">
      <c r="C483" s="14"/>
    </row>
    <row r="484" ht="15.75" customHeight="1">
      <c r="C484" s="14"/>
    </row>
    <row r="485" ht="15.75" customHeight="1">
      <c r="C485" s="14"/>
    </row>
    <row r="486" ht="15.75" customHeight="1">
      <c r="C486" s="14"/>
    </row>
    <row r="487" ht="15.75" customHeight="1">
      <c r="C487" s="14"/>
    </row>
    <row r="488" ht="15.75" customHeight="1">
      <c r="C488" s="14"/>
    </row>
    <row r="489" ht="15.75" customHeight="1">
      <c r="C489" s="14"/>
    </row>
    <row r="490" ht="15.75" customHeight="1">
      <c r="C490" s="14"/>
    </row>
    <row r="491" ht="15.75" customHeight="1">
      <c r="C491" s="14"/>
    </row>
    <row r="492" ht="15.75" customHeight="1">
      <c r="C492" s="14"/>
    </row>
    <row r="493" ht="15.75" customHeight="1">
      <c r="C493" s="14"/>
    </row>
    <row r="494" ht="15.75" customHeight="1">
      <c r="C494" s="14"/>
    </row>
    <row r="495" ht="15.75" customHeight="1">
      <c r="C495" s="14"/>
    </row>
    <row r="496" ht="15.75" customHeight="1">
      <c r="C496" s="14"/>
    </row>
    <row r="497" ht="15.75" customHeight="1">
      <c r="C497" s="14"/>
    </row>
    <row r="498" ht="15.75" customHeight="1">
      <c r="C498" s="14"/>
    </row>
    <row r="499" ht="15.75" customHeight="1">
      <c r="C499" s="14"/>
    </row>
    <row r="500" ht="15.75" customHeight="1">
      <c r="C500" s="14"/>
    </row>
    <row r="501" ht="15.75" customHeight="1">
      <c r="C501" s="14"/>
    </row>
    <row r="502" ht="15.75" customHeight="1">
      <c r="C502" s="14"/>
    </row>
    <row r="503" ht="15.75" customHeight="1">
      <c r="C503" s="14"/>
    </row>
    <row r="504" ht="15.75" customHeight="1">
      <c r="C504" s="14"/>
    </row>
    <row r="505" ht="15.75" customHeight="1">
      <c r="C505" s="14"/>
    </row>
    <row r="506" ht="15.75" customHeight="1">
      <c r="C506" s="14"/>
    </row>
    <row r="507" ht="15.75" customHeight="1">
      <c r="C507" s="14"/>
    </row>
    <row r="508" ht="15.75" customHeight="1">
      <c r="C508" s="14"/>
    </row>
    <row r="509" ht="15.75" customHeight="1">
      <c r="C509" s="14"/>
    </row>
    <row r="510" ht="15.75" customHeight="1">
      <c r="C510" s="14"/>
    </row>
    <row r="511" ht="15.75" customHeight="1">
      <c r="C511" s="14"/>
    </row>
    <row r="512" ht="15.75" customHeight="1">
      <c r="C512" s="14"/>
    </row>
    <row r="513" ht="15.75" customHeight="1">
      <c r="C513" s="14"/>
    </row>
    <row r="514" ht="15.75" customHeight="1">
      <c r="C514" s="14"/>
    </row>
    <row r="515" ht="15.75" customHeight="1">
      <c r="C515" s="14"/>
    </row>
    <row r="516" ht="15.75" customHeight="1">
      <c r="C516" s="14"/>
    </row>
    <row r="517" ht="15.75" customHeight="1">
      <c r="C517" s="14"/>
    </row>
    <row r="518" ht="15.75" customHeight="1">
      <c r="C518" s="14"/>
    </row>
    <row r="519" ht="15.75" customHeight="1">
      <c r="C519" s="14"/>
    </row>
    <row r="520" ht="15.75" customHeight="1">
      <c r="C520" s="14"/>
    </row>
    <row r="521" ht="15.75" customHeight="1">
      <c r="C521" s="14"/>
    </row>
    <row r="522" ht="15.75" customHeight="1">
      <c r="C522" s="14"/>
    </row>
    <row r="523" ht="15.75" customHeight="1">
      <c r="C523" s="14"/>
    </row>
    <row r="524" ht="15.75" customHeight="1">
      <c r="C524" s="14"/>
    </row>
    <row r="525" ht="15.75" customHeight="1">
      <c r="C525" s="14"/>
    </row>
    <row r="526" ht="15.75" customHeight="1">
      <c r="C526" s="14"/>
    </row>
    <row r="527" ht="15.75" customHeight="1">
      <c r="C527" s="14"/>
    </row>
    <row r="528" ht="15.75" customHeight="1">
      <c r="C528" s="14"/>
    </row>
    <row r="529" ht="15.75" customHeight="1">
      <c r="C529" s="14"/>
    </row>
    <row r="530" ht="15.75" customHeight="1">
      <c r="C530" s="14"/>
    </row>
    <row r="531" ht="15.75" customHeight="1">
      <c r="C531" s="14"/>
    </row>
    <row r="532" ht="15.75" customHeight="1">
      <c r="C532" s="14"/>
    </row>
    <row r="533" ht="15.75" customHeight="1">
      <c r="C533" s="14"/>
    </row>
    <row r="534" ht="15.75" customHeight="1">
      <c r="C534" s="14"/>
    </row>
    <row r="535" ht="15.75" customHeight="1">
      <c r="C535" s="14"/>
    </row>
    <row r="536" ht="15.75" customHeight="1">
      <c r="C536" s="14"/>
    </row>
    <row r="537" ht="15.75" customHeight="1">
      <c r="C537" s="14"/>
    </row>
    <row r="538" ht="15.75" customHeight="1">
      <c r="C538" s="14"/>
    </row>
    <row r="539" ht="15.75" customHeight="1">
      <c r="C539" s="14"/>
    </row>
    <row r="540" ht="15.75" customHeight="1">
      <c r="C540" s="14"/>
    </row>
    <row r="541" ht="15.75" customHeight="1">
      <c r="C541" s="14"/>
    </row>
    <row r="542" ht="15.75" customHeight="1">
      <c r="C542" s="14"/>
    </row>
    <row r="543" ht="15.75" customHeight="1">
      <c r="C543" s="14"/>
    </row>
    <row r="544" ht="15.75" customHeight="1">
      <c r="C544" s="14"/>
    </row>
    <row r="545" ht="15.75" customHeight="1">
      <c r="C545" s="14"/>
    </row>
    <row r="546" ht="15.75" customHeight="1">
      <c r="C546" s="14"/>
    </row>
    <row r="547" ht="15.75" customHeight="1">
      <c r="C547" s="14"/>
    </row>
    <row r="548" ht="15.75" customHeight="1">
      <c r="C548" s="14"/>
    </row>
    <row r="549" ht="15.75" customHeight="1">
      <c r="C549" s="14"/>
    </row>
    <row r="550" ht="15.75" customHeight="1">
      <c r="C550" s="14"/>
    </row>
    <row r="551" ht="15.75" customHeight="1">
      <c r="C551" s="14"/>
    </row>
    <row r="552" ht="15.75" customHeight="1">
      <c r="C552" s="14"/>
    </row>
    <row r="553" ht="15.75" customHeight="1">
      <c r="C553" s="14"/>
    </row>
    <row r="554" ht="15.75" customHeight="1">
      <c r="C554" s="14"/>
    </row>
    <row r="555" ht="15.75" customHeight="1">
      <c r="C555" s="14"/>
    </row>
    <row r="556" ht="15.75" customHeight="1">
      <c r="C556" s="14"/>
    </row>
    <row r="557" ht="15.75" customHeight="1">
      <c r="C557" s="14"/>
    </row>
    <row r="558" ht="15.75" customHeight="1">
      <c r="C558" s="14"/>
    </row>
    <row r="559" ht="15.75" customHeight="1">
      <c r="C559" s="14"/>
    </row>
    <row r="560" ht="15.75" customHeight="1">
      <c r="C560" s="14"/>
    </row>
    <row r="561" ht="15.75" customHeight="1">
      <c r="C561" s="14"/>
    </row>
    <row r="562" ht="15.75" customHeight="1">
      <c r="C562" s="14"/>
    </row>
    <row r="563" ht="15.75" customHeight="1">
      <c r="C563" s="14"/>
    </row>
    <row r="564" ht="15.75" customHeight="1">
      <c r="C564" s="14"/>
    </row>
    <row r="565" ht="15.75" customHeight="1">
      <c r="C565" s="14"/>
    </row>
    <row r="566" ht="15.75" customHeight="1">
      <c r="C566" s="14"/>
    </row>
    <row r="567" ht="15.75" customHeight="1">
      <c r="C567" s="14"/>
    </row>
    <row r="568" ht="15.75" customHeight="1">
      <c r="C568" s="14"/>
    </row>
    <row r="569" ht="15.75" customHeight="1">
      <c r="C569" s="14"/>
    </row>
    <row r="570" ht="15.75" customHeight="1">
      <c r="C570" s="14"/>
    </row>
    <row r="571" ht="15.75" customHeight="1">
      <c r="C571" s="14"/>
    </row>
    <row r="572" ht="15.75" customHeight="1">
      <c r="C572" s="14"/>
    </row>
    <row r="573" ht="15.75" customHeight="1">
      <c r="C573" s="14"/>
    </row>
    <row r="574" ht="15.75" customHeight="1">
      <c r="C574" s="14"/>
    </row>
    <row r="575" ht="15.75" customHeight="1">
      <c r="C575" s="14"/>
    </row>
    <row r="576" ht="15.75" customHeight="1">
      <c r="C576" s="14"/>
    </row>
    <row r="577" ht="15.75" customHeight="1">
      <c r="C577" s="14"/>
    </row>
    <row r="578" ht="15.75" customHeight="1">
      <c r="C578" s="14"/>
    </row>
    <row r="579" ht="15.75" customHeight="1">
      <c r="C579" s="14"/>
    </row>
    <row r="580" ht="15.75" customHeight="1">
      <c r="C580" s="14"/>
    </row>
    <row r="581" ht="15.75" customHeight="1">
      <c r="C581" s="14"/>
    </row>
    <row r="582" ht="15.75" customHeight="1">
      <c r="C582" s="14"/>
    </row>
    <row r="583" ht="15.75" customHeight="1">
      <c r="C583" s="14"/>
    </row>
    <row r="584" ht="15.75" customHeight="1">
      <c r="C584" s="14"/>
    </row>
    <row r="585" ht="15.75" customHeight="1">
      <c r="C585" s="14"/>
    </row>
    <row r="586" ht="15.75" customHeight="1">
      <c r="C586" s="14"/>
    </row>
    <row r="587" ht="15.75" customHeight="1">
      <c r="C587" s="14"/>
    </row>
    <row r="588" ht="15.75" customHeight="1">
      <c r="C588" s="14"/>
    </row>
    <row r="589" ht="15.75" customHeight="1">
      <c r="C589" s="14"/>
    </row>
    <row r="590" ht="15.75" customHeight="1">
      <c r="C590" s="14"/>
    </row>
    <row r="591" ht="15.75" customHeight="1">
      <c r="C591" s="14"/>
    </row>
    <row r="592" ht="15.75" customHeight="1">
      <c r="C592" s="14"/>
    </row>
    <row r="593" ht="15.75" customHeight="1">
      <c r="C593" s="14"/>
    </row>
    <row r="594" ht="15.75" customHeight="1">
      <c r="C594" s="14"/>
    </row>
    <row r="595" ht="15.75" customHeight="1">
      <c r="C595" s="14"/>
    </row>
    <row r="596" ht="15.75" customHeight="1">
      <c r="C596" s="14"/>
    </row>
    <row r="597" ht="15.75" customHeight="1">
      <c r="C597" s="14"/>
    </row>
    <row r="598" ht="15.75" customHeight="1">
      <c r="C598" s="14"/>
    </row>
    <row r="599" ht="15.75" customHeight="1">
      <c r="C599" s="14"/>
    </row>
    <row r="600" ht="15.75" customHeight="1">
      <c r="C600" s="14"/>
    </row>
    <row r="601" ht="15.75" customHeight="1">
      <c r="C601" s="14"/>
    </row>
    <row r="602" ht="15.75" customHeight="1">
      <c r="C602" s="14"/>
    </row>
    <row r="603" ht="15.75" customHeight="1">
      <c r="C603" s="14"/>
    </row>
    <row r="604" ht="15.75" customHeight="1">
      <c r="C604" s="14"/>
    </row>
    <row r="605" ht="15.75" customHeight="1">
      <c r="C605" s="14"/>
    </row>
    <row r="606" ht="15.75" customHeight="1">
      <c r="C606" s="14"/>
    </row>
    <row r="607" ht="15.75" customHeight="1">
      <c r="C607" s="14"/>
    </row>
    <row r="608" ht="15.75" customHeight="1">
      <c r="C608" s="14"/>
    </row>
    <row r="609" ht="15.75" customHeight="1">
      <c r="C609" s="14"/>
    </row>
    <row r="610" ht="15.75" customHeight="1">
      <c r="C610" s="14"/>
    </row>
    <row r="611" ht="15.75" customHeight="1">
      <c r="C611" s="14"/>
    </row>
    <row r="612" ht="15.75" customHeight="1">
      <c r="C612" s="14"/>
    </row>
    <row r="613" ht="15.75" customHeight="1">
      <c r="C613" s="14"/>
    </row>
    <row r="614" ht="15.75" customHeight="1">
      <c r="C614" s="14"/>
    </row>
    <row r="615" ht="15.75" customHeight="1">
      <c r="C615" s="14"/>
    </row>
    <row r="616" ht="15.75" customHeight="1">
      <c r="C616" s="14"/>
    </row>
    <row r="617" ht="15.75" customHeight="1">
      <c r="C617" s="14"/>
    </row>
    <row r="618" ht="15.75" customHeight="1">
      <c r="C618" s="14"/>
    </row>
    <row r="619" ht="15.75" customHeight="1">
      <c r="C619" s="14"/>
    </row>
    <row r="620" ht="15.75" customHeight="1">
      <c r="C620" s="14"/>
    </row>
    <row r="621" ht="15.75" customHeight="1">
      <c r="C621" s="14"/>
    </row>
    <row r="622" ht="15.75" customHeight="1">
      <c r="C622" s="14"/>
    </row>
    <row r="623" ht="15.75" customHeight="1">
      <c r="C623" s="14"/>
    </row>
    <row r="624" ht="15.75" customHeight="1">
      <c r="C624" s="14"/>
    </row>
    <row r="625" ht="15.75" customHeight="1">
      <c r="C625" s="14"/>
    </row>
    <row r="626" ht="15.75" customHeight="1">
      <c r="C626" s="14"/>
    </row>
    <row r="627" ht="15.75" customHeight="1">
      <c r="C627" s="14"/>
    </row>
    <row r="628" ht="15.75" customHeight="1">
      <c r="C628" s="14"/>
    </row>
    <row r="629" ht="15.75" customHeight="1">
      <c r="C629" s="14"/>
    </row>
    <row r="630" ht="15.75" customHeight="1">
      <c r="C630" s="14"/>
    </row>
    <row r="631" ht="15.75" customHeight="1">
      <c r="C631" s="14"/>
    </row>
    <row r="632" ht="15.75" customHeight="1">
      <c r="C632" s="14"/>
    </row>
    <row r="633" ht="15.75" customHeight="1">
      <c r="C633" s="14"/>
    </row>
    <row r="634" ht="15.75" customHeight="1">
      <c r="C634" s="14"/>
    </row>
    <row r="635" ht="15.75" customHeight="1">
      <c r="C635" s="14"/>
    </row>
    <row r="636" ht="15.75" customHeight="1">
      <c r="C636" s="14"/>
    </row>
    <row r="637" ht="15.75" customHeight="1">
      <c r="C637" s="14"/>
    </row>
    <row r="638" ht="15.75" customHeight="1">
      <c r="C638" s="14"/>
    </row>
    <row r="639" ht="15.75" customHeight="1">
      <c r="C639" s="14"/>
    </row>
    <row r="640" ht="15.75" customHeight="1">
      <c r="C640" s="14"/>
    </row>
    <row r="641" ht="15.75" customHeight="1">
      <c r="C641" s="14"/>
    </row>
    <row r="642" ht="15.75" customHeight="1">
      <c r="C642" s="14"/>
    </row>
    <row r="643" ht="15.75" customHeight="1">
      <c r="C643" s="14"/>
    </row>
    <row r="644" ht="15.75" customHeight="1">
      <c r="C644" s="14"/>
    </row>
    <row r="645" ht="15.75" customHeight="1">
      <c r="C645" s="14"/>
    </row>
    <row r="646" ht="15.75" customHeight="1">
      <c r="C646" s="14"/>
    </row>
    <row r="647" ht="15.75" customHeight="1">
      <c r="C647" s="14"/>
    </row>
    <row r="648" ht="15.75" customHeight="1">
      <c r="C648" s="14"/>
    </row>
    <row r="649" ht="15.75" customHeight="1">
      <c r="C649" s="14"/>
    </row>
    <row r="650" ht="15.75" customHeight="1">
      <c r="C650" s="14"/>
    </row>
    <row r="651" ht="15.75" customHeight="1">
      <c r="C651" s="14"/>
    </row>
    <row r="652" ht="15.75" customHeight="1">
      <c r="C652" s="14"/>
    </row>
    <row r="653" ht="15.75" customHeight="1">
      <c r="C653" s="14"/>
    </row>
    <row r="654" ht="15.75" customHeight="1">
      <c r="C654" s="14"/>
    </row>
    <row r="655" ht="15.75" customHeight="1">
      <c r="C655" s="14"/>
    </row>
    <row r="656" ht="15.75" customHeight="1">
      <c r="C656" s="14"/>
    </row>
    <row r="657" ht="15.75" customHeight="1">
      <c r="C657" s="14"/>
    </row>
    <row r="658" ht="15.75" customHeight="1">
      <c r="C658" s="14"/>
    </row>
    <row r="659" ht="15.75" customHeight="1">
      <c r="C659" s="14"/>
    </row>
    <row r="660" ht="15.75" customHeight="1">
      <c r="C660" s="14"/>
    </row>
    <row r="661" ht="15.75" customHeight="1">
      <c r="C661" s="14"/>
    </row>
    <row r="662" ht="15.75" customHeight="1">
      <c r="C662" s="14"/>
    </row>
    <row r="663" ht="15.75" customHeight="1">
      <c r="C663" s="14"/>
    </row>
    <row r="664" ht="15.75" customHeight="1">
      <c r="C664" s="14"/>
    </row>
    <row r="665" ht="15.75" customHeight="1">
      <c r="C665" s="14"/>
    </row>
    <row r="666" ht="15.75" customHeight="1">
      <c r="C666" s="14"/>
    </row>
    <row r="667" ht="15.75" customHeight="1">
      <c r="C667" s="14"/>
    </row>
    <row r="668" ht="15.75" customHeight="1">
      <c r="C668" s="14"/>
    </row>
    <row r="669" ht="15.75" customHeight="1">
      <c r="C669" s="14"/>
    </row>
    <row r="670" ht="15.75" customHeight="1">
      <c r="C670" s="14"/>
    </row>
    <row r="671" ht="15.75" customHeight="1">
      <c r="C671" s="14"/>
    </row>
    <row r="672" ht="15.75" customHeight="1">
      <c r="C672" s="14"/>
    </row>
    <row r="673" ht="15.75" customHeight="1">
      <c r="C673" s="14"/>
    </row>
    <row r="674" ht="15.75" customHeight="1">
      <c r="C674" s="14"/>
    </row>
    <row r="675" ht="15.75" customHeight="1">
      <c r="C675" s="14"/>
    </row>
    <row r="676" ht="15.75" customHeight="1">
      <c r="C676" s="14"/>
    </row>
    <row r="677" ht="15.75" customHeight="1">
      <c r="C677" s="14"/>
    </row>
    <row r="678" ht="15.75" customHeight="1">
      <c r="C678" s="14"/>
    </row>
    <row r="679" ht="15.75" customHeight="1">
      <c r="C679" s="14"/>
    </row>
    <row r="680" ht="15.75" customHeight="1">
      <c r="C680" s="14"/>
    </row>
    <row r="681" ht="15.75" customHeight="1">
      <c r="C681" s="14"/>
    </row>
    <row r="682" ht="15.75" customHeight="1">
      <c r="C682" s="14"/>
    </row>
    <row r="683" ht="15.75" customHeight="1">
      <c r="C683" s="14"/>
    </row>
    <row r="684" ht="15.75" customHeight="1">
      <c r="C684" s="14"/>
    </row>
    <row r="685" ht="15.75" customHeight="1">
      <c r="C685" s="14"/>
    </row>
    <row r="686" ht="15.75" customHeight="1">
      <c r="C686" s="14"/>
    </row>
    <row r="687" ht="15.75" customHeight="1">
      <c r="C687" s="14"/>
    </row>
    <row r="688" ht="15.75" customHeight="1">
      <c r="C688" s="14"/>
    </row>
    <row r="689" ht="15.75" customHeight="1">
      <c r="C689" s="14"/>
    </row>
    <row r="690" ht="15.75" customHeight="1">
      <c r="C690" s="14"/>
    </row>
    <row r="691" ht="15.75" customHeight="1">
      <c r="C691" s="14"/>
    </row>
    <row r="692" ht="15.75" customHeight="1">
      <c r="C692" s="14"/>
    </row>
    <row r="693" ht="15.75" customHeight="1">
      <c r="C693" s="14"/>
    </row>
    <row r="694" ht="15.75" customHeight="1">
      <c r="C694" s="14"/>
    </row>
    <row r="695" ht="15.75" customHeight="1">
      <c r="C695" s="14"/>
    </row>
    <row r="696" ht="15.75" customHeight="1">
      <c r="C696" s="14"/>
    </row>
    <row r="697" ht="15.75" customHeight="1">
      <c r="C697" s="14"/>
    </row>
    <row r="698" ht="15.75" customHeight="1">
      <c r="C698" s="14"/>
    </row>
    <row r="699" ht="15.75" customHeight="1">
      <c r="C699" s="14"/>
    </row>
    <row r="700" ht="15.75" customHeight="1">
      <c r="C700" s="14"/>
    </row>
    <row r="701" ht="15.75" customHeight="1">
      <c r="C701" s="14"/>
    </row>
    <row r="702" ht="15.75" customHeight="1">
      <c r="C702" s="14"/>
    </row>
    <row r="703" ht="15.75" customHeight="1">
      <c r="C703" s="14"/>
    </row>
    <row r="704" ht="15.75" customHeight="1">
      <c r="C704" s="14"/>
    </row>
    <row r="705" ht="15.75" customHeight="1">
      <c r="C705" s="14"/>
    </row>
    <row r="706" ht="15.75" customHeight="1">
      <c r="C706" s="14"/>
    </row>
    <row r="707" ht="15.75" customHeight="1">
      <c r="C707" s="14"/>
    </row>
    <row r="708" ht="15.75" customHeight="1">
      <c r="C708" s="14"/>
    </row>
    <row r="709" ht="15.75" customHeight="1">
      <c r="C709" s="14"/>
    </row>
    <row r="710" ht="15.75" customHeight="1">
      <c r="C710" s="14"/>
    </row>
    <row r="711" ht="15.75" customHeight="1">
      <c r="C711" s="14"/>
    </row>
    <row r="712" ht="15.75" customHeight="1">
      <c r="C712" s="14"/>
    </row>
    <row r="713" ht="15.75" customHeight="1">
      <c r="C713" s="14"/>
    </row>
    <row r="714" ht="15.75" customHeight="1">
      <c r="C714" s="14"/>
    </row>
    <row r="715" ht="15.75" customHeight="1">
      <c r="C715" s="14"/>
    </row>
    <row r="716" ht="15.75" customHeight="1">
      <c r="C716" s="14"/>
    </row>
    <row r="717" ht="15.75" customHeight="1">
      <c r="C717" s="14"/>
    </row>
    <row r="718" ht="15.75" customHeight="1">
      <c r="C718" s="14"/>
    </row>
    <row r="719" ht="15.75" customHeight="1">
      <c r="C719" s="14"/>
    </row>
    <row r="720" ht="15.75" customHeight="1">
      <c r="C720" s="14"/>
    </row>
    <row r="721" ht="15.75" customHeight="1">
      <c r="C721" s="14"/>
    </row>
    <row r="722" ht="15.75" customHeight="1">
      <c r="C722" s="14"/>
    </row>
    <row r="723" ht="15.75" customHeight="1">
      <c r="C723" s="14"/>
    </row>
    <row r="724" ht="15.75" customHeight="1">
      <c r="C724" s="14"/>
    </row>
    <row r="725" ht="15.75" customHeight="1">
      <c r="C725" s="14"/>
    </row>
    <row r="726" ht="15.75" customHeight="1">
      <c r="C726" s="14"/>
    </row>
    <row r="727" ht="15.75" customHeight="1">
      <c r="C727" s="14"/>
    </row>
    <row r="728" ht="15.75" customHeight="1">
      <c r="C728" s="14"/>
    </row>
    <row r="729" ht="15.75" customHeight="1">
      <c r="C729" s="14"/>
    </row>
    <row r="730" ht="15.75" customHeight="1">
      <c r="C730" s="14"/>
    </row>
    <row r="731" ht="15.75" customHeight="1">
      <c r="C731" s="14"/>
    </row>
    <row r="732" ht="15.75" customHeight="1">
      <c r="C732" s="14"/>
    </row>
    <row r="733" ht="15.75" customHeight="1">
      <c r="C733" s="14"/>
    </row>
    <row r="734" ht="15.75" customHeight="1">
      <c r="C734" s="14"/>
    </row>
    <row r="735" ht="15.75" customHeight="1">
      <c r="C735" s="14"/>
    </row>
    <row r="736" ht="15.75" customHeight="1">
      <c r="C736" s="14"/>
    </row>
    <row r="737" ht="15.75" customHeight="1">
      <c r="C737" s="14"/>
    </row>
    <row r="738" ht="15.75" customHeight="1">
      <c r="C738" s="14"/>
    </row>
    <row r="739" ht="15.75" customHeight="1">
      <c r="C739" s="14"/>
    </row>
    <row r="740" ht="15.75" customHeight="1">
      <c r="C740" s="14"/>
    </row>
    <row r="741" ht="15.75" customHeight="1">
      <c r="C741" s="14"/>
    </row>
    <row r="742" ht="15.75" customHeight="1">
      <c r="C742" s="14"/>
    </row>
    <row r="743" ht="15.75" customHeight="1">
      <c r="C743" s="14"/>
    </row>
    <row r="744" ht="15.75" customHeight="1">
      <c r="C744" s="14"/>
    </row>
    <row r="745" ht="15.75" customHeight="1">
      <c r="C745" s="14"/>
    </row>
    <row r="746" ht="15.75" customHeight="1">
      <c r="C746" s="14"/>
    </row>
    <row r="747" ht="15.75" customHeight="1">
      <c r="C747" s="14"/>
    </row>
    <row r="748" ht="15.75" customHeight="1">
      <c r="C748" s="14"/>
    </row>
    <row r="749" ht="15.75" customHeight="1">
      <c r="C749" s="14"/>
    </row>
    <row r="750" ht="15.75" customHeight="1">
      <c r="C750" s="14"/>
    </row>
    <row r="751" ht="15.75" customHeight="1">
      <c r="C751" s="14"/>
    </row>
    <row r="752" ht="15.75" customHeight="1">
      <c r="C752" s="14"/>
    </row>
    <row r="753" ht="15.75" customHeight="1">
      <c r="C753" s="14"/>
    </row>
    <row r="754" ht="15.75" customHeight="1">
      <c r="C754" s="14"/>
    </row>
    <row r="755" ht="15.75" customHeight="1">
      <c r="C755" s="14"/>
    </row>
    <row r="756" ht="15.75" customHeight="1">
      <c r="C756" s="14"/>
    </row>
    <row r="757" ht="15.75" customHeight="1">
      <c r="C757" s="14"/>
    </row>
    <row r="758" ht="15.75" customHeight="1">
      <c r="C758" s="14"/>
    </row>
    <row r="759" ht="15.75" customHeight="1">
      <c r="C759" s="14"/>
    </row>
    <row r="760" ht="15.75" customHeight="1">
      <c r="C760" s="14"/>
    </row>
    <row r="761" ht="15.75" customHeight="1">
      <c r="C761" s="14"/>
    </row>
    <row r="762" ht="15.75" customHeight="1">
      <c r="C762" s="14"/>
    </row>
    <row r="763" ht="15.75" customHeight="1">
      <c r="C763" s="14"/>
    </row>
    <row r="764" ht="15.75" customHeight="1">
      <c r="C764" s="14"/>
    </row>
    <row r="765" ht="15.75" customHeight="1">
      <c r="C765" s="14"/>
    </row>
    <row r="766" ht="15.75" customHeight="1">
      <c r="C766" s="14"/>
    </row>
    <row r="767" ht="15.75" customHeight="1">
      <c r="C767" s="14"/>
    </row>
    <row r="768" ht="15.75" customHeight="1">
      <c r="C768" s="14"/>
    </row>
    <row r="769" ht="15.75" customHeight="1">
      <c r="C769" s="14"/>
    </row>
    <row r="770" ht="15.75" customHeight="1">
      <c r="C770" s="14"/>
    </row>
    <row r="771" ht="15.75" customHeight="1">
      <c r="C771" s="14"/>
    </row>
    <row r="772" ht="15.75" customHeight="1">
      <c r="C772" s="14"/>
    </row>
    <row r="773" ht="15.75" customHeight="1">
      <c r="C773" s="14"/>
    </row>
    <row r="774" ht="15.75" customHeight="1">
      <c r="C774" s="14"/>
    </row>
    <row r="775" ht="15.75" customHeight="1">
      <c r="C775" s="14"/>
    </row>
    <row r="776" ht="15.75" customHeight="1">
      <c r="C776" s="14"/>
    </row>
    <row r="777" ht="15.75" customHeight="1">
      <c r="C777" s="14"/>
    </row>
    <row r="778" ht="15.75" customHeight="1">
      <c r="C778" s="14"/>
    </row>
    <row r="779" ht="15.75" customHeight="1">
      <c r="C779" s="14"/>
    </row>
    <row r="780" ht="15.75" customHeight="1">
      <c r="C780" s="14"/>
    </row>
    <row r="781" ht="15.75" customHeight="1">
      <c r="C781" s="14"/>
    </row>
    <row r="782" ht="15.75" customHeight="1">
      <c r="C782" s="14"/>
    </row>
    <row r="783" ht="15.75" customHeight="1">
      <c r="C783" s="14"/>
    </row>
    <row r="784" ht="15.75" customHeight="1">
      <c r="C784" s="14"/>
    </row>
    <row r="785" ht="15.75" customHeight="1">
      <c r="C785" s="14"/>
    </row>
    <row r="786" ht="15.75" customHeight="1">
      <c r="C786" s="14"/>
    </row>
    <row r="787" ht="15.75" customHeight="1">
      <c r="C787" s="14"/>
    </row>
    <row r="788" ht="15.75" customHeight="1">
      <c r="C788" s="14"/>
    </row>
    <row r="789" ht="15.75" customHeight="1">
      <c r="C789" s="14"/>
    </row>
    <row r="790" ht="15.75" customHeight="1">
      <c r="C790" s="14"/>
    </row>
    <row r="791" ht="15.75" customHeight="1">
      <c r="C791" s="14"/>
    </row>
    <row r="792" ht="15.75" customHeight="1">
      <c r="C792" s="14"/>
    </row>
    <row r="793" ht="15.75" customHeight="1">
      <c r="C793" s="14"/>
    </row>
    <row r="794" ht="15.75" customHeight="1">
      <c r="C794" s="14"/>
    </row>
    <row r="795" ht="15.75" customHeight="1">
      <c r="C795" s="14"/>
    </row>
    <row r="796" ht="15.75" customHeight="1">
      <c r="C796" s="14"/>
    </row>
    <row r="797" ht="15.75" customHeight="1">
      <c r="C797" s="14"/>
    </row>
    <row r="798" ht="15.75" customHeight="1">
      <c r="C798" s="14"/>
    </row>
    <row r="799" ht="15.75" customHeight="1">
      <c r="C799" s="14"/>
    </row>
    <row r="800" ht="15.75" customHeight="1">
      <c r="C800" s="14"/>
    </row>
    <row r="801" ht="15.75" customHeight="1">
      <c r="C801" s="14"/>
    </row>
    <row r="802" ht="15.75" customHeight="1">
      <c r="C802" s="14"/>
    </row>
    <row r="803" ht="15.75" customHeight="1">
      <c r="C803" s="14"/>
    </row>
    <row r="804" ht="15.75" customHeight="1">
      <c r="C804" s="14"/>
    </row>
    <row r="805" ht="15.75" customHeight="1">
      <c r="C805" s="14"/>
    </row>
    <row r="806" ht="15.75" customHeight="1">
      <c r="C806" s="14"/>
    </row>
    <row r="807" ht="15.75" customHeight="1">
      <c r="C807" s="14"/>
    </row>
    <row r="808" ht="15.75" customHeight="1">
      <c r="C808" s="14"/>
    </row>
    <row r="809" ht="15.75" customHeight="1">
      <c r="C809" s="14"/>
    </row>
    <row r="810" ht="15.75" customHeight="1">
      <c r="C810" s="14"/>
    </row>
    <row r="811" ht="15.75" customHeight="1">
      <c r="C811" s="14"/>
    </row>
    <row r="812" ht="15.75" customHeight="1">
      <c r="C812" s="14"/>
    </row>
    <row r="813" ht="15.75" customHeight="1">
      <c r="C813" s="14"/>
    </row>
    <row r="814" ht="15.75" customHeight="1">
      <c r="C814" s="14"/>
    </row>
    <row r="815" ht="15.75" customHeight="1">
      <c r="C815" s="14"/>
    </row>
    <row r="816" ht="15.75" customHeight="1">
      <c r="C816" s="14"/>
    </row>
    <row r="817" ht="15.75" customHeight="1">
      <c r="C817" s="14"/>
    </row>
    <row r="818" ht="15.75" customHeight="1">
      <c r="C818" s="14"/>
    </row>
    <row r="819" ht="15.75" customHeight="1">
      <c r="C819" s="14"/>
    </row>
    <row r="820" ht="15.75" customHeight="1">
      <c r="C820" s="14"/>
    </row>
    <row r="821" ht="15.75" customHeight="1">
      <c r="C821" s="14"/>
    </row>
    <row r="822" ht="15.75" customHeight="1">
      <c r="C822" s="14"/>
    </row>
    <row r="823" ht="15.75" customHeight="1">
      <c r="C823" s="14"/>
    </row>
    <row r="824" ht="15.75" customHeight="1">
      <c r="C824" s="14"/>
    </row>
    <row r="825" ht="15.75" customHeight="1">
      <c r="C825" s="14"/>
    </row>
    <row r="826" ht="15.75" customHeight="1">
      <c r="C826" s="14"/>
    </row>
    <row r="827" ht="15.75" customHeight="1">
      <c r="C827" s="14"/>
    </row>
    <row r="828" ht="15.75" customHeight="1">
      <c r="C828" s="14"/>
    </row>
    <row r="829" ht="15.75" customHeight="1">
      <c r="C829" s="14"/>
    </row>
    <row r="830" ht="15.75" customHeight="1">
      <c r="C830" s="14"/>
    </row>
    <row r="831" ht="15.75" customHeight="1">
      <c r="C831" s="14"/>
    </row>
    <row r="832" ht="15.75" customHeight="1">
      <c r="C832" s="14"/>
    </row>
    <row r="833" ht="15.75" customHeight="1">
      <c r="C833" s="14"/>
    </row>
    <row r="834" ht="15.75" customHeight="1">
      <c r="C834" s="14"/>
    </row>
    <row r="835" ht="15.75" customHeight="1">
      <c r="C835" s="14"/>
    </row>
    <row r="836" ht="15.75" customHeight="1">
      <c r="C836" s="14"/>
    </row>
    <row r="837" ht="15.75" customHeight="1">
      <c r="C837" s="14"/>
    </row>
    <row r="838" ht="15.75" customHeight="1">
      <c r="C838" s="14"/>
    </row>
    <row r="839" ht="15.75" customHeight="1">
      <c r="C839" s="14"/>
    </row>
    <row r="840" ht="15.75" customHeight="1">
      <c r="C840" s="14"/>
    </row>
    <row r="841" ht="15.75" customHeight="1">
      <c r="C841" s="14"/>
    </row>
    <row r="842" ht="15.75" customHeight="1">
      <c r="C842" s="14"/>
    </row>
    <row r="843" ht="15.75" customHeight="1">
      <c r="C843" s="14"/>
    </row>
    <row r="844" ht="15.75" customHeight="1">
      <c r="C844" s="14"/>
    </row>
    <row r="845" ht="15.75" customHeight="1">
      <c r="C845" s="14"/>
    </row>
    <row r="846" ht="15.75" customHeight="1">
      <c r="C846" s="14"/>
    </row>
    <row r="847" ht="15.75" customHeight="1">
      <c r="C847" s="14"/>
    </row>
    <row r="848" ht="15.75" customHeight="1">
      <c r="C848" s="14"/>
    </row>
    <row r="849" ht="15.75" customHeight="1">
      <c r="C849" s="14"/>
    </row>
    <row r="850" ht="15.75" customHeight="1">
      <c r="C850" s="14"/>
    </row>
    <row r="851" ht="15.75" customHeight="1">
      <c r="C851" s="14"/>
    </row>
    <row r="852" ht="15.75" customHeight="1">
      <c r="C852" s="14"/>
    </row>
    <row r="853" ht="15.75" customHeight="1">
      <c r="C853" s="14"/>
    </row>
    <row r="854" ht="15.75" customHeight="1">
      <c r="C854" s="14"/>
    </row>
    <row r="855" ht="15.75" customHeight="1">
      <c r="C855" s="14"/>
    </row>
    <row r="856" ht="15.75" customHeight="1">
      <c r="C856" s="14"/>
    </row>
    <row r="857" ht="15.75" customHeight="1">
      <c r="C857" s="14"/>
    </row>
    <row r="858" ht="15.75" customHeight="1">
      <c r="C858" s="14"/>
    </row>
    <row r="859" ht="15.75" customHeight="1">
      <c r="C859" s="14"/>
    </row>
    <row r="860" ht="15.75" customHeight="1">
      <c r="C860" s="14"/>
    </row>
    <row r="861" ht="15.75" customHeight="1">
      <c r="C861" s="14"/>
    </row>
    <row r="862" ht="15.75" customHeight="1">
      <c r="C862" s="14"/>
    </row>
    <row r="863" ht="15.75" customHeight="1">
      <c r="C863" s="14"/>
    </row>
    <row r="864" ht="15.75" customHeight="1">
      <c r="C864" s="14"/>
    </row>
    <row r="865" ht="15.75" customHeight="1">
      <c r="C865" s="14"/>
    </row>
    <row r="866" ht="15.75" customHeight="1">
      <c r="C866" s="14"/>
    </row>
    <row r="867" ht="15.75" customHeight="1">
      <c r="C867" s="14"/>
    </row>
    <row r="868" ht="15.75" customHeight="1">
      <c r="C868" s="14"/>
    </row>
    <row r="869" ht="15.75" customHeight="1">
      <c r="C869" s="14"/>
    </row>
    <row r="870" ht="15.75" customHeight="1">
      <c r="C870" s="14"/>
    </row>
    <row r="871" ht="15.75" customHeight="1">
      <c r="C871" s="14"/>
    </row>
    <row r="872" ht="15.75" customHeight="1">
      <c r="C872" s="14"/>
    </row>
    <row r="873" ht="15.75" customHeight="1">
      <c r="C873" s="14"/>
    </row>
    <row r="874" ht="15.75" customHeight="1">
      <c r="C874" s="14"/>
    </row>
    <row r="875" ht="15.75" customHeight="1">
      <c r="C875" s="14"/>
    </row>
    <row r="876" ht="15.75" customHeight="1">
      <c r="C876" s="14"/>
    </row>
    <row r="877" ht="15.75" customHeight="1">
      <c r="C877" s="14"/>
    </row>
    <row r="878" ht="15.75" customHeight="1">
      <c r="C878" s="14"/>
    </row>
    <row r="879" ht="15.75" customHeight="1">
      <c r="C879" s="14"/>
    </row>
    <row r="880" ht="15.75" customHeight="1">
      <c r="C880" s="14"/>
    </row>
    <row r="881" ht="15.75" customHeight="1">
      <c r="C881" s="14"/>
    </row>
    <row r="882" ht="15.75" customHeight="1">
      <c r="C882" s="14"/>
    </row>
    <row r="883" ht="15.75" customHeight="1">
      <c r="C883" s="14"/>
    </row>
    <row r="884" ht="15.75" customHeight="1">
      <c r="C884" s="14"/>
    </row>
    <row r="885" ht="15.75" customHeight="1">
      <c r="C885" s="14"/>
    </row>
    <row r="886" ht="15.75" customHeight="1">
      <c r="C886" s="14"/>
    </row>
    <row r="887" ht="15.75" customHeight="1">
      <c r="C887" s="14"/>
    </row>
    <row r="888" ht="15.75" customHeight="1">
      <c r="C888" s="14"/>
    </row>
    <row r="889" ht="15.75" customHeight="1">
      <c r="C889" s="14"/>
    </row>
    <row r="890" ht="15.75" customHeight="1">
      <c r="C890" s="14"/>
    </row>
    <row r="891" ht="15.75" customHeight="1">
      <c r="C891" s="14"/>
    </row>
    <row r="892" ht="15.75" customHeight="1">
      <c r="C892" s="14"/>
    </row>
    <row r="893" ht="15.75" customHeight="1">
      <c r="C893" s="14"/>
    </row>
    <row r="894" ht="15.75" customHeight="1">
      <c r="C894" s="14"/>
    </row>
    <row r="895" ht="15.75" customHeight="1">
      <c r="C895" s="14"/>
    </row>
    <row r="896" ht="15.75" customHeight="1">
      <c r="C896" s="14"/>
    </row>
    <row r="897" ht="15.75" customHeight="1">
      <c r="C897" s="14"/>
    </row>
    <row r="898" ht="15.75" customHeight="1">
      <c r="C898" s="14"/>
    </row>
    <row r="899" ht="15.75" customHeight="1">
      <c r="C899" s="14"/>
    </row>
    <row r="900" ht="15.75" customHeight="1">
      <c r="C900" s="14"/>
    </row>
    <row r="901" ht="15.75" customHeight="1">
      <c r="C901" s="14"/>
    </row>
    <row r="902" ht="15.75" customHeight="1">
      <c r="C902" s="14"/>
    </row>
    <row r="903" ht="15.75" customHeight="1">
      <c r="C903" s="14"/>
    </row>
    <row r="904" ht="15.75" customHeight="1">
      <c r="C904" s="14"/>
    </row>
    <row r="905" ht="15.75" customHeight="1">
      <c r="C905" s="14"/>
    </row>
    <row r="906" ht="15.75" customHeight="1">
      <c r="C906" s="14"/>
    </row>
    <row r="907" ht="15.75" customHeight="1">
      <c r="C907" s="14"/>
    </row>
    <row r="908" ht="15.75" customHeight="1">
      <c r="C908" s="14"/>
    </row>
    <row r="909" ht="15.75" customHeight="1">
      <c r="C909" s="14"/>
    </row>
    <row r="910" ht="15.75" customHeight="1">
      <c r="C910" s="14"/>
    </row>
    <row r="911" ht="15.75" customHeight="1">
      <c r="C911" s="14"/>
    </row>
    <row r="912" ht="15.75" customHeight="1">
      <c r="C912" s="14"/>
    </row>
    <row r="913" ht="15.75" customHeight="1">
      <c r="C913" s="14"/>
    </row>
    <row r="914" ht="15.75" customHeight="1">
      <c r="C914" s="14"/>
    </row>
    <row r="915" ht="15.75" customHeight="1">
      <c r="C915" s="14"/>
    </row>
    <row r="916" ht="15.75" customHeight="1">
      <c r="C916" s="14"/>
    </row>
    <row r="917" ht="15.75" customHeight="1">
      <c r="C917" s="14"/>
    </row>
    <row r="918" ht="15.75" customHeight="1">
      <c r="C918" s="14"/>
    </row>
    <row r="919" ht="15.75" customHeight="1">
      <c r="C919" s="14"/>
    </row>
    <row r="920" ht="15.75" customHeight="1">
      <c r="C920" s="14"/>
    </row>
    <row r="921" ht="15.75" customHeight="1">
      <c r="C921" s="14"/>
    </row>
    <row r="922" ht="15.75" customHeight="1">
      <c r="C922" s="14"/>
    </row>
    <row r="923" ht="15.75" customHeight="1">
      <c r="C923" s="14"/>
    </row>
    <row r="924" ht="15.75" customHeight="1">
      <c r="C924" s="14"/>
    </row>
    <row r="925" ht="15.75" customHeight="1">
      <c r="C925" s="14"/>
    </row>
    <row r="926" ht="15.75" customHeight="1">
      <c r="C926" s="14"/>
    </row>
    <row r="927" ht="15.75" customHeight="1">
      <c r="C927" s="14"/>
    </row>
    <row r="928" ht="15.75" customHeight="1">
      <c r="C928" s="14"/>
    </row>
    <row r="929" ht="15.75" customHeight="1">
      <c r="C929" s="14"/>
    </row>
    <row r="930" ht="15.75" customHeight="1">
      <c r="C930" s="14"/>
    </row>
    <row r="931" ht="15.75" customHeight="1">
      <c r="C931" s="14"/>
    </row>
    <row r="932" ht="15.75" customHeight="1">
      <c r="C932" s="14"/>
    </row>
    <row r="933" ht="15.75" customHeight="1">
      <c r="C933" s="14"/>
    </row>
    <row r="934" ht="15.75" customHeight="1">
      <c r="C934" s="14"/>
    </row>
    <row r="935" ht="15.75" customHeight="1">
      <c r="C935" s="14"/>
    </row>
    <row r="936" ht="15.75" customHeight="1">
      <c r="C936" s="14"/>
    </row>
    <row r="937" ht="15.75" customHeight="1">
      <c r="C937" s="14"/>
    </row>
    <row r="938" ht="15.75" customHeight="1">
      <c r="C938" s="14"/>
    </row>
    <row r="939" ht="15.75" customHeight="1">
      <c r="C939" s="14"/>
    </row>
    <row r="940" ht="15.75" customHeight="1">
      <c r="C940" s="14"/>
    </row>
    <row r="941" ht="15.75" customHeight="1">
      <c r="C941" s="14"/>
    </row>
    <row r="942" ht="15.75" customHeight="1">
      <c r="C942" s="14"/>
    </row>
    <row r="943" ht="15.75" customHeight="1">
      <c r="C943" s="14"/>
    </row>
    <row r="944" ht="15.75" customHeight="1">
      <c r="C944" s="14"/>
    </row>
    <row r="945" ht="15.75" customHeight="1">
      <c r="C945" s="14"/>
    </row>
    <row r="946" ht="15.75" customHeight="1">
      <c r="C946" s="14"/>
    </row>
    <row r="947" ht="15.75" customHeight="1">
      <c r="C947" s="14"/>
    </row>
    <row r="948" ht="15.75" customHeight="1">
      <c r="C948" s="14"/>
    </row>
    <row r="949" ht="15.75" customHeight="1">
      <c r="C949" s="14"/>
    </row>
    <row r="950" ht="15.75" customHeight="1">
      <c r="C950" s="14"/>
    </row>
    <row r="951" ht="15.75" customHeight="1">
      <c r="C951" s="14"/>
    </row>
    <row r="952" ht="15.75" customHeight="1">
      <c r="C952" s="14"/>
    </row>
    <row r="953" ht="15.75" customHeight="1">
      <c r="C953" s="14"/>
    </row>
    <row r="954" ht="15.75" customHeight="1">
      <c r="C954" s="14"/>
    </row>
    <row r="955" ht="15.75" customHeight="1">
      <c r="C955" s="14"/>
    </row>
    <row r="956" ht="15.75" customHeight="1">
      <c r="C956" s="14"/>
    </row>
    <row r="957" ht="15.75" customHeight="1">
      <c r="C957" s="14"/>
    </row>
    <row r="958" ht="15.75" customHeight="1">
      <c r="C958" s="14"/>
    </row>
    <row r="959" ht="15.75" customHeight="1">
      <c r="C959" s="14"/>
    </row>
    <row r="960" ht="15.75" customHeight="1">
      <c r="C960" s="14"/>
    </row>
    <row r="961" ht="15.75" customHeight="1">
      <c r="C961" s="14"/>
    </row>
    <row r="962" ht="15.75" customHeight="1">
      <c r="C962" s="14"/>
    </row>
    <row r="963" ht="15.75" customHeight="1">
      <c r="C963" s="14"/>
    </row>
    <row r="964" ht="15.75" customHeight="1">
      <c r="C964" s="14"/>
    </row>
    <row r="965" ht="15.75" customHeight="1">
      <c r="C965" s="14"/>
    </row>
    <row r="966" ht="15.75" customHeight="1">
      <c r="C966" s="14"/>
    </row>
    <row r="967" ht="15.75" customHeight="1">
      <c r="C967" s="14"/>
    </row>
    <row r="968" ht="15.75" customHeight="1">
      <c r="C968" s="14"/>
    </row>
    <row r="969" ht="15.75" customHeight="1">
      <c r="C969" s="14"/>
    </row>
    <row r="970" ht="15.75" customHeight="1">
      <c r="C970" s="14"/>
    </row>
    <row r="971" ht="15.75" customHeight="1">
      <c r="C971" s="14"/>
    </row>
    <row r="972" ht="15.75" customHeight="1">
      <c r="C972" s="14"/>
    </row>
    <row r="973" ht="15.75" customHeight="1">
      <c r="C973" s="14"/>
    </row>
    <row r="974" ht="15.75" customHeight="1">
      <c r="C974" s="14"/>
    </row>
    <row r="975" ht="15.75" customHeight="1">
      <c r="C975" s="14"/>
    </row>
    <row r="976" ht="15.75" customHeight="1">
      <c r="C976" s="14"/>
    </row>
    <row r="977" ht="15.75" customHeight="1">
      <c r="C977" s="14"/>
    </row>
    <row r="978" ht="15.75" customHeight="1">
      <c r="C978" s="14"/>
    </row>
    <row r="979" ht="15.75" customHeight="1">
      <c r="C979" s="14"/>
    </row>
    <row r="980" ht="15.75" customHeight="1">
      <c r="C980" s="14"/>
    </row>
    <row r="981" ht="15.75" customHeight="1">
      <c r="C981" s="14"/>
    </row>
    <row r="982" ht="15.75" customHeight="1">
      <c r="C982" s="14"/>
    </row>
    <row r="983" ht="15.75" customHeight="1">
      <c r="C983" s="14"/>
    </row>
    <row r="984" ht="15.75" customHeight="1">
      <c r="C984" s="14"/>
    </row>
    <row r="985" ht="15.75" customHeight="1">
      <c r="C985" s="14"/>
    </row>
    <row r="986" ht="15.75" customHeight="1">
      <c r="C986" s="14"/>
    </row>
    <row r="987" ht="15.75" customHeight="1">
      <c r="C987" s="14"/>
    </row>
    <row r="988" ht="15.75" customHeight="1">
      <c r="C988" s="14"/>
    </row>
    <row r="989" ht="15.75" customHeight="1">
      <c r="C989" s="14"/>
    </row>
    <row r="990" ht="15.75" customHeight="1">
      <c r="C990" s="14"/>
    </row>
    <row r="991" ht="15.75" customHeight="1">
      <c r="C991" s="14"/>
    </row>
    <row r="992" ht="15.75" customHeight="1">
      <c r="C992" s="14"/>
    </row>
    <row r="993" ht="15.75" customHeight="1">
      <c r="C993" s="14"/>
    </row>
    <row r="994" ht="15.75" customHeight="1">
      <c r="C994" s="14"/>
    </row>
    <row r="995" ht="15.75" customHeight="1">
      <c r="C995" s="14"/>
    </row>
    <row r="996" ht="15.75" customHeight="1">
      <c r="C996" s="14"/>
    </row>
    <row r="997" ht="15.75" customHeight="1">
      <c r="C997" s="14"/>
    </row>
    <row r="998" ht="15.75" customHeight="1">
      <c r="C998" s="14"/>
    </row>
    <row r="999" ht="15.75" customHeight="1">
      <c r="C999" s="14"/>
    </row>
    <row r="1000" ht="15.75" customHeight="1">
      <c r="C1000" s="14"/>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0"/>
    <col customWidth="1" min="2" max="2" width="19.78"/>
    <col customWidth="1" min="3" max="3" width="42.33"/>
    <col customWidth="1" min="4" max="4" width="44.33"/>
    <col customWidth="1" min="5" max="5" width="41.89"/>
  </cols>
  <sheetData>
    <row r="1">
      <c r="A1" s="2" t="s">
        <v>3</v>
      </c>
      <c r="B1" s="4" t="s">
        <v>5</v>
      </c>
      <c r="C1" s="18" t="s">
        <v>6</v>
      </c>
      <c r="D1" s="2" t="s">
        <v>8</v>
      </c>
      <c r="E1" s="2" t="s">
        <v>10</v>
      </c>
    </row>
    <row r="2" hidden="1"/>
    <row r="3" hidden="1"/>
    <row r="4" hidden="1"/>
    <row r="5" hidden="1"/>
    <row r="6" hidden="1"/>
    <row r="7" hidden="1"/>
    <row r="8" hidden="1"/>
    <row r="9" hidden="1"/>
    <row r="10" hidden="1">
      <c r="A10" s="45" t="s">
        <v>56</v>
      </c>
      <c r="B10" s="45" t="s">
        <v>57</v>
      </c>
      <c r="C10" s="46"/>
      <c r="D10" s="45"/>
      <c r="E10" s="45"/>
      <c r="F10" s="110">
        <v>1.0</v>
      </c>
      <c r="G10" s="113" t="str">
        <f>IFERROR(__xludf.DUMMYFUNCTION("TRIM(REGEXREPLACE(C10, ""[0-9]+[a-f]?\."", """"))"),"")</f>
        <v/>
      </c>
      <c r="H10" s="113" t="str">
        <f>IFERROR(__xludf.DUMMYFUNCTION("TRIM(REGEXREPLACE(D10, ""[0-9]+[a-f]?\."", """"))"),"")</f>
        <v/>
      </c>
      <c r="I10" s="113" t="str">
        <f>IFERROR(__xludf.DUMMYFUNCTION("TRIM(REGEXREPLACE(E10, ""[0-9]+[a-f]?\."", """"))"),"")</f>
        <v/>
      </c>
      <c r="J10" s="113" t="s">
        <v>177</v>
      </c>
      <c r="K10" s="113" t="s">
        <v>179</v>
      </c>
      <c r="L10" s="113" t="s">
        <v>180</v>
      </c>
    </row>
    <row r="11" hidden="1"/>
    <row r="12" hidden="1"/>
    <row r="13" hidden="1">
      <c r="C13" s="119"/>
      <c r="D13" s="119"/>
      <c r="E13" s="119"/>
      <c r="F13" s="110">
        <v>2.0</v>
      </c>
      <c r="G13" s="113" t="str">
        <f>IFERROR(__xludf.DUMMYFUNCTION("TRIM(REGEXREPLACE(C13, ""[0-9]+[a-f]?\."", """"))"),"")</f>
        <v/>
      </c>
      <c r="H13" s="113" t="str">
        <f>IFERROR(__xludf.DUMMYFUNCTION("TRIM(REGEXREPLACE(D13, ""[0-9]+[a-f]?\."", """"))"),"")</f>
        <v/>
      </c>
      <c r="I13" s="113" t="str">
        <f>IFERROR(__xludf.DUMMYFUNCTION("TRIM(REGEXREPLACE(E13, ""[0-9]+[a-f]?\."", """"))"),"")</f>
        <v/>
      </c>
      <c r="J13" s="113" t="s">
        <v>175</v>
      </c>
      <c r="K13" s="113" t="s">
        <v>176</v>
      </c>
      <c r="L13" s="113" t="s">
        <v>178</v>
      </c>
    </row>
    <row r="14" hidden="1">
      <c r="A14" s="45" t="s">
        <v>66</v>
      </c>
      <c r="B14" s="45" t="s">
        <v>67</v>
      </c>
      <c r="C14" s="46"/>
      <c r="D14" s="45"/>
      <c r="E14" s="45"/>
      <c r="F14" s="110">
        <v>2.0</v>
      </c>
      <c r="G14" s="113" t="str">
        <f>IFERROR(__xludf.DUMMYFUNCTION("TRIM(REGEXREPLACE(C14, ""[0-9]+[a-f]?\."", """"))"),"")</f>
        <v/>
      </c>
      <c r="H14" s="113" t="str">
        <f>IFERROR(__xludf.DUMMYFUNCTION("TRIM(REGEXREPLACE(D14, ""[0-9]+[a-f]?\."", """"))"),"")</f>
        <v/>
      </c>
      <c r="I14" s="113" t="str">
        <f>IFERROR(__xludf.DUMMYFUNCTION("TRIM(REGEXREPLACE(E14, ""[0-9]+[a-f]?\."", """"))"),"")</f>
        <v/>
      </c>
      <c r="J14" s="113" t="s">
        <v>175</v>
      </c>
      <c r="K14" s="113" t="s">
        <v>176</v>
      </c>
      <c r="L14" s="113" t="s">
        <v>178</v>
      </c>
    </row>
    <row r="15" hidden="1">
      <c r="A15" s="45" t="s">
        <v>75</v>
      </c>
      <c r="B15" s="45" t="s">
        <v>75</v>
      </c>
      <c r="C15" s="46"/>
      <c r="D15" s="45"/>
      <c r="E15" s="45"/>
      <c r="F15" s="110">
        <v>3.0</v>
      </c>
      <c r="G15" s="113" t="str">
        <f>IFERROR(__xludf.DUMMYFUNCTION("TRIM(REGEXREPLACE(C15, ""[0-9]+[a-f]?\."", """"))"),"")</f>
        <v/>
      </c>
      <c r="H15" s="113" t="str">
        <f>IFERROR(__xludf.DUMMYFUNCTION("TRIM(REGEXREPLACE(D15, ""[0-9]+[a-f]?\."", """"))"),"")</f>
        <v/>
      </c>
      <c r="I15" s="113" t="str">
        <f>IFERROR(__xludf.DUMMYFUNCTION("TRIM(REGEXREPLACE(E15, ""[0-9]+[a-f]?\."", """"))"),"")</f>
        <v/>
      </c>
      <c r="J15" s="113" t="s">
        <v>189</v>
      </c>
      <c r="K15" s="113" t="s">
        <v>190</v>
      </c>
      <c r="L15" s="113" t="s">
        <v>191</v>
      </c>
    </row>
    <row r="16" hidden="1">
      <c r="A16" s="45" t="s">
        <v>91</v>
      </c>
      <c r="B16" s="45" t="s">
        <v>92</v>
      </c>
      <c r="C16" s="46"/>
      <c r="D16" s="45"/>
      <c r="E16" s="45"/>
      <c r="F16" s="110">
        <v>4.0</v>
      </c>
      <c r="G16" s="113" t="str">
        <f>IFERROR(__xludf.DUMMYFUNCTION("TRIM(REGEXREPLACE(C16, ""[0-9]+[a-f]?\."", """"))"),"")</f>
        <v/>
      </c>
      <c r="H16" s="113" t="str">
        <f>IFERROR(__xludf.DUMMYFUNCTION("TRIM(REGEXREPLACE(D16, ""[0-9]+[a-f]?\."", """"))"),"")</f>
        <v/>
      </c>
      <c r="I16" s="113" t="str">
        <f>IFERROR(__xludf.DUMMYFUNCTION("TRIM(REGEXREPLACE(E16, ""[0-9]+[a-f]?\."", """"))"),"")</f>
        <v/>
      </c>
      <c r="J16" s="113" t="s">
        <v>195</v>
      </c>
      <c r="K16" s="113" t="s">
        <v>196</v>
      </c>
      <c r="L16" s="113" t="s">
        <v>197</v>
      </c>
    </row>
    <row r="17" hidden="1">
      <c r="C17" s="119"/>
      <c r="D17" s="119"/>
      <c r="E17" s="119"/>
      <c r="F17" s="110">
        <v>5.0</v>
      </c>
      <c r="G17" s="113" t="str">
        <f>IFERROR(__xludf.DUMMYFUNCTION("TRIM(REGEXREPLACE(C17, ""[0-9]+[a-f]?\."", """"))"),"")</f>
        <v/>
      </c>
      <c r="H17" s="113" t="str">
        <f>IFERROR(__xludf.DUMMYFUNCTION("TRIM(REGEXREPLACE(D17, ""[0-9]+[a-f]?\."", """"))"),"")</f>
        <v/>
      </c>
      <c r="I17" s="113" t="str">
        <f>IFERROR(__xludf.DUMMYFUNCTION("TRIM(REGEXREPLACE(E17, ""[0-9]+[a-f]?\."", """"))"),"")</f>
        <v/>
      </c>
      <c r="J17" s="113" t="s">
        <v>199</v>
      </c>
      <c r="K17" s="113" t="s">
        <v>201</v>
      </c>
      <c r="L17" s="113" t="s">
        <v>202</v>
      </c>
    </row>
    <row r="18" hidden="1">
      <c r="A18" s="45" t="s">
        <v>111</v>
      </c>
      <c r="B18" s="45" t="s">
        <v>111</v>
      </c>
      <c r="C18" s="46"/>
      <c r="D18" s="45"/>
      <c r="E18" s="45"/>
      <c r="F18" s="110">
        <v>5.0</v>
      </c>
      <c r="G18" s="113" t="str">
        <f>IFERROR(__xludf.DUMMYFUNCTION("TRIM(REGEXREPLACE(C18, ""[0-9]+[a-f]?\."", """"))"),"")</f>
        <v/>
      </c>
      <c r="H18" s="113" t="str">
        <f>IFERROR(__xludf.DUMMYFUNCTION("TRIM(REGEXREPLACE(D18, ""[0-9]+[a-f]?\."", """"))"),"")</f>
        <v/>
      </c>
      <c r="I18" s="113" t="str">
        <f>IFERROR(__xludf.DUMMYFUNCTION("TRIM(REGEXREPLACE(E18, ""[0-9]+[a-f]?\."", """"))"),"")</f>
        <v/>
      </c>
      <c r="J18" s="113" t="s">
        <v>199</v>
      </c>
      <c r="K18" s="113" t="s">
        <v>201</v>
      </c>
      <c r="L18" s="113" t="s">
        <v>202</v>
      </c>
    </row>
    <row r="19" hidden="1">
      <c r="C19" s="119"/>
      <c r="D19" s="119"/>
      <c r="E19" s="119"/>
      <c r="F19" s="110">
        <v>6.0</v>
      </c>
      <c r="G19" s="113" t="str">
        <f>IFERROR(__xludf.DUMMYFUNCTION("TRIM(REGEXREPLACE(C19, ""[0-9]+[a-f]?\."", """"))"),"")</f>
        <v/>
      </c>
      <c r="H19" s="113" t="str">
        <f>IFERROR(__xludf.DUMMYFUNCTION("TRIM(REGEXREPLACE(D19, ""[0-9]+[a-f]?\."", """"))"),"")</f>
        <v/>
      </c>
      <c r="I19" s="113" t="str">
        <f>IFERROR(__xludf.DUMMYFUNCTION("TRIM(REGEXREPLACE(E19, ""[0-9]+[a-f]?\."", """"))"),"")</f>
        <v/>
      </c>
      <c r="J19" s="113" t="s">
        <v>205</v>
      </c>
      <c r="K19" s="113" t="s">
        <v>206</v>
      </c>
      <c r="L19" s="113" t="s">
        <v>207</v>
      </c>
    </row>
    <row r="20" hidden="1">
      <c r="A20" s="45" t="s">
        <v>115</v>
      </c>
      <c r="B20" s="45" t="s">
        <v>117</v>
      </c>
      <c r="C20" s="46"/>
      <c r="D20" s="45"/>
      <c r="E20" s="45"/>
      <c r="F20" s="110">
        <v>6.0</v>
      </c>
      <c r="G20" s="113" t="str">
        <f>IFERROR(__xludf.DUMMYFUNCTION("TRIM(REGEXREPLACE(C20, ""[0-9]+[a-f]?\."", """"))"),"")</f>
        <v/>
      </c>
      <c r="H20" s="113" t="str">
        <f>IFERROR(__xludf.DUMMYFUNCTION("TRIM(REGEXREPLACE(D20, ""[0-9]+[a-f]?\."", """"))"),"")</f>
        <v/>
      </c>
      <c r="I20" s="113" t="str">
        <f>IFERROR(__xludf.DUMMYFUNCTION("TRIM(REGEXREPLACE(E20, ""[0-9]+[a-f]?\."", """"))"),"")</f>
        <v/>
      </c>
      <c r="J20" s="113" t="s">
        <v>205</v>
      </c>
      <c r="K20" s="113" t="s">
        <v>206</v>
      </c>
      <c r="L20" s="113" t="s">
        <v>207</v>
      </c>
    </row>
    <row r="21" hidden="1"/>
    <row r="22" hidden="1"/>
    <row r="23" hidden="1">
      <c r="C23" s="119"/>
      <c r="D23" s="119"/>
      <c r="E23" s="119"/>
      <c r="F23" s="110">
        <v>7.0</v>
      </c>
      <c r="G23" s="113" t="str">
        <f>IFERROR(__xludf.DUMMYFUNCTION("TRIM(REGEXREPLACE(C23, ""[0-9]+[a-f]?\."", """"))"),"")</f>
        <v/>
      </c>
      <c r="H23" s="113" t="str">
        <f>IFERROR(__xludf.DUMMYFUNCTION("TRIM(REGEXREPLACE(D23, ""[0-9]+[a-f]?\."", """"))"),"")</f>
        <v/>
      </c>
      <c r="I23" s="113" t="str">
        <f>IFERROR(__xludf.DUMMYFUNCTION("TRIM(REGEXREPLACE(E23, ""[0-9]+[a-f]?\."", """"))"),"")</f>
        <v/>
      </c>
      <c r="J23" s="113" t="s">
        <v>214</v>
      </c>
      <c r="K23" s="113" t="s">
        <v>215</v>
      </c>
      <c r="L23" s="113" t="s">
        <v>216</v>
      </c>
    </row>
    <row r="24" hidden="1">
      <c r="A24" s="45" t="s">
        <v>115</v>
      </c>
      <c r="B24" s="45" t="s">
        <v>122</v>
      </c>
      <c r="C24" s="46"/>
      <c r="D24" s="45"/>
      <c r="E24" s="45"/>
      <c r="F24" s="110">
        <v>7.0</v>
      </c>
      <c r="G24" s="113" t="str">
        <f>IFERROR(__xludf.DUMMYFUNCTION("TRIM(REGEXREPLACE(C24, ""[0-9]+[a-f]?\."", """"))"),"")</f>
        <v/>
      </c>
      <c r="H24" s="113" t="str">
        <f>IFERROR(__xludf.DUMMYFUNCTION("TRIM(REGEXREPLACE(D24, ""[0-9]+[a-f]?\."", """"))"),"")</f>
        <v/>
      </c>
      <c r="I24" s="113" t="str">
        <f>IFERROR(__xludf.DUMMYFUNCTION("TRIM(REGEXREPLACE(E24, ""[0-9]+[a-f]?\."", """"))"),"")</f>
        <v/>
      </c>
      <c r="J24" s="113" t="s">
        <v>214</v>
      </c>
      <c r="K24" s="113" t="s">
        <v>215</v>
      </c>
      <c r="L24" s="113" t="s">
        <v>216</v>
      </c>
    </row>
    <row r="25" hidden="1"/>
    <row r="26" hidden="1"/>
    <row r="27" hidden="1"/>
    <row r="28" hidden="1"/>
    <row r="29" hidden="1"/>
    <row r="30" hidden="1"/>
    <row r="31" hidden="1"/>
    <row r="32" hidden="1"/>
    <row r="33" hidden="1">
      <c r="C33" s="119"/>
      <c r="D33" s="119"/>
      <c r="E33" s="119"/>
      <c r="F33" s="110">
        <v>8.0</v>
      </c>
      <c r="G33" s="113" t="str">
        <f>IFERROR(__xludf.DUMMYFUNCTION("TRIM(REGEXREPLACE(C33, ""[0-9]+[a-f]?\."", """"))"),"")</f>
        <v/>
      </c>
      <c r="H33" s="113" t="str">
        <f>IFERROR(__xludf.DUMMYFUNCTION("TRIM(REGEXREPLACE(D33, ""[0-9]+[a-f]?\."", """"))"),"")</f>
        <v/>
      </c>
      <c r="I33" s="113" t="str">
        <f>IFERROR(__xludf.DUMMYFUNCTION("TRIM(REGEXREPLACE(E33, ""[0-9]+[a-f]?\."", """"))"),"")</f>
        <v/>
      </c>
      <c r="J33" s="113" t="s">
        <v>219</v>
      </c>
      <c r="K33" s="113" t="s">
        <v>220</v>
      </c>
      <c r="L33" s="113" t="s">
        <v>220</v>
      </c>
    </row>
    <row r="34" hidden="1">
      <c r="A34" s="75" t="s">
        <v>126</v>
      </c>
      <c r="B34" s="75" t="s">
        <v>127</v>
      </c>
      <c r="C34" s="76" t="s">
        <v>128</v>
      </c>
      <c r="D34" s="45"/>
      <c r="E34" s="45"/>
      <c r="F34" s="110">
        <v>8.0</v>
      </c>
      <c r="G34" s="113" t="str">
        <f>IFERROR(__xludf.DUMMYFUNCTION("TRIM(REGEXREPLACE(C34, ""[0-9]+[a-f]?\."", """"))"),"Question Durations")</f>
        <v>Question Durations</v>
      </c>
      <c r="H34" s="113" t="str">
        <f>IFERROR(__xludf.DUMMYFUNCTION("TRIM(REGEXREPLACE(D34, ""[0-9]+[a-f]?\."", """"))"),"")</f>
        <v/>
      </c>
      <c r="I34" s="113" t="str">
        <f>IFERROR(__xludf.DUMMYFUNCTION("TRIM(REGEXREPLACE(E34, ""[0-9]+[a-f]?\."", """"))"),"")</f>
        <v/>
      </c>
      <c r="J34" s="113" t="s">
        <v>219</v>
      </c>
      <c r="K34" s="113" t="s">
        <v>226</v>
      </c>
      <c r="L34" s="113" t="s">
        <v>227</v>
      </c>
    </row>
    <row r="35" hidden="1"/>
    <row r="36" hidden="1"/>
    <row r="37" hidden="1"/>
    <row r="38" hidden="1"/>
    <row r="39" hidden="1"/>
    <row r="40" hidden="1"/>
    <row r="41" hidden="1"/>
    <row r="42" hidden="1"/>
    <row r="43" hidden="1"/>
    <row r="44" hidden="1"/>
    <row r="45" hidden="1"/>
    <row r="46" hidden="1"/>
    <row r="47" hidden="1"/>
    <row r="48" hidden="1">
      <c r="C48" s="119"/>
      <c r="D48" s="119"/>
      <c r="E48" s="119"/>
      <c r="F48" s="110">
        <v>9.0</v>
      </c>
      <c r="G48" s="113" t="str">
        <f>IFERROR(__xludf.DUMMYFUNCTION("TRIM(REGEXREPLACE(C48, ""[0-9]+[a-f]?\."", """"))"),"")</f>
        <v/>
      </c>
      <c r="H48" s="113" t="str">
        <f>IFERROR(__xludf.DUMMYFUNCTION("TRIM(REGEXREPLACE(D48, ""[0-9]+[a-f]?\."", """"))"),"")</f>
        <v/>
      </c>
      <c r="I48" s="113" t="str">
        <f>IFERROR(__xludf.DUMMYFUNCTION("TRIM(REGEXREPLACE(E48, ""[0-9]+[a-f]?\."", """"))"),"")</f>
        <v/>
      </c>
      <c r="J48" s="113" t="s">
        <v>229</v>
      </c>
      <c r="K48" s="113" t="s">
        <v>230</v>
      </c>
      <c r="L48" s="113" t="s">
        <v>230</v>
      </c>
    </row>
    <row r="49">
      <c r="A49" s="75" t="s">
        <v>44</v>
      </c>
      <c r="B49" s="75" t="s">
        <v>135</v>
      </c>
      <c r="C49" s="76" t="s">
        <v>177</v>
      </c>
      <c r="D49" s="76" t="s">
        <v>179</v>
      </c>
      <c r="E49" s="76" t="s">
        <v>180</v>
      </c>
      <c r="F49" s="110">
        <v>1.0</v>
      </c>
      <c r="G49" s="113" t="str">
        <f>IFERROR(__xludf.DUMMYFUNCTION("TRIM(REGEXREPLACE(C49, ""[0-9]+[a-f]?\."", """"))"),"Follow-up Round 3")</f>
        <v>Follow-up Round 3</v>
      </c>
      <c r="H49" s="113" t="str">
        <f>IFERROR(__xludf.DUMMYFUNCTION("TRIM(REGEXREPLACE(D49, ""[0-9]+[a-f]?\."", """"))"),"Suivi du troisième tour")</f>
        <v>Suivi du troisième tour</v>
      </c>
      <c r="I49" s="113" t="str">
        <f>IFERROR(__xludf.DUMMYFUNCTION("TRIM(REGEXREPLACE(E49, ""[0-9]+[a-f]?\."", """"))"),"Bibiyar Zagaye na 3")</f>
        <v>Bibiyar Zagaye na 3</v>
      </c>
      <c r="J49" s="113" t="str">
        <f>F49 &amp; ". " &amp;G49</f>
        <v>1. Follow-up Round 3</v>
      </c>
      <c r="K49" s="113" t="str">
        <f>F49 &amp; ". " &amp;H49</f>
        <v>1. Suivi du troisième tour</v>
      </c>
      <c r="L49" s="113" t="str">
        <f>F49 &amp; ". " &amp;I49</f>
        <v>1. Bibiyar Zagaye na 3</v>
      </c>
    </row>
    <row r="50" hidden="1">
      <c r="C50" s="119"/>
      <c r="D50" s="119"/>
      <c r="E50" s="119"/>
      <c r="F50" s="110">
        <v>10.0</v>
      </c>
      <c r="G50" s="113" t="str">
        <f>IFERROR(__xludf.DUMMYFUNCTION("TRIM(REGEXREPLACE(C50, ""[0-9]+[a-f]?\."", """"))"),"")</f>
        <v/>
      </c>
      <c r="H50" s="113" t="str">
        <f>IFERROR(__xludf.DUMMYFUNCTION("TRIM(REGEXREPLACE(D50, ""[0-9]+[a-f]?\."", """"))"),"")</f>
        <v/>
      </c>
      <c r="I50" s="113" t="str">
        <f>IFERROR(__xludf.DUMMYFUNCTION("TRIM(REGEXREPLACE(E50, ""[0-9]+[a-f]?\."", """"))"),"")</f>
        <v/>
      </c>
      <c r="J50" s="113" t="s">
        <v>242</v>
      </c>
      <c r="K50" s="113" t="s">
        <v>243</v>
      </c>
      <c r="L50" s="113" t="s">
        <v>243</v>
      </c>
    </row>
    <row r="51" hidden="1">
      <c r="A51" s="45"/>
      <c r="B51" s="45"/>
      <c r="C51" s="46"/>
      <c r="D51" s="45"/>
      <c r="E51" s="45"/>
      <c r="F51" s="110">
        <v>10.0</v>
      </c>
      <c r="G51" s="113" t="str">
        <f>IFERROR(__xludf.DUMMYFUNCTION("TRIM(REGEXREPLACE(C51, ""[0-9]+[a-f]?\."", """"))"),"")</f>
        <v/>
      </c>
      <c r="H51" s="113" t="str">
        <f>IFERROR(__xludf.DUMMYFUNCTION("TRIM(REGEXREPLACE(D51, ""[0-9]+[a-f]?\."", """"))"),"")</f>
        <v/>
      </c>
      <c r="I51" s="113" t="str">
        <f>IFERROR(__xludf.DUMMYFUNCTION("TRIM(REGEXREPLACE(E51, ""[0-9]+[a-f]?\."", """"))"),"")</f>
        <v/>
      </c>
      <c r="J51" s="113" t="s">
        <v>242</v>
      </c>
      <c r="K51" s="113" t="s">
        <v>244</v>
      </c>
      <c r="L51" s="113" t="s">
        <v>245</v>
      </c>
    </row>
    <row r="52" hidden="1">
      <c r="A52" s="80" t="s">
        <v>150</v>
      </c>
      <c r="B52" s="81" t="s">
        <v>151</v>
      </c>
      <c r="C52" s="82"/>
      <c r="D52" s="83"/>
      <c r="E52" s="83"/>
      <c r="F52" s="110">
        <v>11.0</v>
      </c>
      <c r="G52" s="113" t="str">
        <f>IFERROR(__xludf.DUMMYFUNCTION("TRIM(REGEXREPLACE(C52, ""[0-9]+[a-f]?\."", """"))"),"")</f>
        <v/>
      </c>
      <c r="H52" s="113" t="str">
        <f>IFERROR(__xludf.DUMMYFUNCTION("TRIM(REGEXREPLACE(D52, ""[0-9]+[a-f]?\."", """"))"),"")</f>
        <v/>
      </c>
      <c r="I52" s="113" t="str">
        <f>IFERROR(__xludf.DUMMYFUNCTION("TRIM(REGEXREPLACE(E52, ""[0-9]+[a-f]?\."", """"))"),"")</f>
        <v/>
      </c>
      <c r="J52" s="113" t="s">
        <v>250</v>
      </c>
      <c r="K52" s="113" t="s">
        <v>251</v>
      </c>
      <c r="L52" s="113" t="s">
        <v>252</v>
      </c>
    </row>
    <row r="53" hidden="1">
      <c r="A53" s="75" t="s">
        <v>161</v>
      </c>
      <c r="B53" s="75" t="s">
        <v>162</v>
      </c>
      <c r="C53" s="76" t="s">
        <v>163</v>
      </c>
      <c r="D53" s="45"/>
      <c r="E53" s="47"/>
      <c r="F53" s="110">
        <v>12.0</v>
      </c>
      <c r="G53" s="113" t="str">
        <f>IFERROR(__xludf.DUMMYFUNCTION("TRIM(REGEXREPLACE(C53, ""[0-9]+[a-f]?\."", """"))"),"Enumerator Questions")</f>
        <v>Enumerator Questions</v>
      </c>
      <c r="H53" s="113" t="str">
        <f>IFERROR(__xludf.DUMMYFUNCTION("TRIM(REGEXREPLACE(D53, ""[0-9]+[a-f]?\."", """"))"),"")</f>
        <v/>
      </c>
      <c r="I53" s="113" t="str">
        <f>IFERROR(__xludf.DUMMYFUNCTION("TRIM(REGEXREPLACE(E53, ""[0-9]+[a-f]?\."", """"))"),"")</f>
        <v/>
      </c>
      <c r="J53" s="113" t="s">
        <v>253</v>
      </c>
      <c r="K53" s="113" t="s">
        <v>254</v>
      </c>
      <c r="L53" s="113" t="s">
        <v>255</v>
      </c>
    </row>
    <row r="54">
      <c r="A54" s="114" t="s">
        <v>170</v>
      </c>
      <c r="B54" s="116" t="s">
        <v>58</v>
      </c>
      <c r="C54" s="76" t="s">
        <v>175</v>
      </c>
      <c r="D54" s="76" t="s">
        <v>176</v>
      </c>
      <c r="E54" s="76" t="s">
        <v>178</v>
      </c>
      <c r="F54" s="110">
        <v>2.0</v>
      </c>
      <c r="G54" s="113" t="str">
        <f>IFERROR(__xludf.DUMMYFUNCTION("TRIM(REGEXREPLACE(C54, ""[0-9]+[a-f]?\."", """"))"),"What round is this?")</f>
        <v>What round is this?</v>
      </c>
      <c r="H54" s="113" t="str">
        <f>IFERROR(__xludf.DUMMYFUNCTION("TRIM(REGEXREPLACE(D54, ""[0-9]+[a-f]?\."", """"))"),"quel tour est-ce ?")</f>
        <v>quel tour est-ce ?</v>
      </c>
      <c r="I54" s="113" t="str">
        <f>IFERROR(__xludf.DUMMYFUNCTION("TRIM(REGEXREPLACE(E54, ""[0-9]+[a-f]?\."", """"))"),"Wane kewaye ne?")</f>
        <v>Wane kewaye ne?</v>
      </c>
      <c r="J54" s="113" t="str">
        <f t="shared" ref="J54:J56" si="1">F54 &amp; ". " &amp;G54</f>
        <v>2. What round is this?</v>
      </c>
      <c r="K54" s="113" t="str">
        <f t="shared" ref="K54:K56" si="2">F54 &amp; ". " &amp;H54</f>
        <v>2. quel tour est-ce ?</v>
      </c>
      <c r="L54" s="113" t="str">
        <f t="shared" ref="L54:L56" si="3">F54 &amp; ". " &amp;I54</f>
        <v>2. Wane kewaye ne?</v>
      </c>
    </row>
    <row r="55">
      <c r="A55" s="114" t="s">
        <v>188</v>
      </c>
      <c r="B55" s="116" t="s">
        <v>118</v>
      </c>
      <c r="C55" s="76" t="s">
        <v>189</v>
      </c>
      <c r="D55" s="76" t="s">
        <v>190</v>
      </c>
      <c r="E55" s="76" t="s">
        <v>191</v>
      </c>
      <c r="F55" s="110">
        <v>3.0</v>
      </c>
      <c r="G55" s="113" t="str">
        <f>IFERROR(__xludf.DUMMYFUNCTION("TRIM(REGEXREPLACE(C55, ""[0-9]+[a-f]?\."", """"))"),"Who is your team leader?")</f>
        <v>Who is your team leader?</v>
      </c>
      <c r="H55" s="113" t="str">
        <f>IFERROR(__xludf.DUMMYFUNCTION("TRIM(REGEXREPLACE(D55, ""[0-9]+[a-f]?\."", """"))"),"Qui est votre chef d'équipe?")</f>
        <v>Qui est votre chef d'équipe?</v>
      </c>
      <c r="I55" s="113" t="str">
        <f>IFERROR(__xludf.DUMMYFUNCTION("TRIM(REGEXREPLACE(E55, ""[0-9]+[a-f]?\."", """"))"),"Wanene shugaban tahiyar ku ?")</f>
        <v>Wanene shugaban tahiyar ku ?</v>
      </c>
      <c r="J55" s="113" t="str">
        <f t="shared" si="1"/>
        <v>3. Who is your team leader?</v>
      </c>
      <c r="K55" s="113" t="str">
        <f t="shared" si="2"/>
        <v>3. Qui est votre chef d'équipe?</v>
      </c>
      <c r="L55" s="113" t="str">
        <f t="shared" si="3"/>
        <v>3. Wanene shugaban tahiyar ku ?</v>
      </c>
    </row>
    <row r="56">
      <c r="A56" s="75" t="s">
        <v>204</v>
      </c>
      <c r="B56" s="75" t="s">
        <v>160</v>
      </c>
      <c r="C56" s="76" t="s">
        <v>195</v>
      </c>
      <c r="D56" s="76" t="s">
        <v>196</v>
      </c>
      <c r="E56" s="76" t="s">
        <v>197</v>
      </c>
      <c r="F56" s="110">
        <v>4.0</v>
      </c>
      <c r="G56" s="113" t="str">
        <f>IFERROR(__xludf.DUMMYFUNCTION("TRIM(REGEXREPLACE(C56, ""[0-9]+[a-f]?\."", """"))"),"What is your name?")</f>
        <v>What is your name?</v>
      </c>
      <c r="H56" s="113" t="str">
        <f>IFERROR(__xludf.DUMMYFUNCTION("TRIM(REGEXREPLACE(D56, ""[0-9]+[a-f]?\."", """"))"),"Quel est votre nom?")</f>
        <v>Quel est votre nom?</v>
      </c>
      <c r="I56" s="113" t="str">
        <f>IFERROR(__xludf.DUMMYFUNCTION("TRIM(REGEXREPLACE(E56, ""[0-9]+[a-f]?\."", """"))"),"Menene sunanka?")</f>
        <v>Menene sunanka?</v>
      </c>
      <c r="J56" s="113" t="str">
        <f t="shared" si="1"/>
        <v>4. What is your name?</v>
      </c>
      <c r="K56" s="113" t="str">
        <f t="shared" si="2"/>
        <v>4. Quel est votre nom?</v>
      </c>
      <c r="L56" s="113" t="str">
        <f t="shared" si="3"/>
        <v>4. Menene sunanka?</v>
      </c>
    </row>
    <row r="57" hidden="1"/>
    <row r="58" hidden="1">
      <c r="A58" s="75" t="s">
        <v>115</v>
      </c>
      <c r="B58" s="75" t="s">
        <v>224</v>
      </c>
      <c r="C58" s="76" t="s">
        <v>225</v>
      </c>
      <c r="D58" s="47"/>
      <c r="E58" s="47"/>
      <c r="F58" s="110">
        <v>16.0</v>
      </c>
      <c r="G58" s="113" t="str">
        <f>IFERROR(__xludf.DUMMYFUNCTION("TRIM(REGEXREPLACE(C58, ""[0-9]+[a-f]?\."", """"))"),"CALC: Pull enumerator name")</f>
        <v>CALC: Pull enumerator name</v>
      </c>
      <c r="H58" s="113" t="str">
        <f>IFERROR(__xludf.DUMMYFUNCTION("TRIM(REGEXREPLACE(D58, ""[0-9]+[a-f]?\."", """"))"),"")</f>
        <v/>
      </c>
      <c r="I58" s="113" t="str">
        <f>IFERROR(__xludf.DUMMYFUNCTION("TRIM(REGEXREPLACE(E58, ""[0-9]+[a-f]?\."", """"))"),"")</f>
        <v/>
      </c>
      <c r="J58" s="113" t="s">
        <v>268</v>
      </c>
      <c r="K58" s="113" t="s">
        <v>269</v>
      </c>
      <c r="L58" s="113" t="s">
        <v>271</v>
      </c>
    </row>
    <row r="59" hidden="1"/>
    <row r="60" hidden="1"/>
    <row r="61" hidden="1">
      <c r="B61" s="119"/>
      <c r="C61" s="119"/>
      <c r="D61" s="119"/>
      <c r="E61" s="119"/>
      <c r="F61" s="110">
        <v>14.0</v>
      </c>
      <c r="G61" s="113" t="str">
        <f>IFERROR(__xludf.DUMMYFUNCTION("TRIM(REGEXREPLACE(C61, ""[0-9]+[a-f]?\."", """"))"),"")</f>
        <v/>
      </c>
      <c r="H61" s="113" t="str">
        <f>IFERROR(__xludf.DUMMYFUNCTION("TRIM(REGEXREPLACE(D61, ""[0-9]+[a-f]?\."", """"))"),"")</f>
        <v/>
      </c>
      <c r="I61" s="113" t="str">
        <f>IFERROR(__xludf.DUMMYFUNCTION("TRIM(REGEXREPLACE(E61, ""[0-9]+[a-f]?\."", """"))"),"")</f>
        <v/>
      </c>
      <c r="J61" s="113" t="s">
        <v>274</v>
      </c>
      <c r="K61" s="113" t="s">
        <v>276</v>
      </c>
      <c r="L61" s="113" t="s">
        <v>276</v>
      </c>
    </row>
    <row r="62" hidden="1">
      <c r="B62" s="119"/>
      <c r="C62" s="119"/>
      <c r="D62" s="119"/>
      <c r="E62" s="119"/>
      <c r="F62" s="110">
        <v>15.0</v>
      </c>
      <c r="G62" s="113" t="str">
        <f>IFERROR(__xludf.DUMMYFUNCTION("TRIM(REGEXREPLACE(C62, ""[0-9]+[a-f]?\."", """"))"),"")</f>
        <v/>
      </c>
      <c r="H62" s="113" t="str">
        <f>IFERROR(__xludf.DUMMYFUNCTION("TRIM(REGEXREPLACE(D62, ""[0-9]+[a-f]?\."", """"))"),"")</f>
        <v/>
      </c>
      <c r="I62" s="113" t="str">
        <f>IFERROR(__xludf.DUMMYFUNCTION("TRIM(REGEXREPLACE(E62, ""[0-9]+[a-f]?\."", """"))"),"")</f>
        <v/>
      </c>
      <c r="J62" s="113" t="s">
        <v>278</v>
      </c>
      <c r="K62" s="113" t="s">
        <v>279</v>
      </c>
      <c r="L62" s="113" t="s">
        <v>279</v>
      </c>
    </row>
    <row r="63" hidden="1">
      <c r="B63" s="119"/>
      <c r="C63" s="119"/>
      <c r="D63" s="119"/>
      <c r="E63" s="119"/>
      <c r="F63" s="110">
        <v>16.0</v>
      </c>
      <c r="G63" s="113" t="str">
        <f>IFERROR(__xludf.DUMMYFUNCTION("TRIM(REGEXREPLACE(C63, ""[0-9]+[a-f]?\."", """"))"),"")</f>
        <v/>
      </c>
      <c r="H63" s="113" t="str">
        <f>IFERROR(__xludf.DUMMYFUNCTION("TRIM(REGEXREPLACE(D63, ""[0-9]+[a-f]?\."", """"))"),"")</f>
        <v/>
      </c>
      <c r="I63" s="113" t="str">
        <f>IFERROR(__xludf.DUMMYFUNCTION("TRIM(REGEXREPLACE(E63, ""[0-9]+[a-f]?\."", """"))"),"")</f>
        <v/>
      </c>
      <c r="J63" s="113" t="s">
        <v>280</v>
      </c>
      <c r="K63" s="113" t="s">
        <v>281</v>
      </c>
      <c r="L63" s="113" t="s">
        <v>282</v>
      </c>
    </row>
    <row r="64" hidden="1">
      <c r="B64" s="119"/>
      <c r="C64" s="119"/>
      <c r="D64" s="119"/>
      <c r="E64" s="119"/>
      <c r="F64" s="110">
        <v>17.0</v>
      </c>
      <c r="G64" s="113" t="str">
        <f>IFERROR(__xludf.DUMMYFUNCTION("TRIM(REGEXREPLACE(C64, ""[0-9]+[a-f]?\."", """"))"),"")</f>
        <v/>
      </c>
      <c r="H64" s="113" t="str">
        <f>IFERROR(__xludf.DUMMYFUNCTION("TRIM(REGEXREPLACE(D64, ""[0-9]+[a-f]?\."", """"))"),"")</f>
        <v/>
      </c>
      <c r="I64" s="113" t="str">
        <f>IFERROR(__xludf.DUMMYFUNCTION("TRIM(REGEXREPLACE(E64, ""[0-9]+[a-f]?\."", """"))"),"")</f>
        <v/>
      </c>
      <c r="J64" s="113" t="s">
        <v>283</v>
      </c>
      <c r="K64" s="113" t="s">
        <v>284</v>
      </c>
      <c r="L64" s="113" t="s">
        <v>286</v>
      </c>
    </row>
    <row r="65" hidden="1">
      <c r="B65" s="119"/>
      <c r="C65" s="119"/>
      <c r="D65" s="119"/>
      <c r="E65" s="119"/>
      <c r="F65" s="110">
        <v>18.0</v>
      </c>
      <c r="G65" s="113" t="str">
        <f>IFERROR(__xludf.DUMMYFUNCTION("TRIM(REGEXREPLACE(C65, ""[0-9]+[a-f]?\."", """"))"),"")</f>
        <v/>
      </c>
      <c r="H65" s="113" t="str">
        <f>IFERROR(__xludf.DUMMYFUNCTION("TRIM(REGEXREPLACE(D65, ""[0-9]+[a-f]?\."", """"))"),"")</f>
        <v/>
      </c>
      <c r="I65" s="113" t="str">
        <f>IFERROR(__xludf.DUMMYFUNCTION("TRIM(REGEXREPLACE(E65, ""[0-9]+[a-f]?\."", """"))"),"")</f>
        <v/>
      </c>
      <c r="J65" s="113" t="s">
        <v>290</v>
      </c>
      <c r="K65" s="113" t="s">
        <v>291</v>
      </c>
      <c r="L65" s="113" t="s">
        <v>292</v>
      </c>
    </row>
    <row r="66">
      <c r="A66" s="75" t="s">
        <v>204</v>
      </c>
      <c r="B66" s="75" t="s">
        <v>234</v>
      </c>
      <c r="C66" s="76" t="s">
        <v>199</v>
      </c>
      <c r="D66" s="76" t="s">
        <v>201</v>
      </c>
      <c r="E66" s="76" t="s">
        <v>202</v>
      </c>
      <c r="F66" s="110">
        <v>5.0</v>
      </c>
      <c r="G66" s="113" t="str">
        <f>IFERROR(__xludf.DUMMYFUNCTION("TRIM(REGEXREPLACE(C66, ""[0-9]+[a-f]?\."", """"))"),"What is your partner's name?")</f>
        <v>What is your partner's name?</v>
      </c>
      <c r="H66" s="113" t="str">
        <f>IFERROR(__xludf.DUMMYFUNCTION("TRIM(REGEXREPLACE(D66, ""[0-9]+[a-f]?\."", """"))"),"Quel est le nom de votre binôme?")</f>
        <v>Quel est le nom de votre binôme?</v>
      </c>
      <c r="I66" s="113" t="str">
        <f>IFERROR(__xludf.DUMMYFUNCTION("TRIM(REGEXREPLACE(E66, ""[0-9]+[a-f]?\."", """"))"),"Menene sunan abokin aikinka")</f>
        <v>Menene sunan abokin aikinka</v>
      </c>
      <c r="J66" s="113" t="str">
        <f>F66 &amp; ". " &amp;G66</f>
        <v>5. What is your partner's name?</v>
      </c>
      <c r="K66" s="113" t="str">
        <f>F66 &amp; ". " &amp;H66</f>
        <v>5. Quel est le nom de votre binôme?</v>
      </c>
      <c r="L66" s="113" t="str">
        <f>F66 &amp; ". " &amp;I66</f>
        <v>5. Menene sunan abokin aikinka</v>
      </c>
    </row>
    <row r="67" hidden="1">
      <c r="B67" s="119"/>
      <c r="C67" s="119"/>
      <c r="D67" s="119"/>
      <c r="E67" s="119"/>
      <c r="F67" s="110">
        <v>18.0</v>
      </c>
      <c r="G67" s="113" t="str">
        <f>IFERROR(__xludf.DUMMYFUNCTION("TRIM(REGEXREPLACE(C67, ""[0-9]+[a-f]?\."", """"))"),"")</f>
        <v/>
      </c>
      <c r="H67" s="113" t="str">
        <f>IFERROR(__xludf.DUMMYFUNCTION("TRIM(REGEXREPLACE(D67, ""[0-9]+[a-f]?\."", """"))"),"")</f>
        <v/>
      </c>
      <c r="I67" s="113" t="str">
        <f>IFERROR(__xludf.DUMMYFUNCTION("TRIM(REGEXREPLACE(E67, ""[0-9]+[a-f]?\."", """"))"),"")</f>
        <v/>
      </c>
      <c r="J67" s="113" t="s">
        <v>299</v>
      </c>
      <c r="K67" s="113" t="s">
        <v>300</v>
      </c>
      <c r="L67" s="113" t="s">
        <v>300</v>
      </c>
    </row>
    <row r="68" hidden="1">
      <c r="A68" s="75" t="s">
        <v>115</v>
      </c>
      <c r="B68" s="75" t="s">
        <v>257</v>
      </c>
      <c r="C68" s="76" t="s">
        <v>225</v>
      </c>
      <c r="D68" s="47"/>
      <c r="E68" s="47"/>
      <c r="F68" s="110">
        <v>18.0</v>
      </c>
      <c r="G68" s="113" t="str">
        <f>IFERROR(__xludf.DUMMYFUNCTION("TRIM(REGEXREPLACE(C68, ""[0-9]+[a-f]?\."", """"))"),"CALC: Pull enumerator name")</f>
        <v>CALC: Pull enumerator name</v>
      </c>
      <c r="H68" s="113" t="str">
        <f>IFERROR(__xludf.DUMMYFUNCTION("TRIM(REGEXREPLACE(D68, ""[0-9]+[a-f]?\."", """"))"),"")</f>
        <v/>
      </c>
      <c r="I68" s="113" t="str">
        <f>IFERROR(__xludf.DUMMYFUNCTION("TRIM(REGEXREPLACE(E68, ""[0-9]+[a-f]?\."", """"))"),"")</f>
        <v/>
      </c>
      <c r="J68" s="113" t="s">
        <v>299</v>
      </c>
      <c r="K68" s="113" t="s">
        <v>300</v>
      </c>
      <c r="L68" s="113" t="s">
        <v>300</v>
      </c>
    </row>
    <row r="69">
      <c r="A69" s="75" t="s">
        <v>266</v>
      </c>
      <c r="B69" s="75" t="s">
        <v>137</v>
      </c>
      <c r="C69" s="76" t="s">
        <v>205</v>
      </c>
      <c r="D69" s="76" t="s">
        <v>206</v>
      </c>
      <c r="E69" s="76" t="s">
        <v>207</v>
      </c>
      <c r="F69" s="110">
        <v>6.0</v>
      </c>
      <c r="G69" s="113" t="str">
        <f>IFERROR(__xludf.DUMMYFUNCTION("TRIM(REGEXREPLACE(C69, ""[0-9]+[a-f]?\."", """"))"),"What commune are you surveying in?")</f>
        <v>What commune are you surveying in?</v>
      </c>
      <c r="H69" s="113" t="str">
        <f>IFERROR(__xludf.DUMMYFUNCTION("TRIM(REGEXREPLACE(D69, ""[0-9]+[a-f]?\."", """"))"),"Quelle est votre commune de travail ?")</f>
        <v>Quelle est votre commune de travail ?</v>
      </c>
      <c r="I69" s="113" t="str">
        <f>IFERROR(__xludf.DUMMYFUNCTION("TRIM(REGEXREPLACE(E69, ""[0-9]+[a-f]?\."", """"))"),"Cikin wane komin kake aiki?")</f>
        <v>Cikin wane komin kake aiki?</v>
      </c>
      <c r="J69" s="113" t="str">
        <f>F69 &amp; ". " &amp;G69</f>
        <v>6. What commune are you surveying in?</v>
      </c>
      <c r="K69" s="113" t="str">
        <f>F69 &amp; ". " &amp;H69</f>
        <v>6. Quelle est votre commune de travail ?</v>
      </c>
      <c r="L69" s="113" t="str">
        <f>F69 &amp; ". " &amp;I69</f>
        <v>6. Cikin wane komin kake aiki?</v>
      </c>
    </row>
    <row r="70" hidden="1">
      <c r="A70" s="75" t="s">
        <v>115</v>
      </c>
      <c r="B70" s="75" t="s">
        <v>139</v>
      </c>
      <c r="C70" s="76" t="s">
        <v>293</v>
      </c>
      <c r="D70" s="47"/>
      <c r="E70" s="47"/>
      <c r="F70" s="110">
        <v>20.0</v>
      </c>
      <c r="G70" s="113" t="str">
        <f>IFERROR(__xludf.DUMMYFUNCTION("TRIM(REGEXREPLACE(C70, ""[0-9]+[a-f]?\."", """"))"),"CALC: Pull commune name")</f>
        <v>CALC: Pull commune name</v>
      </c>
      <c r="H70" s="113" t="str">
        <f>IFERROR(__xludf.DUMMYFUNCTION("TRIM(REGEXREPLACE(D70, ""[0-9]+[a-f]?\."", """"))"),"")</f>
        <v/>
      </c>
      <c r="I70" s="113" t="str">
        <f>IFERROR(__xludf.DUMMYFUNCTION("TRIM(REGEXREPLACE(E70, ""[0-9]+[a-f]?\."", """"))"),"")</f>
        <v/>
      </c>
      <c r="J70" s="113" t="s">
        <v>305</v>
      </c>
      <c r="K70" s="113" t="s">
        <v>307</v>
      </c>
      <c r="L70" s="113" t="s">
        <v>309</v>
      </c>
    </row>
    <row r="71" hidden="1">
      <c r="A71" s="131" t="s">
        <v>115</v>
      </c>
      <c r="B71" s="132" t="s">
        <v>302</v>
      </c>
      <c r="C71" s="133"/>
      <c r="D71" s="133"/>
      <c r="E71" s="133"/>
      <c r="F71" s="110">
        <v>21.0</v>
      </c>
      <c r="G71" s="113" t="str">
        <f>IFERROR(__xludf.DUMMYFUNCTION("TRIM(REGEXREPLACE(C71, ""[0-9]+[a-f]?\."", """"))"),"")</f>
        <v/>
      </c>
      <c r="H71" s="113" t="str">
        <f>IFERROR(__xludf.DUMMYFUNCTION("TRIM(REGEXREPLACE(D71, ""[0-9]+[a-f]?\."", """"))"),"")</f>
        <v/>
      </c>
      <c r="I71" s="113" t="str">
        <f>IFERROR(__xludf.DUMMYFUNCTION("TRIM(REGEXREPLACE(E71, ""[0-9]+[a-f]?\."", """"))"),"")</f>
        <v/>
      </c>
      <c r="J71" s="113" t="s">
        <v>312</v>
      </c>
      <c r="K71" s="113" t="s">
        <v>313</v>
      </c>
      <c r="L71" s="113" t="s">
        <v>314</v>
      </c>
    </row>
    <row r="72" hidden="1">
      <c r="A72" s="75" t="s">
        <v>115</v>
      </c>
      <c r="B72" s="75" t="s">
        <v>138</v>
      </c>
      <c r="C72" s="76"/>
      <c r="D72" s="135"/>
      <c r="E72" s="135"/>
      <c r="F72" s="110">
        <v>22.0</v>
      </c>
      <c r="G72" s="113" t="str">
        <f>IFERROR(__xludf.DUMMYFUNCTION("TRIM(REGEXREPLACE(C72, ""[0-9]+[a-f]?\."", """"))"),"")</f>
        <v/>
      </c>
      <c r="H72" s="113" t="str">
        <f>IFERROR(__xludf.DUMMYFUNCTION("TRIM(REGEXREPLACE(D72, ""[0-9]+[a-f]?\."", """"))"),"")</f>
        <v/>
      </c>
      <c r="I72" s="113" t="str">
        <f>IFERROR(__xludf.DUMMYFUNCTION("TRIM(REGEXREPLACE(E72, ""[0-9]+[a-f]?\."", """"))"),"")</f>
        <v/>
      </c>
      <c r="J72" s="113" t="s">
        <v>316</v>
      </c>
      <c r="K72" s="113" t="s">
        <v>317</v>
      </c>
      <c r="L72" s="113" t="s">
        <v>318</v>
      </c>
    </row>
    <row r="73">
      <c r="A73" s="75" t="s">
        <v>319</v>
      </c>
      <c r="B73" s="75" t="s">
        <v>147</v>
      </c>
      <c r="C73" s="76" t="s">
        <v>214</v>
      </c>
      <c r="D73" s="76" t="s">
        <v>215</v>
      </c>
      <c r="E73" s="76" t="s">
        <v>216</v>
      </c>
      <c r="F73" s="110">
        <v>7.0</v>
      </c>
      <c r="G73" s="113" t="str">
        <f>IFERROR(__xludf.DUMMYFUNCTION("TRIM(REGEXREPLACE(C73, ""[0-9]+[a-f]?\."", """"))"),"What village/neighborhood are you surveying in?")</f>
        <v>What village/neighborhood are you surveying in?</v>
      </c>
      <c r="H73" s="113" t="str">
        <f>IFERROR(__xludf.DUMMYFUNCTION("TRIM(REGEXREPLACE(D73, ""[0-9]+[a-f]?\."", """"))"),"Dans quelle ville/village faites-vous votre enquête ?")</f>
        <v>Dans quelle ville/village faites-vous votre enquête ?</v>
      </c>
      <c r="I73" s="113" t="str">
        <f>IFERROR(__xludf.DUMMYFUNCTION("TRIM(REGEXREPLACE(E73, ""[0-9]+[a-f]?\."", """"))"),"Cikin wane gari kake binciken?")</f>
        <v>Cikin wane gari kake binciken?</v>
      </c>
      <c r="J73" s="113" t="str">
        <f>F73 &amp; ". " &amp;G73</f>
        <v>7. What village/neighborhood are you surveying in?</v>
      </c>
      <c r="K73" s="113" t="str">
        <f>F73 &amp; ". " &amp;H73</f>
        <v>7. Dans quelle ville/village faites-vous votre enquête ?</v>
      </c>
      <c r="L73" s="113" t="str">
        <f>F73 &amp; ". " &amp;I73</f>
        <v>7. Cikin wane gari kake binciken?</v>
      </c>
    </row>
    <row r="74" hidden="1">
      <c r="A74" s="75" t="s">
        <v>115</v>
      </c>
      <c r="B74" s="75" t="s">
        <v>149</v>
      </c>
      <c r="C74" s="76" t="s">
        <v>326</v>
      </c>
      <c r="D74" s="45"/>
      <c r="E74" s="47"/>
      <c r="F74" s="110">
        <v>24.0</v>
      </c>
      <c r="G74" s="113" t="str">
        <f>IFERROR(__xludf.DUMMYFUNCTION("TRIM(REGEXREPLACE(C74, ""[0-9]+[a-f]?\."", """"))"),"CALC: Pull locality name")</f>
        <v>CALC: Pull locality name</v>
      </c>
      <c r="H74" s="113" t="str">
        <f>IFERROR(__xludf.DUMMYFUNCTION("TRIM(REGEXREPLACE(D74, ""[0-9]+[a-f]?\."", """"))"),"")</f>
        <v/>
      </c>
      <c r="I74" s="113" t="str">
        <f>IFERROR(__xludf.DUMMYFUNCTION("TRIM(REGEXREPLACE(E74, ""[0-9]+[a-f]?\."", """"))"),"")</f>
        <v/>
      </c>
      <c r="J74" s="113" t="s">
        <v>327</v>
      </c>
      <c r="K74" s="113" t="s">
        <v>328</v>
      </c>
      <c r="L74" s="113" t="s">
        <v>329</v>
      </c>
    </row>
    <row r="75" hidden="1">
      <c r="A75" s="75" t="s">
        <v>115</v>
      </c>
      <c r="B75" s="75" t="s">
        <v>330</v>
      </c>
      <c r="C75" s="76"/>
      <c r="D75" s="45"/>
      <c r="E75" s="47"/>
      <c r="F75" s="110">
        <v>25.0</v>
      </c>
      <c r="G75" s="113" t="str">
        <f>IFERROR(__xludf.DUMMYFUNCTION("TRIM(REGEXREPLACE(C75, ""[0-9]+[a-f]?\."", """"))"),"")</f>
        <v/>
      </c>
      <c r="H75" s="113" t="str">
        <f>IFERROR(__xludf.DUMMYFUNCTION("TRIM(REGEXREPLACE(D75, ""[0-9]+[a-f]?\."", """"))"),"")</f>
        <v/>
      </c>
      <c r="I75" s="113" t="str">
        <f>IFERROR(__xludf.DUMMYFUNCTION("TRIM(REGEXREPLACE(E75, ""[0-9]+[a-f]?\."", """"))"),"")</f>
        <v/>
      </c>
      <c r="J75" s="113" t="s">
        <v>332</v>
      </c>
      <c r="K75" s="113" t="s">
        <v>334</v>
      </c>
      <c r="L75" s="113" t="s">
        <v>335</v>
      </c>
    </row>
    <row r="76" hidden="1">
      <c r="A76" s="75" t="s">
        <v>115</v>
      </c>
      <c r="B76" s="75" t="s">
        <v>337</v>
      </c>
      <c r="C76" s="76"/>
      <c r="D76" s="45"/>
      <c r="E76" s="47"/>
      <c r="F76" s="110">
        <v>26.0</v>
      </c>
      <c r="G76" s="113" t="str">
        <f>IFERROR(__xludf.DUMMYFUNCTION("TRIM(REGEXREPLACE(C76, ""[0-9]+[a-f]?\."", """"))"),"")</f>
        <v/>
      </c>
      <c r="H76" s="113" t="str">
        <f>IFERROR(__xludf.DUMMYFUNCTION("TRIM(REGEXREPLACE(D76, ""[0-9]+[a-f]?\."", """"))"),"")</f>
        <v/>
      </c>
      <c r="I76" s="113" t="str">
        <f>IFERROR(__xludf.DUMMYFUNCTION("TRIM(REGEXREPLACE(E76, ""[0-9]+[a-f]?\."", """"))"),"")</f>
        <v/>
      </c>
      <c r="J76" s="113" t="s">
        <v>341</v>
      </c>
      <c r="K76" s="113" t="s">
        <v>342</v>
      </c>
      <c r="L76" s="113" t="s">
        <v>342</v>
      </c>
    </row>
    <row r="77" hidden="1">
      <c r="A77" s="75" t="s">
        <v>343</v>
      </c>
      <c r="B77" s="75" t="s">
        <v>162</v>
      </c>
      <c r="C77" s="76" t="s">
        <v>163</v>
      </c>
      <c r="D77" s="45"/>
      <c r="E77" s="47"/>
      <c r="F77" s="110">
        <v>27.0</v>
      </c>
      <c r="G77" s="113" t="str">
        <f>IFERROR(__xludf.DUMMYFUNCTION("TRIM(REGEXREPLACE(C77, ""[0-9]+[a-f]?\."", """"))"),"Enumerator Questions")</f>
        <v>Enumerator Questions</v>
      </c>
      <c r="H77" s="113" t="str">
        <f>IFERROR(__xludf.DUMMYFUNCTION("TRIM(REGEXREPLACE(D77, ""[0-9]+[a-f]?\."", """"))"),"")</f>
        <v/>
      </c>
      <c r="I77" s="113" t="str">
        <f>IFERROR(__xludf.DUMMYFUNCTION("TRIM(REGEXREPLACE(E77, ""[0-9]+[a-f]?\."", """"))"),"")</f>
        <v/>
      </c>
      <c r="J77" s="113" t="s">
        <v>344</v>
      </c>
      <c r="K77" s="113" t="s">
        <v>345</v>
      </c>
      <c r="L77" s="113" t="s">
        <v>346</v>
      </c>
    </row>
    <row r="78" hidden="1">
      <c r="A78" s="45"/>
      <c r="B78" s="45"/>
      <c r="C78" s="46"/>
      <c r="D78" s="45"/>
      <c r="E78" s="45"/>
      <c r="F78" s="110">
        <v>28.0</v>
      </c>
      <c r="G78" s="113" t="str">
        <f>IFERROR(__xludf.DUMMYFUNCTION("TRIM(REGEXREPLACE(C78, ""[0-9]+[a-f]?\."", """"))"),"")</f>
        <v/>
      </c>
      <c r="H78" s="113" t="str">
        <f>IFERROR(__xludf.DUMMYFUNCTION("TRIM(REGEXREPLACE(D78, ""[0-9]+[a-f]?\."", """"))"),"")</f>
        <v/>
      </c>
      <c r="I78" s="113" t="str">
        <f>IFERROR(__xludf.DUMMYFUNCTION("TRIM(REGEXREPLACE(E78, ""[0-9]+[a-f]?\."", """"))"),"")</f>
        <v/>
      </c>
      <c r="J78" s="113" t="s">
        <v>351</v>
      </c>
      <c r="K78" s="113" t="s">
        <v>352</v>
      </c>
      <c r="L78" s="113" t="s">
        <v>353</v>
      </c>
    </row>
    <row r="79" hidden="1">
      <c r="A79" s="75" t="s">
        <v>161</v>
      </c>
      <c r="B79" s="75" t="s">
        <v>143</v>
      </c>
      <c r="C79" s="46"/>
      <c r="D79" s="45"/>
      <c r="E79" s="45"/>
      <c r="F79" s="110">
        <v>29.0</v>
      </c>
      <c r="G79" s="113" t="str">
        <f>IFERROR(__xludf.DUMMYFUNCTION("TRIM(REGEXREPLACE(C79, ""[0-9]+[a-f]?\."", """"))"),"")</f>
        <v/>
      </c>
      <c r="H79" s="113" t="str">
        <f>IFERROR(__xludf.DUMMYFUNCTION("TRIM(REGEXREPLACE(D79, ""[0-9]+[a-f]?\."", """"))"),"")</f>
        <v/>
      </c>
      <c r="I79" s="113" t="str">
        <f>IFERROR(__xludf.DUMMYFUNCTION("TRIM(REGEXREPLACE(E79, ""[0-9]+[a-f]?\."", """"))"),"")</f>
        <v/>
      </c>
      <c r="J79" s="113" t="s">
        <v>356</v>
      </c>
      <c r="K79" s="113" t="s">
        <v>357</v>
      </c>
      <c r="L79" s="113" t="s">
        <v>358</v>
      </c>
    </row>
    <row r="80" hidden="1">
      <c r="A80" s="136" t="s">
        <v>115</v>
      </c>
      <c r="B80" s="137" t="s">
        <v>359</v>
      </c>
      <c r="C80" s="138"/>
      <c r="D80" s="139"/>
      <c r="E80" s="139"/>
      <c r="F80" s="110">
        <v>30.0</v>
      </c>
      <c r="G80" s="113" t="str">
        <f>IFERROR(__xludf.DUMMYFUNCTION("TRIM(REGEXREPLACE(C80, ""[0-9]+[a-f]?\."", """"))"),"")</f>
        <v/>
      </c>
      <c r="H80" s="113" t="str">
        <f>IFERROR(__xludf.DUMMYFUNCTION("TRIM(REGEXREPLACE(D80, ""[0-9]+[a-f]?\."", """"))"),"")</f>
        <v/>
      </c>
      <c r="I80" s="113" t="str">
        <f>IFERROR(__xludf.DUMMYFUNCTION("TRIM(REGEXREPLACE(E80, ""[0-9]+[a-f]?\."", """"))"),"")</f>
        <v/>
      </c>
      <c r="J80" s="113" t="s">
        <v>363</v>
      </c>
      <c r="K80" s="113" t="s">
        <v>364</v>
      </c>
      <c r="L80" s="113" t="s">
        <v>365</v>
      </c>
    </row>
    <row r="81" hidden="1">
      <c r="A81" s="136" t="s">
        <v>115</v>
      </c>
      <c r="B81" s="137" t="s">
        <v>366</v>
      </c>
      <c r="C81" s="138"/>
      <c r="D81" s="140"/>
      <c r="E81" s="140"/>
      <c r="F81" s="110">
        <v>31.0</v>
      </c>
      <c r="G81" s="113" t="str">
        <f>IFERROR(__xludf.DUMMYFUNCTION("TRIM(REGEXREPLACE(C81, ""[0-9]+[a-f]?\."", """"))"),"")</f>
        <v/>
      </c>
      <c r="H81" s="113" t="str">
        <f>IFERROR(__xludf.DUMMYFUNCTION("TRIM(REGEXREPLACE(D81, ""[0-9]+[a-f]?\."", """"))"),"")</f>
        <v/>
      </c>
      <c r="I81" s="113" t="str">
        <f>IFERROR(__xludf.DUMMYFUNCTION("TRIM(REGEXREPLACE(E81, ""[0-9]+[a-f]?\."", """"))"),"")</f>
        <v/>
      </c>
      <c r="J81" s="113" t="s">
        <v>367</v>
      </c>
      <c r="K81" s="113" t="s">
        <v>368</v>
      </c>
      <c r="L81" s="113" t="s">
        <v>369</v>
      </c>
    </row>
    <row r="82" hidden="1">
      <c r="A82" s="136" t="s">
        <v>115</v>
      </c>
      <c r="B82" s="137" t="s">
        <v>371</v>
      </c>
      <c r="C82" s="138"/>
      <c r="D82" s="140"/>
      <c r="E82" s="140"/>
      <c r="F82" s="110">
        <v>32.0</v>
      </c>
      <c r="G82" s="113" t="str">
        <f>IFERROR(__xludf.DUMMYFUNCTION("TRIM(REGEXREPLACE(C82, ""[0-9]+[a-f]?\."", """"))"),"")</f>
        <v/>
      </c>
      <c r="H82" s="113" t="str">
        <f>IFERROR(__xludf.DUMMYFUNCTION("TRIM(REGEXREPLACE(D82, ""[0-9]+[a-f]?\."", """"))"),"")</f>
        <v/>
      </c>
      <c r="I82" s="113" t="str">
        <f>IFERROR(__xludf.DUMMYFUNCTION("TRIM(REGEXREPLACE(E82, ""[0-9]+[a-f]?\."", """"))"),"")</f>
        <v/>
      </c>
      <c r="J82" s="113" t="s">
        <v>374</v>
      </c>
      <c r="K82" s="113" t="s">
        <v>375</v>
      </c>
      <c r="L82" s="113" t="s">
        <v>376</v>
      </c>
    </row>
    <row r="83" hidden="1">
      <c r="A83" s="136" t="s">
        <v>115</v>
      </c>
      <c r="B83" s="137" t="s">
        <v>378</v>
      </c>
      <c r="C83" s="138"/>
      <c r="D83" s="140"/>
      <c r="E83" s="140"/>
      <c r="F83" s="110">
        <v>33.0</v>
      </c>
      <c r="G83" s="113" t="str">
        <f>IFERROR(__xludf.DUMMYFUNCTION("TRIM(REGEXREPLACE(C83, ""[0-9]+[a-f]?\."", """"))"),"")</f>
        <v/>
      </c>
      <c r="H83" s="113" t="str">
        <f>IFERROR(__xludf.DUMMYFUNCTION("TRIM(REGEXREPLACE(D83, ""[0-9]+[a-f]?\."", """"))"),"")</f>
        <v/>
      </c>
      <c r="I83" s="113" t="str">
        <f>IFERROR(__xludf.DUMMYFUNCTION("TRIM(REGEXREPLACE(E83, ""[0-9]+[a-f]?\."", """"))"),"")</f>
        <v/>
      </c>
      <c r="J83" s="113" t="s">
        <v>381</v>
      </c>
      <c r="K83" s="113" t="s">
        <v>382</v>
      </c>
      <c r="L83" s="113" t="s">
        <v>383</v>
      </c>
    </row>
    <row r="84" hidden="1">
      <c r="A84" s="136" t="s">
        <v>115</v>
      </c>
      <c r="B84" s="137" t="s">
        <v>384</v>
      </c>
      <c r="C84" s="138"/>
      <c r="D84" s="140"/>
      <c r="E84" s="140"/>
      <c r="F84" s="110">
        <v>34.0</v>
      </c>
      <c r="G84" s="113" t="str">
        <f>IFERROR(__xludf.DUMMYFUNCTION("TRIM(REGEXREPLACE(C84, ""[0-9]+[a-f]?\."", """"))"),"")</f>
        <v/>
      </c>
      <c r="H84" s="113" t="str">
        <f>IFERROR(__xludf.DUMMYFUNCTION("TRIM(REGEXREPLACE(D84, ""[0-9]+[a-f]?\."", """"))"),"")</f>
        <v/>
      </c>
      <c r="I84" s="113" t="str">
        <f>IFERROR(__xludf.DUMMYFUNCTION("TRIM(REGEXREPLACE(E84, ""[0-9]+[a-f]?\."", """"))"),"")</f>
        <v/>
      </c>
      <c r="J84" s="113" t="s">
        <v>385</v>
      </c>
      <c r="K84" s="113" t="s">
        <v>386</v>
      </c>
      <c r="L84" s="113" t="s">
        <v>386</v>
      </c>
    </row>
    <row r="85" hidden="1"/>
    <row r="86" hidden="1">
      <c r="B86" s="119"/>
      <c r="C86" s="119"/>
      <c r="D86" s="119"/>
      <c r="E86" s="119"/>
      <c r="F86" s="110">
        <v>35.0</v>
      </c>
      <c r="G86" s="113" t="str">
        <f>IFERROR(__xludf.DUMMYFUNCTION("TRIM(REGEXREPLACE(C86, ""[0-9]+[a-f]?\."", """"))"),"")</f>
        <v/>
      </c>
      <c r="H86" s="113" t="str">
        <f>IFERROR(__xludf.DUMMYFUNCTION("TRIM(REGEXREPLACE(D86, ""[0-9]+[a-f]?\."", """"))"),"")</f>
        <v/>
      </c>
      <c r="I86" s="113" t="str">
        <f>IFERROR(__xludf.DUMMYFUNCTION("TRIM(REGEXREPLACE(E86, ""[0-9]+[a-f]?\."", """"))"),"")</f>
        <v/>
      </c>
      <c r="J86" s="113" t="s">
        <v>388</v>
      </c>
      <c r="K86" s="113" t="s">
        <v>390</v>
      </c>
      <c r="L86" s="113" t="s">
        <v>391</v>
      </c>
    </row>
    <row r="87" hidden="1">
      <c r="B87" s="119"/>
      <c r="C87" s="119"/>
      <c r="D87" s="119"/>
      <c r="E87" s="119"/>
      <c r="F87" s="110">
        <v>36.0</v>
      </c>
      <c r="G87" s="113" t="str">
        <f>IFERROR(__xludf.DUMMYFUNCTION("TRIM(REGEXREPLACE(C87, ""[0-9]+[a-f]?\."", """"))"),"")</f>
        <v/>
      </c>
      <c r="H87" s="113" t="str">
        <f>IFERROR(__xludf.DUMMYFUNCTION("TRIM(REGEXREPLACE(D87, ""[0-9]+[a-f]?\."", """"))"),"")</f>
        <v/>
      </c>
      <c r="I87" s="113" t="str">
        <f>IFERROR(__xludf.DUMMYFUNCTION("TRIM(REGEXREPLACE(E87, ""[0-9]+[a-f]?\."", """"))"),"")</f>
        <v/>
      </c>
      <c r="J87" s="113" t="s">
        <v>392</v>
      </c>
      <c r="K87" s="113" t="s">
        <v>393</v>
      </c>
      <c r="L87" s="113" t="s">
        <v>394</v>
      </c>
    </row>
    <row r="88" hidden="1">
      <c r="A88" s="136" t="s">
        <v>115</v>
      </c>
      <c r="B88" s="137" t="s">
        <v>395</v>
      </c>
      <c r="C88" s="138"/>
      <c r="D88" s="140"/>
      <c r="E88" s="140"/>
      <c r="F88" s="110">
        <v>35.0</v>
      </c>
      <c r="G88" s="113" t="str">
        <f>IFERROR(__xludf.DUMMYFUNCTION("TRIM(REGEXREPLACE(C88, ""[0-9]+[a-f]?\."", """"))"),"")</f>
        <v/>
      </c>
      <c r="H88" s="113" t="str">
        <f>IFERROR(__xludf.DUMMYFUNCTION("TRIM(REGEXREPLACE(D88, ""[0-9]+[a-f]?\."", """"))"),"")</f>
        <v/>
      </c>
      <c r="I88" s="113" t="str">
        <f>IFERROR(__xludf.DUMMYFUNCTION("TRIM(REGEXREPLACE(E88, ""[0-9]+[a-f]?\."", """"))"),"")</f>
        <v/>
      </c>
      <c r="J88" s="113" t="s">
        <v>398</v>
      </c>
      <c r="K88" s="113" t="s">
        <v>400</v>
      </c>
      <c r="L88" s="113" t="s">
        <v>401</v>
      </c>
    </row>
    <row r="89">
      <c r="A89" s="75" t="s">
        <v>402</v>
      </c>
      <c r="B89" s="75" t="s">
        <v>198</v>
      </c>
      <c r="C89" s="76" t="s">
        <v>219</v>
      </c>
      <c r="D89" s="76" t="s">
        <v>226</v>
      </c>
      <c r="E89" s="76" t="s">
        <v>227</v>
      </c>
      <c r="F89" s="110">
        <v>8.0</v>
      </c>
      <c r="G89" s="113" t="str">
        <f>IFERROR(__xludf.DUMMYFUNCTION("TRIM(REGEXREPLACE(C89, ""[0-9]+[a-f]?\."", """"))"),"Select the Household ID number:")</f>
        <v>Select the Household ID number:</v>
      </c>
      <c r="H89" s="113" t="str">
        <f>IFERROR(__xludf.DUMMYFUNCTION("TRIM(REGEXREPLACE(D89, ""[0-9]+[a-f]?\."", """"))"),"Sélectionnez le numéro d'identification du ménage :")</f>
        <v>Sélectionnez le numéro d'identification du ménage :</v>
      </c>
      <c r="I89" s="113" t="str">
        <f>IFERROR(__xludf.DUMMYFUNCTION("TRIM(REGEXREPLACE(E89, ""[0-9]+[a-f]?\."", """"))"),"Zaɓi lambar ID na Gida:")</f>
        <v>Zaɓi lambar ID na Gida:</v>
      </c>
      <c r="J89" s="113" t="str">
        <f>F89 &amp; ". " &amp;G89</f>
        <v>8. Select the Household ID number:</v>
      </c>
      <c r="K89" s="113" t="str">
        <f>F89 &amp; ". " &amp;H89</f>
        <v>8. Sélectionnez le numéro d'identification du ménage :</v>
      </c>
      <c r="L89" s="113" t="str">
        <f>F89 &amp; ". " &amp;I89</f>
        <v>8. Zaɓi lambar ID na Gida:</v>
      </c>
    </row>
    <row r="90" hidden="1">
      <c r="A90" s="80" t="s">
        <v>115</v>
      </c>
      <c r="B90" s="91" t="s">
        <v>203</v>
      </c>
      <c r="C90" s="82"/>
      <c r="D90" s="81"/>
      <c r="E90" s="81"/>
      <c r="F90" s="110">
        <v>37.0</v>
      </c>
      <c r="G90" s="113" t="str">
        <f>IFERROR(__xludf.DUMMYFUNCTION("TRIM(REGEXREPLACE(C90, ""[0-9]+[a-f]?\."", """"))"),"")</f>
        <v/>
      </c>
      <c r="H90" s="113" t="str">
        <f>IFERROR(__xludf.DUMMYFUNCTION("TRIM(REGEXREPLACE(D90, ""[0-9]+[a-f]?\."", """"))"),"")</f>
        <v/>
      </c>
      <c r="I90" s="113" t="str">
        <f>IFERROR(__xludf.DUMMYFUNCTION("TRIM(REGEXREPLACE(E90, ""[0-9]+[a-f]?\."", """"))"),"")</f>
        <v/>
      </c>
      <c r="J90" s="113" t="s">
        <v>406</v>
      </c>
      <c r="K90" s="113" t="s">
        <v>407</v>
      </c>
      <c r="L90" s="113" t="s">
        <v>408</v>
      </c>
    </row>
    <row r="91" hidden="1">
      <c r="B91" s="119"/>
      <c r="C91" s="119"/>
      <c r="D91" s="119"/>
      <c r="E91" s="119"/>
      <c r="F91" s="110">
        <v>38.0</v>
      </c>
      <c r="G91" s="113" t="str">
        <f>IFERROR(__xludf.DUMMYFUNCTION("TRIM(REGEXREPLACE(C91, ""[0-9]+[a-f]?\."", """"))"),"")</f>
        <v/>
      </c>
      <c r="H91" s="113" t="str">
        <f>IFERROR(__xludf.DUMMYFUNCTION("TRIM(REGEXREPLACE(D91, ""[0-9]+[a-f]?\."", """"))"),"")</f>
        <v/>
      </c>
      <c r="I91" s="113" t="str">
        <f>IFERROR(__xludf.DUMMYFUNCTION("TRIM(REGEXREPLACE(E91, ""[0-9]+[a-f]?\."", """"))"),"")</f>
        <v/>
      </c>
      <c r="J91" s="113" t="s">
        <v>412</v>
      </c>
      <c r="K91" s="113" t="s">
        <v>413</v>
      </c>
      <c r="L91" s="113" t="s">
        <v>413</v>
      </c>
    </row>
    <row r="92" hidden="1"/>
    <row r="93" hidden="1">
      <c r="A93" s="80" t="s">
        <v>115</v>
      </c>
      <c r="B93" s="91" t="s">
        <v>414</v>
      </c>
      <c r="C93" s="82"/>
      <c r="D93" s="81"/>
      <c r="E93" s="81"/>
      <c r="F93" s="110">
        <v>38.0</v>
      </c>
      <c r="G93" s="113" t="str">
        <f>IFERROR(__xludf.DUMMYFUNCTION("TRIM(REGEXREPLACE(C93, ""[0-9]+[a-f]?\."", """"))"),"")</f>
        <v/>
      </c>
      <c r="H93" s="113" t="str">
        <f>IFERROR(__xludf.DUMMYFUNCTION("TRIM(REGEXREPLACE(D93, ""[0-9]+[a-f]?\."", """"))"),"")</f>
        <v/>
      </c>
      <c r="I93" s="113" t="str">
        <f>IFERROR(__xludf.DUMMYFUNCTION("TRIM(REGEXREPLACE(E93, ""[0-9]+[a-f]?\."", """"))"),"")</f>
        <v/>
      </c>
      <c r="J93" s="113" t="s">
        <v>417</v>
      </c>
      <c r="K93" s="113" t="s">
        <v>418</v>
      </c>
      <c r="L93" s="113" t="s">
        <v>419</v>
      </c>
    </row>
    <row r="94" hidden="1">
      <c r="A94" s="80" t="s">
        <v>115</v>
      </c>
      <c r="B94" s="91" t="s">
        <v>420</v>
      </c>
      <c r="C94" s="141"/>
      <c r="D94" s="81"/>
      <c r="E94" s="81"/>
      <c r="F94" s="110">
        <v>39.0</v>
      </c>
      <c r="G94" s="113" t="str">
        <f>IFERROR(__xludf.DUMMYFUNCTION("TRIM(REGEXREPLACE(C94, ""[0-9]+[a-f]?\."", """"))"),"")</f>
        <v/>
      </c>
      <c r="H94" s="113" t="str">
        <f>IFERROR(__xludf.DUMMYFUNCTION("TRIM(REGEXREPLACE(D94, ""[0-9]+[a-f]?\."", """"))"),"")</f>
        <v/>
      </c>
      <c r="I94" s="113" t="str">
        <f>IFERROR(__xludf.DUMMYFUNCTION("TRIM(REGEXREPLACE(E94, ""[0-9]+[a-f]?\."", """"))"),"")</f>
        <v/>
      </c>
      <c r="J94" s="113" t="s">
        <v>422</v>
      </c>
      <c r="K94" s="113" t="s">
        <v>423</v>
      </c>
      <c r="L94" s="113" t="s">
        <v>425</v>
      </c>
    </row>
    <row r="95" hidden="1">
      <c r="B95" s="119"/>
      <c r="C95" s="119"/>
      <c r="D95" s="119"/>
      <c r="E95" s="119"/>
      <c r="F95" s="110">
        <v>38.0</v>
      </c>
      <c r="G95" s="113" t="str">
        <f>IFERROR(__xludf.DUMMYFUNCTION("TRIM(REGEXREPLACE(C95, ""[0-9]+[a-f]?\."", """"))"),"")</f>
        <v/>
      </c>
      <c r="H95" s="113" t="str">
        <f>IFERROR(__xludf.DUMMYFUNCTION("TRIM(REGEXREPLACE(D95, ""[0-9]+[a-f]?\."", """"))"),"")</f>
        <v/>
      </c>
      <c r="I95" s="113" t="str">
        <f>IFERROR(__xludf.DUMMYFUNCTION("TRIM(REGEXREPLACE(E95, ""[0-9]+[a-f]?\."", """"))"),"")</f>
        <v/>
      </c>
      <c r="J95" s="113" t="s">
        <v>427</v>
      </c>
      <c r="K95" s="113" t="s">
        <v>428</v>
      </c>
      <c r="L95" s="113" t="s">
        <v>429</v>
      </c>
    </row>
    <row r="96" hidden="1">
      <c r="B96" s="119"/>
      <c r="C96" s="119"/>
      <c r="D96" s="119"/>
      <c r="E96" s="119"/>
      <c r="F96" s="110">
        <v>39.0</v>
      </c>
      <c r="G96" s="113" t="str">
        <f>IFERROR(__xludf.DUMMYFUNCTION("TRIM(REGEXREPLACE(C96, ""[0-9]+[a-f]?\."", """"))"),"")</f>
        <v/>
      </c>
      <c r="H96" s="113" t="str">
        <f>IFERROR(__xludf.DUMMYFUNCTION("TRIM(REGEXREPLACE(D96, ""[0-9]+[a-f]?\."", """"))"),"")</f>
        <v/>
      </c>
      <c r="I96" s="113" t="str">
        <f>IFERROR(__xludf.DUMMYFUNCTION("TRIM(REGEXREPLACE(E96, ""[0-9]+[a-f]?\."", """"))"),"")</f>
        <v/>
      </c>
      <c r="J96" s="113" t="s">
        <v>431</v>
      </c>
      <c r="K96" s="113" t="s">
        <v>432</v>
      </c>
      <c r="L96" s="113" t="s">
        <v>433</v>
      </c>
    </row>
    <row r="97" hidden="1">
      <c r="B97" s="119"/>
      <c r="C97" s="119"/>
      <c r="D97" s="119"/>
      <c r="E97" s="119"/>
      <c r="F97" s="110">
        <v>40.0</v>
      </c>
      <c r="G97" s="113" t="str">
        <f>IFERROR(__xludf.DUMMYFUNCTION("TRIM(REGEXREPLACE(C97, ""[0-9]+[a-f]?\."", """"))"),"")</f>
        <v/>
      </c>
      <c r="H97" s="113" t="str">
        <f>IFERROR(__xludf.DUMMYFUNCTION("TRIM(REGEXREPLACE(D97, ""[0-9]+[a-f]?\."", """"))"),"")</f>
        <v/>
      </c>
      <c r="I97" s="113" t="str">
        <f>IFERROR(__xludf.DUMMYFUNCTION("TRIM(REGEXREPLACE(E97, ""[0-9]+[a-f]?\."", """"))"),"")</f>
        <v/>
      </c>
      <c r="J97" s="113" t="s">
        <v>435</v>
      </c>
      <c r="K97" s="113" t="s">
        <v>436</v>
      </c>
      <c r="L97" s="113" t="s">
        <v>437</v>
      </c>
    </row>
    <row r="98" hidden="1">
      <c r="B98" s="119"/>
      <c r="C98" s="119"/>
      <c r="D98" s="119"/>
      <c r="E98" s="119"/>
      <c r="F98" s="110">
        <v>41.0</v>
      </c>
      <c r="G98" s="113" t="str">
        <f>IFERROR(__xludf.DUMMYFUNCTION("TRIM(REGEXREPLACE(C98, ""[0-9]+[a-f]?\."", """"))"),"")</f>
        <v/>
      </c>
      <c r="H98" s="113" t="str">
        <f>IFERROR(__xludf.DUMMYFUNCTION("TRIM(REGEXREPLACE(D98, ""[0-9]+[a-f]?\."", """"))"),"")</f>
        <v/>
      </c>
      <c r="I98" s="113" t="str">
        <f>IFERROR(__xludf.DUMMYFUNCTION("TRIM(REGEXREPLACE(E98, ""[0-9]+[a-f]?\."", """"))"),"")</f>
        <v/>
      </c>
      <c r="J98" s="113" t="s">
        <v>438</v>
      </c>
      <c r="K98" s="113" t="s">
        <v>439</v>
      </c>
      <c r="L98" s="113" t="s">
        <v>440</v>
      </c>
    </row>
    <row r="99" hidden="1">
      <c r="B99" s="119"/>
      <c r="C99" s="119"/>
      <c r="D99" s="119"/>
      <c r="E99" s="119"/>
      <c r="F99" s="110">
        <v>42.0</v>
      </c>
      <c r="G99" s="113" t="str">
        <f>IFERROR(__xludf.DUMMYFUNCTION("TRIM(REGEXREPLACE(C99, ""[0-9]+[a-f]?\."", """"))"),"")</f>
        <v/>
      </c>
      <c r="H99" s="113" t="str">
        <f>IFERROR(__xludf.DUMMYFUNCTION("TRIM(REGEXREPLACE(D99, ""[0-9]+[a-f]?\."", """"))"),"")</f>
        <v/>
      </c>
      <c r="I99" s="113" t="str">
        <f>IFERROR(__xludf.DUMMYFUNCTION("TRIM(REGEXREPLACE(E99, ""[0-9]+[a-f]?\."", """"))"),"")</f>
        <v/>
      </c>
      <c r="J99" s="113" t="s">
        <v>441</v>
      </c>
      <c r="K99" s="113" t="s">
        <v>442</v>
      </c>
      <c r="L99" s="113" t="s">
        <v>443</v>
      </c>
    </row>
    <row r="100" hidden="1">
      <c r="B100" s="119"/>
      <c r="C100" s="119"/>
      <c r="D100" s="119"/>
      <c r="E100" s="119"/>
      <c r="F100" s="110">
        <v>43.0</v>
      </c>
      <c r="G100" s="113" t="str">
        <f>IFERROR(__xludf.DUMMYFUNCTION("TRIM(REGEXREPLACE(C100, ""[0-9]+[a-f]?\."", """"))"),"")</f>
        <v/>
      </c>
      <c r="H100" s="113" t="str">
        <f>IFERROR(__xludf.DUMMYFUNCTION("TRIM(REGEXREPLACE(D100, ""[0-9]+[a-f]?\."", """"))"),"")</f>
        <v/>
      </c>
      <c r="I100" s="113" t="str">
        <f>IFERROR(__xludf.DUMMYFUNCTION("TRIM(REGEXREPLACE(E100, ""[0-9]+[a-f]?\."", """"))"),"")</f>
        <v/>
      </c>
      <c r="J100" s="113" t="s">
        <v>446</v>
      </c>
      <c r="K100" s="113" t="s">
        <v>447</v>
      </c>
      <c r="L100" s="113" t="s">
        <v>448</v>
      </c>
    </row>
    <row r="101" hidden="1">
      <c r="A101" s="80" t="s">
        <v>115</v>
      </c>
      <c r="B101" s="91" t="s">
        <v>449</v>
      </c>
      <c r="C101" s="82"/>
      <c r="D101" s="81"/>
      <c r="E101" s="81"/>
      <c r="F101" s="110">
        <v>40.0</v>
      </c>
      <c r="G101" s="113" t="str">
        <f>IFERROR(__xludf.DUMMYFUNCTION("TRIM(REGEXREPLACE(C101, ""[0-9]+[a-f]?\."", """"))"),"")</f>
        <v/>
      </c>
      <c r="H101" s="113" t="str">
        <f>IFERROR(__xludf.DUMMYFUNCTION("TRIM(REGEXREPLACE(D101, ""[0-9]+[a-f]?\."", """"))"),"")</f>
        <v/>
      </c>
      <c r="I101" s="113" t="str">
        <f>IFERROR(__xludf.DUMMYFUNCTION("TRIM(REGEXREPLACE(E101, ""[0-9]+[a-f]?\."", """"))"),"")</f>
        <v/>
      </c>
      <c r="J101" s="113" t="s">
        <v>451</v>
      </c>
      <c r="K101" s="113" t="s">
        <v>452</v>
      </c>
      <c r="L101" s="113" t="s">
        <v>453</v>
      </c>
    </row>
    <row r="102" hidden="1">
      <c r="A102" s="80" t="s">
        <v>115</v>
      </c>
      <c r="B102" s="91" t="s">
        <v>454</v>
      </c>
      <c r="C102" s="81"/>
      <c r="D102" s="81"/>
      <c r="E102" s="81"/>
      <c r="F102" s="110">
        <v>41.0</v>
      </c>
      <c r="G102" s="113" t="str">
        <f>IFERROR(__xludf.DUMMYFUNCTION("TRIM(REGEXREPLACE(C102, ""[0-9]+[a-f]?\."", """"))"),"")</f>
        <v/>
      </c>
      <c r="H102" s="113" t="str">
        <f>IFERROR(__xludf.DUMMYFUNCTION("TRIM(REGEXREPLACE(D102, ""[0-9]+[a-f]?\."", """"))"),"")</f>
        <v/>
      </c>
      <c r="I102" s="113" t="str">
        <f>IFERROR(__xludf.DUMMYFUNCTION("TRIM(REGEXREPLACE(E102, ""[0-9]+[a-f]?\."", """"))"),"")</f>
        <v/>
      </c>
      <c r="J102" s="113" t="s">
        <v>455</v>
      </c>
      <c r="K102" s="113" t="s">
        <v>456</v>
      </c>
      <c r="L102" s="113" t="s">
        <v>457</v>
      </c>
    </row>
    <row r="103" hidden="1">
      <c r="A103" s="80" t="s">
        <v>115</v>
      </c>
      <c r="B103" s="91" t="s">
        <v>458</v>
      </c>
      <c r="C103" s="81"/>
      <c r="D103" s="81"/>
      <c r="E103" s="81"/>
      <c r="F103" s="110">
        <v>42.0</v>
      </c>
      <c r="G103" s="113" t="str">
        <f>IFERROR(__xludf.DUMMYFUNCTION("TRIM(REGEXREPLACE(C103, ""[0-9]+[a-f]?\."", """"))"),"")</f>
        <v/>
      </c>
      <c r="H103" s="113" t="str">
        <f>IFERROR(__xludf.DUMMYFUNCTION("TRIM(REGEXREPLACE(D103, ""[0-9]+[a-f]?\."", """"))"),"")</f>
        <v/>
      </c>
      <c r="I103" s="113" t="str">
        <f>IFERROR(__xludf.DUMMYFUNCTION("TRIM(REGEXREPLACE(E103, ""[0-9]+[a-f]?\."", """"))"),"")</f>
        <v/>
      </c>
      <c r="J103" s="113" t="s">
        <v>459</v>
      </c>
      <c r="K103" s="113" t="s">
        <v>462</v>
      </c>
      <c r="L103" s="113" t="s">
        <v>463</v>
      </c>
    </row>
    <row r="104" hidden="1">
      <c r="A104" s="80" t="s">
        <v>115</v>
      </c>
      <c r="B104" s="91" t="s">
        <v>464</v>
      </c>
      <c r="C104" s="81"/>
      <c r="D104" s="81"/>
      <c r="E104" s="81"/>
      <c r="F104" s="110">
        <v>43.0</v>
      </c>
      <c r="G104" s="113" t="str">
        <f>IFERROR(__xludf.DUMMYFUNCTION("TRIM(REGEXREPLACE(C104, ""[0-9]+[a-f]?\."", """"))"),"")</f>
        <v/>
      </c>
      <c r="H104" s="113" t="str">
        <f>IFERROR(__xludf.DUMMYFUNCTION("TRIM(REGEXREPLACE(D104, ""[0-9]+[a-f]?\."", """"))"),"")</f>
        <v/>
      </c>
      <c r="I104" s="113" t="str">
        <f>IFERROR(__xludf.DUMMYFUNCTION("TRIM(REGEXREPLACE(E104, ""[0-9]+[a-f]?\."", """"))"),"")</f>
        <v/>
      </c>
      <c r="J104" s="113" t="s">
        <v>469</v>
      </c>
      <c r="K104" s="113" t="s">
        <v>470</v>
      </c>
      <c r="L104" s="113" t="s">
        <v>471</v>
      </c>
    </row>
    <row r="105" hidden="1">
      <c r="A105" s="80" t="s">
        <v>115</v>
      </c>
      <c r="B105" s="91" t="s">
        <v>473</v>
      </c>
      <c r="C105" s="81"/>
      <c r="D105" s="81"/>
      <c r="E105" s="81"/>
      <c r="F105" s="110">
        <v>44.0</v>
      </c>
      <c r="G105" s="113" t="str">
        <f>IFERROR(__xludf.DUMMYFUNCTION("TRIM(REGEXREPLACE(C105, ""[0-9]+[a-f]?\."", """"))"),"")</f>
        <v/>
      </c>
      <c r="H105" s="113" t="str">
        <f>IFERROR(__xludf.DUMMYFUNCTION("TRIM(REGEXREPLACE(D105, ""[0-9]+[a-f]?\."", """"))"),"")</f>
        <v/>
      </c>
      <c r="I105" s="113" t="str">
        <f>IFERROR(__xludf.DUMMYFUNCTION("TRIM(REGEXREPLACE(E105, ""[0-9]+[a-f]?\."", """"))"),"")</f>
        <v/>
      </c>
      <c r="J105" s="113" t="s">
        <v>474</v>
      </c>
      <c r="K105" s="113" t="s">
        <v>475</v>
      </c>
      <c r="L105" s="113" t="s">
        <v>476</v>
      </c>
    </row>
    <row r="106" hidden="1">
      <c r="A106" s="80" t="s">
        <v>115</v>
      </c>
      <c r="B106" s="91" t="s">
        <v>477</v>
      </c>
      <c r="C106" s="81"/>
      <c r="D106" s="81"/>
      <c r="E106" s="81"/>
      <c r="F106" s="110">
        <v>45.0</v>
      </c>
      <c r="G106" s="113" t="str">
        <f>IFERROR(__xludf.DUMMYFUNCTION("TRIM(REGEXREPLACE(C106, ""[0-9]+[a-f]?\."", """"))"),"")</f>
        <v/>
      </c>
      <c r="H106" s="113" t="str">
        <f>IFERROR(__xludf.DUMMYFUNCTION("TRIM(REGEXREPLACE(D106, ""[0-9]+[a-f]?\."", """"))"),"")</f>
        <v/>
      </c>
      <c r="I106" s="113" t="str">
        <f>IFERROR(__xludf.DUMMYFUNCTION("TRIM(REGEXREPLACE(E106, ""[0-9]+[a-f]?\."", """"))"),"")</f>
        <v/>
      </c>
      <c r="J106" s="113" t="s">
        <v>478</v>
      </c>
      <c r="K106" s="113" t="s">
        <v>479</v>
      </c>
      <c r="L106" s="113" t="s">
        <v>481</v>
      </c>
    </row>
    <row r="107" hidden="1">
      <c r="A107" s="80" t="s">
        <v>115</v>
      </c>
      <c r="B107" s="91" t="s">
        <v>482</v>
      </c>
      <c r="C107" s="81"/>
      <c r="D107" s="81"/>
      <c r="E107" s="81"/>
      <c r="F107" s="110">
        <v>46.0</v>
      </c>
      <c r="G107" s="113" t="str">
        <f>IFERROR(__xludf.DUMMYFUNCTION("TRIM(REGEXREPLACE(C107, ""[0-9]+[a-f]?\."", """"))"),"")</f>
        <v/>
      </c>
      <c r="H107" s="113" t="str">
        <f>IFERROR(__xludf.DUMMYFUNCTION("TRIM(REGEXREPLACE(D107, ""[0-9]+[a-f]?\."", """"))"),"")</f>
        <v/>
      </c>
      <c r="I107" s="113" t="str">
        <f>IFERROR(__xludf.DUMMYFUNCTION("TRIM(REGEXREPLACE(E107, ""[0-9]+[a-f]?\."", """"))"),"")</f>
        <v/>
      </c>
      <c r="J107" s="113" t="s">
        <v>485</v>
      </c>
      <c r="K107" s="113" t="s">
        <v>486</v>
      </c>
      <c r="L107" s="113" t="s">
        <v>487</v>
      </c>
    </row>
    <row r="108" hidden="1">
      <c r="A108" s="80" t="s">
        <v>115</v>
      </c>
      <c r="B108" s="91" t="s">
        <v>489</v>
      </c>
      <c r="C108" s="81"/>
      <c r="D108" s="81"/>
      <c r="E108" s="81"/>
      <c r="F108" s="110">
        <v>47.0</v>
      </c>
      <c r="G108" s="113" t="str">
        <f>IFERROR(__xludf.DUMMYFUNCTION("TRIM(REGEXREPLACE(C108, ""[0-9]+[a-f]?\."", """"))"),"")</f>
        <v/>
      </c>
      <c r="H108" s="113" t="str">
        <f>IFERROR(__xludf.DUMMYFUNCTION("TRIM(REGEXREPLACE(D108, ""[0-9]+[a-f]?\."", """"))"),"")</f>
        <v/>
      </c>
      <c r="I108" s="113" t="str">
        <f>IFERROR(__xludf.DUMMYFUNCTION("TRIM(REGEXREPLACE(E108, ""[0-9]+[a-f]?\."", """"))"),"")</f>
        <v/>
      </c>
      <c r="J108" s="113" t="s">
        <v>490</v>
      </c>
      <c r="K108" s="113" t="s">
        <v>492</v>
      </c>
      <c r="L108" s="113" t="s">
        <v>493</v>
      </c>
    </row>
    <row r="109" hidden="1">
      <c r="A109" s="80" t="s">
        <v>115</v>
      </c>
      <c r="B109" s="91" t="s">
        <v>495</v>
      </c>
      <c r="C109" s="81"/>
      <c r="D109" s="81"/>
      <c r="E109" s="81"/>
      <c r="F109" s="110">
        <v>48.0</v>
      </c>
      <c r="G109" s="113" t="str">
        <f>IFERROR(__xludf.DUMMYFUNCTION("TRIM(REGEXREPLACE(C109, ""[0-9]+[a-f]?\."", """"))"),"")</f>
        <v/>
      </c>
      <c r="H109" s="113" t="str">
        <f>IFERROR(__xludf.DUMMYFUNCTION("TRIM(REGEXREPLACE(D109, ""[0-9]+[a-f]?\."", """"))"),"")</f>
        <v/>
      </c>
      <c r="I109" s="113" t="str">
        <f>IFERROR(__xludf.DUMMYFUNCTION("TRIM(REGEXREPLACE(E109, ""[0-9]+[a-f]?\."", """"))"),"")</f>
        <v/>
      </c>
      <c r="J109" s="113" t="s">
        <v>496</v>
      </c>
      <c r="K109" s="113" t="s">
        <v>497</v>
      </c>
      <c r="L109" s="113" t="s">
        <v>498</v>
      </c>
    </row>
    <row r="110" hidden="1">
      <c r="A110" s="80" t="s">
        <v>115</v>
      </c>
      <c r="B110" s="91" t="s">
        <v>499</v>
      </c>
      <c r="C110" s="81"/>
      <c r="D110" s="81"/>
      <c r="E110" s="81"/>
      <c r="F110" s="110">
        <v>49.0</v>
      </c>
      <c r="G110" s="113" t="str">
        <f>IFERROR(__xludf.DUMMYFUNCTION("TRIM(REGEXREPLACE(C110, ""[0-9]+[a-f]?\."", """"))"),"")</f>
        <v/>
      </c>
      <c r="H110" s="113" t="str">
        <f>IFERROR(__xludf.DUMMYFUNCTION("TRIM(REGEXREPLACE(D110, ""[0-9]+[a-f]?\."", """"))"),"")</f>
        <v/>
      </c>
      <c r="I110" s="113" t="str">
        <f>IFERROR(__xludf.DUMMYFUNCTION("TRIM(REGEXREPLACE(E110, ""[0-9]+[a-f]?\."", """"))"),"")</f>
        <v/>
      </c>
      <c r="J110" s="113" t="s">
        <v>501</v>
      </c>
      <c r="K110" s="113" t="s">
        <v>502</v>
      </c>
      <c r="L110" s="113" t="s">
        <v>504</v>
      </c>
    </row>
    <row r="111" hidden="1">
      <c r="A111" s="80" t="s">
        <v>115</v>
      </c>
      <c r="B111" s="91" t="s">
        <v>505</v>
      </c>
      <c r="C111" s="81"/>
      <c r="D111" s="81"/>
      <c r="E111" s="81"/>
      <c r="F111" s="110">
        <v>50.0</v>
      </c>
      <c r="G111" s="113" t="str">
        <f>IFERROR(__xludf.DUMMYFUNCTION("TRIM(REGEXREPLACE(C111, ""[0-9]+[a-f]?\."", """"))"),"")</f>
        <v/>
      </c>
      <c r="H111" s="113" t="str">
        <f>IFERROR(__xludf.DUMMYFUNCTION("TRIM(REGEXREPLACE(D111, ""[0-9]+[a-f]?\."", """"))"),"")</f>
        <v/>
      </c>
      <c r="I111" s="113" t="str">
        <f>IFERROR(__xludf.DUMMYFUNCTION("TRIM(REGEXREPLACE(E111, ""[0-9]+[a-f]?\."", """"))"),"")</f>
        <v/>
      </c>
      <c r="J111" s="113" t="s">
        <v>506</v>
      </c>
      <c r="K111" s="113" t="s">
        <v>508</v>
      </c>
      <c r="L111" s="113" t="s">
        <v>509</v>
      </c>
    </row>
    <row r="112" hidden="1">
      <c r="B112" s="119"/>
      <c r="C112" s="119"/>
      <c r="D112" s="119"/>
      <c r="E112" s="119"/>
      <c r="F112" s="110">
        <v>53.0</v>
      </c>
      <c r="G112" s="113" t="str">
        <f>IFERROR(__xludf.DUMMYFUNCTION("TRIM(REGEXREPLACE(C112, ""[0-9]+[a-f]?\."", """"))"),"")</f>
        <v/>
      </c>
      <c r="H112" s="113" t="str">
        <f>IFERROR(__xludf.DUMMYFUNCTION("TRIM(REGEXREPLACE(D112, ""[0-9]+[a-f]?\."", """"))"),"")</f>
        <v/>
      </c>
      <c r="I112" s="113" t="str">
        <f>IFERROR(__xludf.DUMMYFUNCTION("TRIM(REGEXREPLACE(E112, ""[0-9]+[a-f]?\."", """"))"),"")</f>
        <v/>
      </c>
      <c r="J112" s="113" t="s">
        <v>510</v>
      </c>
      <c r="K112" s="113" t="s">
        <v>511</v>
      </c>
      <c r="L112" s="113" t="s">
        <v>512</v>
      </c>
    </row>
    <row r="113" hidden="1">
      <c r="B113" s="119"/>
      <c r="C113" s="119"/>
      <c r="D113" s="119"/>
      <c r="E113" s="119"/>
      <c r="F113" s="110">
        <v>54.0</v>
      </c>
      <c r="G113" s="113" t="str">
        <f>IFERROR(__xludf.DUMMYFUNCTION("TRIM(REGEXREPLACE(C113, ""[0-9]+[a-f]?\."", """"))"),"")</f>
        <v/>
      </c>
      <c r="H113" s="113" t="str">
        <f>IFERROR(__xludf.DUMMYFUNCTION("TRIM(REGEXREPLACE(D113, ""[0-9]+[a-f]?\."", """"))"),"")</f>
        <v/>
      </c>
      <c r="I113" s="113" t="str">
        <f>IFERROR(__xludf.DUMMYFUNCTION("TRIM(REGEXREPLACE(E113, ""[0-9]+[a-f]?\."", """"))"),"")</f>
        <v/>
      </c>
      <c r="J113" s="113" t="s">
        <v>516</v>
      </c>
      <c r="K113" s="113" t="s">
        <v>517</v>
      </c>
      <c r="L113" s="113" t="s">
        <v>518</v>
      </c>
    </row>
    <row r="114" hidden="1">
      <c r="A114" s="131" t="s">
        <v>115</v>
      </c>
      <c r="B114" s="142" t="s">
        <v>519</v>
      </c>
      <c r="C114" s="133"/>
      <c r="D114" s="146"/>
      <c r="E114" s="133"/>
      <c r="F114" s="110">
        <v>51.0</v>
      </c>
      <c r="G114" s="113" t="str">
        <f>IFERROR(__xludf.DUMMYFUNCTION("TRIM(REGEXREPLACE(C114, ""[0-9]+[a-f]?\."", """"))"),"")</f>
        <v/>
      </c>
      <c r="H114" s="113" t="str">
        <f>IFERROR(__xludf.DUMMYFUNCTION("TRIM(REGEXREPLACE(D114, ""[0-9]+[a-f]?\."", """"))"),"")</f>
        <v/>
      </c>
      <c r="I114" s="113" t="str">
        <f>IFERROR(__xludf.DUMMYFUNCTION("TRIM(REGEXREPLACE(E114, ""[0-9]+[a-f]?\."", """"))"),"")</f>
        <v/>
      </c>
      <c r="J114" s="113" t="s">
        <v>521</v>
      </c>
      <c r="K114" s="113" t="s">
        <v>522</v>
      </c>
      <c r="L114" s="113" t="s">
        <v>524</v>
      </c>
    </row>
    <row r="115">
      <c r="A115" s="75" t="s">
        <v>44</v>
      </c>
      <c r="B115" s="75" t="s">
        <v>527</v>
      </c>
      <c r="C115" s="76" t="s">
        <v>229</v>
      </c>
      <c r="D115" s="76" t="s">
        <v>529</v>
      </c>
      <c r="E115" s="76" t="s">
        <v>530</v>
      </c>
      <c r="F115" s="110">
        <v>9.0</v>
      </c>
      <c r="G115" s="113" t="str">
        <f>IFERROR(__xludf.DUMMYFUNCTION("TRIM(REGEXREPLACE(C115, ""[0-9]+[a-f]?\."", """"))"),"There are no women to survey in this HH. Complete the PM and the SHM survey, if not complete already.")</f>
        <v>There are no women to survey in this HH. Complete the PM and the SHM survey, if not complete already.</v>
      </c>
      <c r="H115" s="113" t="str">
        <f>IFERROR(__xludf.DUMMYFUNCTION("TRIM(REGEXREPLACE(D115, ""[0-9]+[a-f]?\."", """"))"),"Il n'y a aucune femme à enquêter dans ce ménage. Remplissez l'enquête PM et SHM, si ce n'est pas déjà fait.")</f>
        <v>Il n'y a aucune femme à enquêter dans ce ménage. Remplissez l'enquête PM et SHM, si ce n'est pas déjà fait.</v>
      </c>
      <c r="I115" s="113" t="str">
        <f>IFERROR(__xludf.DUMMYFUNCTION("TRIM(REGEXREPLACE(E115, ""[0-9]+[a-f]?\."", """"))"),"Babu mata da za su bada amsa a wannan gidan. Kammala da binciken PM da SHM, idan ba a gama ba tun tuni.")</f>
        <v>Babu mata da za su bada amsa a wannan gidan. Kammala da binciken PM da SHM, idan ba a gama ba tun tuni.</v>
      </c>
      <c r="J115" s="113" t="str">
        <f>F115 &amp; ". " &amp;G115</f>
        <v>9. There are no women to survey in this HH. Complete the PM and the SHM survey, if not complete already.</v>
      </c>
      <c r="K115" s="113" t="str">
        <f>F115 &amp; ". " &amp;H115</f>
        <v>9. Il n'y a aucune femme à enquêter dans ce ménage. Remplissez l'enquête PM et SHM, si ce n'est pas déjà fait.</v>
      </c>
      <c r="L115" s="113" t="str">
        <f>F115 &amp; ". " &amp;I115</f>
        <v>9. Babu mata da za su bada amsa a wannan gidan. Kammala da binciken PM da SHM, idan ba a gama ba tun tuni.</v>
      </c>
    </row>
    <row r="116" hidden="1">
      <c r="A116" s="75" t="s">
        <v>161</v>
      </c>
      <c r="B116" s="75" t="s">
        <v>533</v>
      </c>
      <c r="C116" s="76" t="s">
        <v>535</v>
      </c>
      <c r="D116" s="141"/>
      <c r="E116" s="117"/>
      <c r="F116" s="110">
        <v>53.0</v>
      </c>
      <c r="G116" s="113" t="str">
        <f>IFERROR(__xludf.DUMMYFUNCTION("TRIM(REGEXREPLACE(C116, ""[0-9]+[a-f]?\."", """"))"),"HH has woman to survey")</f>
        <v>HH has woman to survey</v>
      </c>
      <c r="H116" s="113" t="str">
        <f>IFERROR(__xludf.DUMMYFUNCTION("TRIM(REGEXREPLACE(D116, ""[0-9]+[a-f]?\."", """"))"),"")</f>
        <v/>
      </c>
      <c r="I116" s="113" t="str">
        <f>IFERROR(__xludf.DUMMYFUNCTION("TRIM(REGEXREPLACE(E116, ""[0-9]+[a-f]?\."", """"))"),"")</f>
        <v/>
      </c>
      <c r="J116" s="113" t="s">
        <v>538</v>
      </c>
      <c r="K116" s="113" t="s">
        <v>539</v>
      </c>
      <c r="L116" s="113" t="s">
        <v>540</v>
      </c>
    </row>
    <row r="117">
      <c r="A117" s="75" t="s">
        <v>541</v>
      </c>
      <c r="B117" s="75" t="s">
        <v>543</v>
      </c>
      <c r="C117" s="76" t="s">
        <v>242</v>
      </c>
      <c r="D117" s="76" t="s">
        <v>244</v>
      </c>
      <c r="E117" s="76" t="s">
        <v>245</v>
      </c>
      <c r="F117" s="110">
        <v>10.0</v>
      </c>
      <c r="G117" s="113" t="str">
        <f>IFERROR(__xludf.DUMMYFUNCTION("TRIM(REGEXREPLACE(C117, ""[0-9]+[a-f]?\."", """"))"),"You indicated that you are attempting to interview ${w_name} (age: ${w_age}). Is that correct?")</f>
        <v>You indicated that you are attempting to interview ${w_name} (age: ${w_age}). Is that correct?</v>
      </c>
      <c r="H117" s="113" t="str">
        <f>IFERROR(__xludf.DUMMYFUNCTION("TRIM(REGEXREPLACE(D117, ""[0-9]+[a-f]?\."", """"))"),"Vous avez indiqué que vous tentez d'interroger ${w_name} (âge : ${w_age}). Est-ce exact ?")</f>
        <v>Vous avez indiqué que vous tentez d'interroger ${w_name} (âge : ${w_age}). Est-ce exact ?</v>
      </c>
      <c r="I117" s="113" t="str">
        <f>IFERROR(__xludf.DUMMYFUNCTION("TRIM(REGEXREPLACE(E117, ""[0-9]+[a-f]?\."", """"))"),"Kun nuna cewa kuna ƙoƙarin yin hira da ${w_name} (shekaru: ${w_age}). Shin hakan daidai ne?")</f>
        <v>Kun nuna cewa kuna ƙoƙarin yin hira da ${w_name} (shekaru: ${w_age}). Shin hakan daidai ne?</v>
      </c>
      <c r="J117" s="113" t="str">
        <f t="shared" ref="J117:J121" si="4">F117 &amp; ". " &amp;G117</f>
        <v>10. You indicated that you are attempting to interview ${w_name} (age: ${w_age}). Is that correct?</v>
      </c>
      <c r="K117" s="113" t="str">
        <f t="shared" ref="K117:K121" si="5">F117 &amp; ". " &amp;H117</f>
        <v>10. Vous avez indiqué que vous tentez d'interroger ${w_name} (âge : ${w_age}). Est-ce exact ?</v>
      </c>
      <c r="L117" s="113" t="str">
        <f t="shared" ref="L117:L121" si="6">F117 &amp; ". " &amp;I117</f>
        <v>10. Kun nuna cewa kuna ƙoƙarin yin hira da ${w_name} (shekaru: ${w_age}). Shin hakan daidai ne?</v>
      </c>
    </row>
    <row r="118">
      <c r="A118" s="75" t="s">
        <v>548</v>
      </c>
      <c r="B118" s="75" t="s">
        <v>549</v>
      </c>
      <c r="C118" s="76" t="s">
        <v>250</v>
      </c>
      <c r="D118" s="76" t="s">
        <v>251</v>
      </c>
      <c r="E118" s="76" t="s">
        <v>252</v>
      </c>
      <c r="F118" s="110">
        <v>11.0</v>
      </c>
      <c r="G118" s="113" t="str">
        <f>IFERROR(__xludf.DUMMYFUNCTION("TRIM(REGEXREPLACE(C118, ""[0-9]+[a-f]?\."", """"))"),"Who are you trying to interview? Here are the other respondents in this household:")</f>
        <v>Who are you trying to interview? Here are the other respondents in this household:</v>
      </c>
      <c r="H118" s="113" t="str">
        <f>IFERROR(__xludf.DUMMYFUNCTION("TRIM(REGEXREPLACE(D118, ""[0-9]+[a-f]?\."", """"))"),"Qui essayez-vous d’interroger ? Voici les autres répondants de ce foyer :")</f>
        <v>Qui essayez-vous d’interroger ? Voici les autres répondants de ce foyer :</v>
      </c>
      <c r="I118" s="113" t="str">
        <f>IFERROR(__xludf.DUMMYFUNCTION("TRIM(REGEXREPLACE(E118, ""[0-9]+[a-f]?\."", """"))"),"Wanene kuke ƙoƙarin yin hira da shi ? Ga sauran masu bada amsa a wannan gidan:")</f>
        <v>Wanene kuke ƙoƙarin yin hira da shi ? Ga sauran masu bada amsa a wannan gidan:</v>
      </c>
      <c r="J118" s="113" t="str">
        <f t="shared" si="4"/>
        <v>11. Who are you trying to interview? Here are the other respondents in this household:</v>
      </c>
      <c r="K118" s="113" t="str">
        <f t="shared" si="5"/>
        <v>11. Qui essayez-vous d’interroger ? Voici les autres répondants de ce foyer :</v>
      </c>
      <c r="L118" s="113" t="str">
        <f t="shared" si="6"/>
        <v>11. Wanene kuke ƙoƙarin yin hira da shi ? Ga sauran masu bada amsa a wannan gidan:</v>
      </c>
    </row>
    <row r="119">
      <c r="A119" s="75" t="s">
        <v>44</v>
      </c>
      <c r="B119" s="75" t="s">
        <v>551</v>
      </c>
      <c r="C119" s="76" t="s">
        <v>253</v>
      </c>
      <c r="D119" s="76" t="s">
        <v>254</v>
      </c>
      <c r="E119" s="76" t="s">
        <v>255</v>
      </c>
      <c r="F119" s="110">
        <v>12.0</v>
      </c>
      <c r="G119" s="113" t="str">
        <f>IFERROR(__xludf.DUMMYFUNCTION("TRIM(REGEXREPLACE(C119, ""[0-9]+[a-f]?\."", """"))"),"End of survey. Please return and fill out the PM survey to collect survey responses.")</f>
        <v>End of survey. Please return and fill out the PM survey to collect survey responses.</v>
      </c>
      <c r="H119" s="113" t="str">
        <f>IFERROR(__xludf.DUMMYFUNCTION("TRIM(REGEXREPLACE(D119, ""[0-9]+[a-f]?\."", """"))"),"Fin de l'enquête. Veuillez revenir et remplir l'enquête PM pour recueillir les réponses aux questions.")</f>
        <v>Fin de l'enquête. Veuillez revenir et remplir l'enquête PM pour recueillir les réponses aux questions.</v>
      </c>
      <c r="I119" s="113" t="str">
        <f>IFERROR(__xludf.DUMMYFUNCTION("TRIM(REGEXREPLACE(E119, ""[0-9]+[a-f]?\."", """"))"),"Ƙarshen binciken kenan. Da fatan za a dawo a cika binciken PM don tattara amsoshin binciken.")</f>
        <v>Ƙarshen binciken kenan. Da fatan za a dawo a cika binciken PM don tattara amsoshin binciken.</v>
      </c>
      <c r="J119" s="113" t="str">
        <f t="shared" si="4"/>
        <v>12. End of survey. Please return and fill out the PM survey to collect survey responses.</v>
      </c>
      <c r="K119" s="113" t="str">
        <f t="shared" si="5"/>
        <v>12. Fin de l'enquête. Veuillez revenir et remplir l'enquête PM pour recueillir les réponses aux questions.</v>
      </c>
      <c r="L119" s="113" t="str">
        <f t="shared" si="6"/>
        <v>12. Ƙarshen binciken kenan. Da fatan za a dawo a cika binciken PM don tattara amsoshin binciken.</v>
      </c>
    </row>
    <row r="120">
      <c r="A120" s="75" t="s">
        <v>44</v>
      </c>
      <c r="B120" s="75" t="s">
        <v>556</v>
      </c>
      <c r="C120" s="76" t="s">
        <v>557</v>
      </c>
      <c r="D120" s="76" t="s">
        <v>558</v>
      </c>
      <c r="E120" s="76" t="s">
        <v>559</v>
      </c>
      <c r="F120" s="110">
        <v>13.0</v>
      </c>
      <c r="G120" s="113" t="str">
        <f>IFERROR(__xludf.DUMMYFUNCTION("TRIM(REGEXREPLACE(C120, ""[0-9]+[a-f]?\."", """"))"),"End of survey. Please return and fill out the SHM survey to collect survey responses.")</f>
        <v>End of survey. Please return and fill out the SHM survey to collect survey responses.</v>
      </c>
      <c r="H120" s="113" t="str">
        <f>IFERROR(__xludf.DUMMYFUNCTION("TRIM(REGEXREPLACE(D120, ""[0-9]+[a-f]?\."", """"))"),"Fin de l'enquête. Veuillez revenir et remplir l'enquête du SHM pour recueillir les réponses aux questions.")</f>
        <v>Fin de l'enquête. Veuillez revenir et remplir l'enquête du SHM pour recueillir les réponses aux questions.</v>
      </c>
      <c r="I120" s="113" t="str">
        <f>IFERROR(__xludf.DUMMYFUNCTION("TRIM(REGEXREPLACE(E120, ""[0-9]+[a-f]?\."", """"))"),"Ƙarshen binciken kenan. Da fatan za a dawo baya a cika binciken SHM don tattara amsoshin binciken.")</f>
        <v>Ƙarshen binciken kenan. Da fatan za a dawo baya a cika binciken SHM don tattara amsoshin binciken.</v>
      </c>
      <c r="J120" s="113" t="str">
        <f t="shared" si="4"/>
        <v>13. End of survey. Please return and fill out the SHM survey to collect survey responses.</v>
      </c>
      <c r="K120" s="113" t="str">
        <f t="shared" si="5"/>
        <v>13. Fin de l'enquête. Veuillez revenir et remplir l'enquête du SHM pour recueillir les réponses aux questions.</v>
      </c>
      <c r="L120" s="113" t="str">
        <f t="shared" si="6"/>
        <v>13. Ƙarshen binciken kenan. Da fatan za a dawo baya a cika binciken SHM don tattara amsoshin binciken.</v>
      </c>
    </row>
    <row r="121">
      <c r="A121" s="75" t="s">
        <v>44</v>
      </c>
      <c r="B121" s="75" t="s">
        <v>563</v>
      </c>
      <c r="C121" s="76" t="s">
        <v>564</v>
      </c>
      <c r="D121" s="76" t="s">
        <v>565</v>
      </c>
      <c r="E121" s="76" t="s">
        <v>566</v>
      </c>
      <c r="F121" s="110">
        <v>14.0</v>
      </c>
      <c r="G121" s="113" t="str">
        <f>IFERROR(__xludf.DUMMYFUNCTION("TRIM(REGEXREPLACE(C121, ""[0-9]+[a-f]?\."", """"))"),"End of survey. The woman respondent is the Secondary HH member. Please return and fill out the SHM survey to collect survey responses.")</f>
        <v>End of survey. The woman respondent is the Secondary HH member. Please return and fill out the SHM survey to collect survey responses.</v>
      </c>
      <c r="H121" s="113" t="str">
        <f>IFERROR(__xludf.DUMMYFUNCTION("TRIM(REGEXREPLACE(D121, ""[0-9]+[a-f]?\."", """"))"),"Fin de l'enquête. La femme interrogée est le second membre du ménage. Veuillez revenir en arrière et remplir l'enquête du SHM pour recueillir les réponses aux questions.")</f>
        <v>Fin de l'enquête. La femme interrogée est le second membre du ménage. Veuillez revenir en arrière et remplir l'enquête du SHM pour recueillir les réponses aux questions.</v>
      </c>
      <c r="I121" s="113" t="str">
        <f>IFERROR(__xludf.DUMMYFUNCTION("TRIM(REGEXREPLACE(E121, ""[0-9]+[a-f]?\."", """"))"),"Ƙarshen binciken kenan. Matar da ta bada amsa ita ce memba na biyu a gidan. Da fatan za a dawo a cika binciken SHM don tattara amsoshin tambayoyin.")</f>
        <v>Ƙarshen binciken kenan. Matar da ta bada amsa ita ce memba na biyu a gidan. Da fatan za a dawo a cika binciken SHM don tattara amsoshin tambayoyin.</v>
      </c>
      <c r="J121" s="113" t="str">
        <f t="shared" si="4"/>
        <v>14. End of survey. The woman respondent is the Secondary HH member. Please return and fill out the SHM survey to collect survey responses.</v>
      </c>
      <c r="K121" s="113" t="str">
        <f t="shared" si="5"/>
        <v>14. Fin de l'enquête. La femme interrogée est le second membre du ménage. Veuillez revenir en arrière et remplir l'enquête du SHM pour recueillir les réponses aux questions.</v>
      </c>
      <c r="L121" s="113" t="str">
        <f t="shared" si="6"/>
        <v>14. Ƙarshen binciken kenan. Matar da ta bada amsa ita ce memba na biyu a gidan. Da fatan za a dawo a cika binciken SHM don tattara amsoshin tambayoyin.</v>
      </c>
    </row>
    <row r="122" hidden="1">
      <c r="B122" s="119"/>
      <c r="C122" s="119"/>
      <c r="D122" s="119"/>
      <c r="E122" s="119"/>
      <c r="F122" s="110">
        <v>60.0</v>
      </c>
      <c r="G122" s="113" t="str">
        <f>IFERROR(__xludf.DUMMYFUNCTION("TRIM(REGEXREPLACE(C122, ""[0-9]+[a-f]?\."", """"))"),"")</f>
        <v/>
      </c>
      <c r="H122" s="113" t="str">
        <f>IFERROR(__xludf.DUMMYFUNCTION("TRIM(REGEXREPLACE(D122, ""[0-9]+[a-f]?\."", """"))"),"")</f>
        <v/>
      </c>
      <c r="I122" s="113" t="str">
        <f>IFERROR(__xludf.DUMMYFUNCTION("TRIM(REGEXREPLACE(E122, ""[0-9]+[a-f]?\."", """"))"),"")</f>
        <v/>
      </c>
      <c r="J122" s="113" t="s">
        <v>569</v>
      </c>
      <c r="K122" s="113" t="s">
        <v>571</v>
      </c>
      <c r="L122" s="113" t="s">
        <v>572</v>
      </c>
    </row>
    <row r="123" hidden="1"/>
    <row r="124">
      <c r="A124" s="75" t="s">
        <v>541</v>
      </c>
      <c r="B124" s="75" t="s">
        <v>575</v>
      </c>
      <c r="C124" s="76" t="s">
        <v>576</v>
      </c>
      <c r="D124" s="76" t="s">
        <v>577</v>
      </c>
      <c r="E124" s="76" t="s">
        <v>578</v>
      </c>
      <c r="F124" s="110">
        <v>15.0</v>
      </c>
      <c r="G124" s="113" t="str">
        <f>IFERROR(__xludf.DUMMYFUNCTION("TRIM(REGEXREPLACE(C124, ""[0-9]+[a-f]?\."", """"))"),"Is ${w_name} available to be interviewed?")</f>
        <v>Is ${w_name} available to be interviewed?</v>
      </c>
      <c r="H124" s="113" t="str">
        <f>IFERROR(__xludf.DUMMYFUNCTION("TRIM(REGEXREPLACE(D124, ""[0-9]+[a-f]?\."", """"))"),"Est-ce que ${w_name} est disponible pour être interviewé ?")</f>
        <v>Est-ce que ${w_name} est disponible pour être interviewé ?</v>
      </c>
      <c r="I124" s="113" t="str">
        <f>IFERROR(__xludf.DUMMYFUNCTION("TRIM(REGEXREPLACE(E124, ""[0-9]+[a-f]?\."", """"))"),"Ko ${w_name} yana da damar yin hira mu?")</f>
        <v>Ko ${w_name} yana da damar yin hira mu?</v>
      </c>
      <c r="J124" s="113" t="str">
        <f t="shared" ref="J124:J126" si="7">F124 &amp; ". " &amp;G124</f>
        <v>15. Is ${w_name} available to be interviewed?</v>
      </c>
      <c r="K124" s="113" t="str">
        <f t="shared" ref="K124:K126" si="8">F124 &amp; ". " &amp;H124</f>
        <v>15. Est-ce que ${w_name} est disponible pour être interviewé ?</v>
      </c>
      <c r="L124" s="113" t="str">
        <f t="shared" ref="L124:L126" si="9">F124 &amp; ". " &amp;I124</f>
        <v>15. Ko ${w_name} yana da damar yin hira mu?</v>
      </c>
    </row>
    <row r="125">
      <c r="A125" s="75" t="s">
        <v>580</v>
      </c>
      <c r="B125" s="75" t="s">
        <v>581</v>
      </c>
      <c r="C125" s="76" t="s">
        <v>582</v>
      </c>
      <c r="D125" s="76" t="s">
        <v>583</v>
      </c>
      <c r="E125" s="76" t="s">
        <v>584</v>
      </c>
      <c r="F125" s="110">
        <v>16.0</v>
      </c>
      <c r="G125" s="113" t="str">
        <f>IFERROR(__xludf.DUMMYFUNCTION("TRIM(REGEXREPLACE(C125, ""[0-9]+[a-f]?\."", """"))"),"Enumerator: Please specify why ${w_name} is not available right now:")</f>
        <v>Enumerator: Please specify why ${w_name} is not available right now:</v>
      </c>
      <c r="H125" s="113" t="str">
        <f>IFERROR(__xludf.DUMMYFUNCTION("TRIM(REGEXREPLACE(D125, ""[0-9]+[a-f]?\."", """"))"),"Enqueteur: veuillez specifier pourquoi ${w_name} n'est pas disponible maintenant")</f>
        <v>Enqueteur: veuillez specifier pourquoi ${w_name} n'est pas disponible maintenant</v>
      </c>
      <c r="I125" s="113" t="str">
        <f>IFERROR(__xludf.DUMMYFUNCTION("TRIM(REGEXREPLACE(E125, ""[0-9]+[a-f]?\."", """"))"),"Dan binkike: dan mine ${w_name} bai nan a yanzu")</f>
        <v>Dan binkike: dan mine ${w_name} bai nan a yanzu</v>
      </c>
      <c r="J125" s="113" t="str">
        <f t="shared" si="7"/>
        <v>16. Enumerator: Please specify why ${w_name} is not available right now:</v>
      </c>
      <c r="K125" s="113" t="str">
        <f t="shared" si="8"/>
        <v>16. Enqueteur: veuillez specifier pourquoi ${w_name} n'est pas disponible maintenant</v>
      </c>
      <c r="L125" s="113" t="str">
        <f t="shared" si="9"/>
        <v>16. Dan binkike: dan mine ${w_name} bai nan a yanzu</v>
      </c>
    </row>
    <row r="126">
      <c r="A126" s="75" t="s">
        <v>217</v>
      </c>
      <c r="B126" s="75" t="s">
        <v>586</v>
      </c>
      <c r="C126" s="76" t="s">
        <v>588</v>
      </c>
      <c r="D126" s="76" t="s">
        <v>589</v>
      </c>
      <c r="E126" s="76" t="s">
        <v>591</v>
      </c>
      <c r="F126" s="110">
        <v>17.0</v>
      </c>
      <c r="G126" s="113" t="str">
        <f>IFERROR(__xludf.DUMMYFUNCTION("TRIM(REGEXREPLACE(C126, ""[0-9]+[a-f]?\."", """"))"),"Other, specify:")</f>
        <v>Other, specify:</v>
      </c>
      <c r="H126" s="113" t="str">
        <f>IFERROR(__xludf.DUMMYFUNCTION("TRIM(REGEXREPLACE(D126, ""[0-9]+[a-f]?\."", """"))"),"Autre précisez:")</f>
        <v>Autre précisez:</v>
      </c>
      <c r="I126" s="113" t="str">
        <f>IFERROR(__xludf.DUMMYFUNCTION("TRIM(REGEXREPLACE(E126, ""[0-9]+[a-f]?\."", """"))"),"Sauran, bayar da cikakkun bayanai:")</f>
        <v>Sauran, bayar da cikakkun bayanai:</v>
      </c>
      <c r="J126" s="113" t="str">
        <f t="shared" si="7"/>
        <v>17. Other, specify:</v>
      </c>
      <c r="K126" s="113" t="str">
        <f t="shared" si="8"/>
        <v>17. Autre précisez:</v>
      </c>
      <c r="L126" s="113" t="str">
        <f t="shared" si="9"/>
        <v>17. Sauran, bayar da cikakkun bayanai:</v>
      </c>
    </row>
    <row r="127" hidden="1">
      <c r="B127" s="119"/>
      <c r="C127" s="119"/>
      <c r="D127" s="119"/>
      <c r="E127" s="119"/>
      <c r="F127" s="110">
        <v>63.0</v>
      </c>
      <c r="G127" s="113" t="str">
        <f>IFERROR(__xludf.DUMMYFUNCTION("TRIM(REGEXREPLACE(C127, ""[0-9]+[a-f]?\."", """"))"),"")</f>
        <v/>
      </c>
      <c r="H127" s="113" t="str">
        <f>IFERROR(__xludf.DUMMYFUNCTION("TRIM(REGEXREPLACE(D127, ""[0-9]+[a-f]?\."", """"))"),"")</f>
        <v/>
      </c>
      <c r="I127" s="113" t="str">
        <f>IFERROR(__xludf.DUMMYFUNCTION("TRIM(REGEXREPLACE(E127, ""[0-9]+[a-f]?\."", """"))"),"")</f>
        <v/>
      </c>
      <c r="J127" s="113" t="s">
        <v>595</v>
      </c>
      <c r="K127" s="113" t="s">
        <v>596</v>
      </c>
      <c r="L127" s="113" t="s">
        <v>598</v>
      </c>
    </row>
    <row r="128" hidden="1">
      <c r="A128" s="75" t="s">
        <v>343</v>
      </c>
      <c r="B128" s="75" t="s">
        <v>143</v>
      </c>
      <c r="C128" s="46"/>
      <c r="D128" s="45"/>
      <c r="E128" s="45"/>
      <c r="F128" s="110">
        <v>62.0</v>
      </c>
      <c r="G128" s="113" t="str">
        <f>IFERROR(__xludf.DUMMYFUNCTION("TRIM(REGEXREPLACE(C128, ""[0-9]+[a-f]?\."", """"))"),"")</f>
        <v/>
      </c>
      <c r="H128" s="113" t="str">
        <f>IFERROR(__xludf.DUMMYFUNCTION("TRIM(REGEXREPLACE(D128, ""[0-9]+[a-f]?\."", """"))"),"")</f>
        <v/>
      </c>
      <c r="I128" s="113" t="str">
        <f>IFERROR(__xludf.DUMMYFUNCTION("TRIM(REGEXREPLACE(E128, ""[0-9]+[a-f]?\."", """"))"),"")</f>
        <v/>
      </c>
      <c r="J128" s="113" t="s">
        <v>605</v>
      </c>
      <c r="K128" s="113" t="s">
        <v>606</v>
      </c>
      <c r="L128" s="113" t="s">
        <v>607</v>
      </c>
    </row>
    <row r="129" hidden="1">
      <c r="B129" s="119"/>
      <c r="C129" s="119"/>
      <c r="D129" s="119"/>
      <c r="E129" s="119"/>
      <c r="F129" s="110">
        <v>65.0</v>
      </c>
      <c r="G129" s="113" t="str">
        <f>IFERROR(__xludf.DUMMYFUNCTION("TRIM(REGEXREPLACE(C129, ""[0-9]+[a-f]?\."", """"))"),"")</f>
        <v/>
      </c>
      <c r="H129" s="113" t="str">
        <f>IFERROR(__xludf.DUMMYFUNCTION("TRIM(REGEXREPLACE(D129, ""[0-9]+[a-f]?\."", """"))"),"")</f>
        <v/>
      </c>
      <c r="I129" s="113" t="str">
        <f>IFERROR(__xludf.DUMMYFUNCTION("TRIM(REGEXREPLACE(E129, ""[0-9]+[a-f]?\."", """"))"),"")</f>
        <v/>
      </c>
      <c r="J129" s="113" t="s">
        <v>611</v>
      </c>
      <c r="K129" s="113" t="s">
        <v>612</v>
      </c>
      <c r="L129" s="113" t="s">
        <v>613</v>
      </c>
    </row>
    <row r="130" hidden="1">
      <c r="B130" s="119"/>
      <c r="C130" s="119"/>
      <c r="D130" s="119"/>
      <c r="E130" s="119"/>
      <c r="F130" s="110">
        <v>66.0</v>
      </c>
      <c r="G130" s="113" t="str">
        <f>IFERROR(__xludf.DUMMYFUNCTION("TRIM(REGEXREPLACE(C130, ""[0-9]+[a-f]?\."", """"))"),"")</f>
        <v/>
      </c>
      <c r="H130" s="113" t="str">
        <f>IFERROR(__xludf.DUMMYFUNCTION("TRIM(REGEXREPLACE(D130, ""[0-9]+[a-f]?\."", """"))"),"")</f>
        <v/>
      </c>
      <c r="I130" s="113" t="str">
        <f>IFERROR(__xludf.DUMMYFUNCTION("TRIM(REGEXREPLACE(E130, ""[0-9]+[a-f]?\."", """"))"),"")</f>
        <v/>
      </c>
      <c r="J130" s="113" t="s">
        <v>615</v>
      </c>
      <c r="K130" s="113" t="s">
        <v>616</v>
      </c>
      <c r="L130" s="113" t="s">
        <v>617</v>
      </c>
    </row>
    <row r="131">
      <c r="A131" s="75" t="s">
        <v>541</v>
      </c>
      <c r="B131" s="75" t="s">
        <v>618</v>
      </c>
      <c r="C131" s="76" t="s">
        <v>619</v>
      </c>
      <c r="D131" s="76" t="s">
        <v>620</v>
      </c>
      <c r="E131" s="76" t="s">
        <v>621</v>
      </c>
      <c r="F131" s="110">
        <v>18.0</v>
      </c>
      <c r="G131" s="113" t="str">
        <f>IFERROR(__xludf.DUMMYFUNCTION("TRIM(REGEXREPLACE(C131,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31" s="113" t="str">
        <f>IFERROR(__xludf.DUMMYFUNCTION("TRIM(REGEXREPLACE(D131,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31" s="113" t="str">
        <f>IFERROR(__xludf.DUMMYFUNCTION("TRIM(REGEXREPLACE(E131,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31" s="113" t="str">
        <f>F131 &amp; ". " &amp;G131</f>
        <v>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131" s="113" t="str">
        <f>F131 &amp; ". " &amp;H131</f>
        <v>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131" s="113" t="str">
        <f>F131 &amp; ". " &amp;I131</f>
        <v>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row>
    <row r="132" hidden="1">
      <c r="A132" s="80" t="s">
        <v>150</v>
      </c>
      <c r="B132" s="81" t="s">
        <v>625</v>
      </c>
      <c r="C132" s="82"/>
      <c r="D132" s="83"/>
      <c r="E132" s="83"/>
      <c r="F132" s="110">
        <v>64.0</v>
      </c>
      <c r="G132" s="113" t="str">
        <f>IFERROR(__xludf.DUMMYFUNCTION("TRIM(REGEXREPLACE(C132, ""[0-9]+[a-f]?\."", """"))"),"")</f>
        <v/>
      </c>
      <c r="H132" s="113" t="str">
        <f>IFERROR(__xludf.DUMMYFUNCTION("TRIM(REGEXREPLACE(D132, ""[0-9]+[a-f]?\."", """"))"),"")</f>
        <v/>
      </c>
      <c r="I132" s="113" t="str">
        <f>IFERROR(__xludf.DUMMYFUNCTION("TRIM(REGEXREPLACE(E132, ""[0-9]+[a-f]?\."", """"))"),"")</f>
        <v/>
      </c>
      <c r="J132" s="113" t="s">
        <v>628</v>
      </c>
      <c r="K132" s="113" t="s">
        <v>629</v>
      </c>
      <c r="L132" s="113" t="s">
        <v>630</v>
      </c>
    </row>
    <row r="133" hidden="1">
      <c r="A133" s="75" t="s">
        <v>115</v>
      </c>
      <c r="B133" s="75" t="s">
        <v>631</v>
      </c>
      <c r="C133" s="76"/>
      <c r="D133" s="45"/>
      <c r="E133" s="45"/>
      <c r="F133" s="110">
        <v>65.0</v>
      </c>
      <c r="G133" s="113" t="str">
        <f>IFERROR(__xludf.DUMMYFUNCTION("TRIM(REGEXREPLACE(C133, ""[0-9]+[a-f]?\."", """"))"),"")</f>
        <v/>
      </c>
      <c r="H133" s="113" t="str">
        <f>IFERROR(__xludf.DUMMYFUNCTION("TRIM(REGEXREPLACE(D133, ""[0-9]+[a-f]?\."", """"))"),"")</f>
        <v/>
      </c>
      <c r="I133" s="113" t="str">
        <f>IFERROR(__xludf.DUMMYFUNCTION("TRIM(REGEXREPLACE(E133, ""[0-9]+[a-f]?\."", """"))"),"")</f>
        <v/>
      </c>
      <c r="J133" s="113" t="s">
        <v>632</v>
      </c>
      <c r="K133" s="113" t="s">
        <v>633</v>
      </c>
      <c r="L133" s="113" t="s">
        <v>634</v>
      </c>
    </row>
    <row r="134" hidden="1">
      <c r="A134" s="75" t="s">
        <v>161</v>
      </c>
      <c r="B134" s="75" t="s">
        <v>636</v>
      </c>
      <c r="C134" s="76" t="s">
        <v>637</v>
      </c>
      <c r="D134" s="45"/>
      <c r="E134" s="45"/>
      <c r="F134" s="110">
        <v>66.0</v>
      </c>
      <c r="G134" s="113" t="str">
        <f>IFERROR(__xludf.DUMMYFUNCTION("TRIM(REGEXREPLACE(C134, ""[0-9]+[a-f]?\."", """"))"),"Consent: Yes")</f>
        <v>Consent: Yes</v>
      </c>
      <c r="H134" s="113" t="str">
        <f>IFERROR(__xludf.DUMMYFUNCTION("TRIM(REGEXREPLACE(D134, ""[0-9]+[a-f]?\."", """"))"),"")</f>
        <v/>
      </c>
      <c r="I134" s="113" t="str">
        <f>IFERROR(__xludf.DUMMYFUNCTION("TRIM(REGEXREPLACE(E134, ""[0-9]+[a-f]?\."", """"))"),"")</f>
        <v/>
      </c>
      <c r="J134" s="113" t="s">
        <v>640</v>
      </c>
      <c r="K134" s="113" t="s">
        <v>641</v>
      </c>
      <c r="L134" s="113" t="s">
        <v>642</v>
      </c>
    </row>
    <row r="135" hidden="1">
      <c r="A135" s="75" t="s">
        <v>161</v>
      </c>
      <c r="B135" s="75" t="s">
        <v>643</v>
      </c>
      <c r="C135" s="46"/>
      <c r="D135" s="45"/>
      <c r="E135" s="45"/>
      <c r="F135" s="110">
        <v>67.0</v>
      </c>
      <c r="G135" s="113" t="str">
        <f>IFERROR(__xludf.DUMMYFUNCTION("TRIM(REGEXREPLACE(C135, ""[0-9]+[a-f]?\."", """"))"),"")</f>
        <v/>
      </c>
      <c r="H135" s="113" t="str">
        <f>IFERROR(__xludf.DUMMYFUNCTION("TRIM(REGEXREPLACE(D135, ""[0-9]+[a-f]?\."", """"))"),"")</f>
        <v/>
      </c>
      <c r="I135" s="113" t="str">
        <f>IFERROR(__xludf.DUMMYFUNCTION("TRIM(REGEXREPLACE(E135, ""[0-9]+[a-f]?\."", """"))"),"")</f>
        <v/>
      </c>
      <c r="J135" s="113" t="s">
        <v>644</v>
      </c>
      <c r="K135" s="113" t="s">
        <v>645</v>
      </c>
      <c r="L135" s="113" t="s">
        <v>646</v>
      </c>
    </row>
    <row r="136" hidden="1">
      <c r="A136" s="75"/>
      <c r="B136" s="75"/>
      <c r="C136" s="76"/>
      <c r="D136" s="45"/>
      <c r="E136" s="45"/>
      <c r="F136" s="110">
        <v>68.0</v>
      </c>
      <c r="G136" s="113" t="str">
        <f>IFERROR(__xludf.DUMMYFUNCTION("TRIM(REGEXREPLACE(C136, ""[0-9]+[a-f]?\."", """"))"),"")</f>
        <v/>
      </c>
      <c r="H136" s="113" t="str">
        <f>IFERROR(__xludf.DUMMYFUNCTION("TRIM(REGEXREPLACE(D136, ""[0-9]+[a-f]?\."", """"))"),"")</f>
        <v/>
      </c>
      <c r="I136" s="113" t="str">
        <f>IFERROR(__xludf.DUMMYFUNCTION("TRIM(REGEXREPLACE(E136, ""[0-9]+[a-f]?\."", """"))"),"")</f>
        <v/>
      </c>
      <c r="J136" s="113" t="s">
        <v>651</v>
      </c>
      <c r="K136" s="113" t="s">
        <v>652</v>
      </c>
      <c r="L136" s="113" t="s">
        <v>653</v>
      </c>
    </row>
    <row r="137" hidden="1">
      <c r="A137" s="80" t="s">
        <v>150</v>
      </c>
      <c r="B137" s="81" t="s">
        <v>654</v>
      </c>
      <c r="C137" s="82"/>
      <c r="D137" s="83"/>
      <c r="E137" s="83"/>
      <c r="F137" s="110">
        <v>69.0</v>
      </c>
      <c r="G137" s="113" t="str">
        <f>IFERROR(__xludf.DUMMYFUNCTION("TRIM(REGEXREPLACE(C137, ""[0-9]+[a-f]?\."", """"))"),"")</f>
        <v/>
      </c>
      <c r="H137" s="113" t="str">
        <f>IFERROR(__xludf.DUMMYFUNCTION("TRIM(REGEXREPLACE(D137, ""[0-9]+[a-f]?\."", """"))"),"")</f>
        <v/>
      </c>
      <c r="I137" s="113" t="str">
        <f>IFERROR(__xludf.DUMMYFUNCTION("TRIM(REGEXREPLACE(E137, ""[0-9]+[a-f]?\."", """"))"),"")</f>
        <v/>
      </c>
      <c r="J137" s="113" t="s">
        <v>656</v>
      </c>
      <c r="K137" s="113" t="s">
        <v>657</v>
      </c>
      <c r="L137" s="113" t="s">
        <v>658</v>
      </c>
    </row>
    <row r="138" hidden="1">
      <c r="A138" s="150" t="s">
        <v>161</v>
      </c>
      <c r="B138" s="82" t="s">
        <v>659</v>
      </c>
      <c r="C138" s="82" t="s">
        <v>660</v>
      </c>
      <c r="D138" s="83"/>
      <c r="E138" s="83"/>
      <c r="F138" s="110">
        <v>70.0</v>
      </c>
      <c r="G138" s="113" t="str">
        <f>IFERROR(__xludf.DUMMYFUNCTION("TRIM(REGEXREPLACE(C138, ""[0-9]+[a-f]?\."", """"))"),"Woman Questionnaire")</f>
        <v>Woman Questionnaire</v>
      </c>
      <c r="H138" s="113" t="str">
        <f>IFERROR(__xludf.DUMMYFUNCTION("TRIM(REGEXREPLACE(D138, ""[0-9]+[a-f]?\."", """"))"),"")</f>
        <v/>
      </c>
      <c r="I138" s="113" t="str">
        <f>IFERROR(__xludf.DUMMYFUNCTION("TRIM(REGEXREPLACE(E138, ""[0-9]+[a-f]?\."", """"))"),"")</f>
        <v/>
      </c>
      <c r="J138" s="113" t="s">
        <v>662</v>
      </c>
      <c r="K138" s="113" t="s">
        <v>663</v>
      </c>
      <c r="L138" s="113" t="s">
        <v>664</v>
      </c>
    </row>
    <row r="139">
      <c r="A139" s="152" t="s">
        <v>44</v>
      </c>
      <c r="B139" s="77" t="s">
        <v>665</v>
      </c>
      <c r="C139" s="76" t="s">
        <v>666</v>
      </c>
      <c r="D139" s="76" t="s">
        <v>667</v>
      </c>
      <c r="E139" s="76" t="s">
        <v>668</v>
      </c>
      <c r="F139" s="110">
        <v>19.0</v>
      </c>
      <c r="G139" s="113" t="str">
        <f>IFERROR(__xludf.DUMMYFUNCTION("TRIM(REGEXREPLACE(C139, ""[0-9]+[a-f]?\."", """"))"),"Woman Questions")</f>
        <v>Woman Questions</v>
      </c>
      <c r="H139" s="113" t="str">
        <f>IFERROR(__xludf.DUMMYFUNCTION("TRIM(REGEXREPLACE(D139, ""[0-9]+[a-f]?\."", """"))"),"Questions de la femme")</f>
        <v>Questions de la femme</v>
      </c>
      <c r="I139" s="113" t="str">
        <f>IFERROR(__xludf.DUMMYFUNCTION("TRIM(REGEXREPLACE(E139, ""[0-9]+[a-f]?\."", """"))"),"Tambayoyin Mata")</f>
        <v>Tambayoyin Mata</v>
      </c>
      <c r="J139" s="113" t="str">
        <f>F139 &amp; ". " &amp;G139</f>
        <v>19. Woman Questions</v>
      </c>
      <c r="K139" s="113" t="str">
        <f>F139 &amp; ". " &amp;H139</f>
        <v>19. Questions de la femme</v>
      </c>
      <c r="L139" s="113" t="str">
        <f>F139 &amp; ". " &amp;I139</f>
        <v>19. Tambayoyin Mata</v>
      </c>
    </row>
    <row r="140" hidden="1">
      <c r="A140" s="80" t="s">
        <v>150</v>
      </c>
      <c r="B140" s="81" t="s">
        <v>669</v>
      </c>
      <c r="C140" s="82"/>
      <c r="D140" s="83"/>
      <c r="E140" s="83"/>
      <c r="F140" s="110">
        <v>72.0</v>
      </c>
      <c r="G140" s="113" t="str">
        <f>IFERROR(__xludf.DUMMYFUNCTION("TRIM(REGEXREPLACE(C140, ""[0-9]+[a-f]?\."", """"))"),"")</f>
        <v/>
      </c>
      <c r="H140" s="113" t="str">
        <f>IFERROR(__xludf.DUMMYFUNCTION("TRIM(REGEXREPLACE(D140, ""[0-9]+[a-f]?\."", """"))"),"")</f>
        <v/>
      </c>
      <c r="I140" s="113" t="str">
        <f>IFERROR(__xludf.DUMMYFUNCTION("TRIM(REGEXREPLACE(E140, ""[0-9]+[a-f]?\."", """"))"),"")</f>
        <v/>
      </c>
      <c r="J140" s="113" t="s">
        <v>672</v>
      </c>
      <c r="K140" s="113" t="s">
        <v>673</v>
      </c>
      <c r="L140" s="113" t="s">
        <v>674</v>
      </c>
    </row>
    <row r="141">
      <c r="A141" s="153" t="s">
        <v>44</v>
      </c>
      <c r="B141" s="154" t="s">
        <v>675</v>
      </c>
      <c r="C141" s="76" t="s">
        <v>299</v>
      </c>
      <c r="D141" s="76" t="s">
        <v>676</v>
      </c>
      <c r="E141" s="76" t="s">
        <v>677</v>
      </c>
      <c r="F141" s="110">
        <v>20.0</v>
      </c>
      <c r="G141" s="113" t="str">
        <f>IFERROR(__xludf.DUMMYFUNCTION("TRIM(REGEXREPLACE(C141, ""[0-9]+[a-f]?\."", """"))"),"Before we begin, I would like to ask you about the locations of other respondents of this household")</f>
        <v>Before we begin, I would like to ask you about the locations of other respondents of this household</v>
      </c>
      <c r="H141" s="113" t="str">
        <f>IFERROR(__xludf.DUMMYFUNCTION("TRIM(REGEXREPLACE(D141, ""[0-9]+[a-f]?\."", """"))"),"Avant de commencer, j'aimerais vous poser des questions sur l'endroit où vivent les autres répondants de ce ménage.")</f>
        <v>Avant de commencer, j'aimerais vous poser des questions sur l'endroit où vivent les autres répondants de ce ménage.</v>
      </c>
      <c r="I141" s="113" t="str">
        <f>IFERROR(__xludf.DUMMYFUNCTION("TRIM(REGEXREPLACE(E141, ""[0-9]+[a-f]?\."", """"))"),"Kafin mu fara, Ina so in tambaye ku game da inda sauran masu bada amsan wannan gidan suke")</f>
        <v>Kafin mu fara, Ina so in tambaye ku game da inda sauran masu bada amsan wannan gidan suke</v>
      </c>
      <c r="J141" s="113" t="str">
        <f t="shared" ref="J141:J142" si="10">F141 &amp; ". " &amp;G141</f>
        <v>20. Before we begin, I would like to ask you about the locations of other respondents of this household</v>
      </c>
      <c r="K141" s="113" t="str">
        <f t="shared" ref="K141:K142" si="11">F141 &amp; ". " &amp;H141</f>
        <v>20. Avant de commencer, j'aimerais vous poser des questions sur l'endroit où vivent les autres répondants de ce ménage.</v>
      </c>
      <c r="L141" s="113" t="str">
        <f t="shared" ref="L141:L142" si="12">F141 &amp; ". " &amp;I141</f>
        <v>20. Kafin mu fara, Ina so in tambaye ku game da inda sauran masu bada amsan wannan gidan suke</v>
      </c>
    </row>
    <row r="142">
      <c r="A142" s="114" t="s">
        <v>680</v>
      </c>
      <c r="B142" s="157" t="s">
        <v>681</v>
      </c>
      <c r="C142" s="76" t="s">
        <v>682</v>
      </c>
      <c r="D142" s="76" t="s">
        <v>683</v>
      </c>
      <c r="E142" s="76" t="s">
        <v>684</v>
      </c>
      <c r="F142" s="110">
        <v>21.0</v>
      </c>
      <c r="G142" s="113" t="str">
        <f>IFERROR(__xludf.DUMMYFUNCTION("TRIM(REGEXREPLACE(C142, ""[0-9]+[a-f]?\."", """"))"),"Is ${pm_name} currently living in your household?")</f>
        <v>Is ${pm_name} currently living in your household?</v>
      </c>
      <c r="H142" s="113" t="str">
        <f>IFERROR(__xludf.DUMMYFUNCTION("TRIM(REGEXREPLACE(D142, ""[0-9]+[a-f]?\."", """"))"),"${pm_name} vit-il actuellement dans votre ménage?")</f>
        <v>${pm_name} vit-il actuellement dans votre ménage?</v>
      </c>
      <c r="I142" s="113" t="str">
        <f>IFERROR(__xludf.DUMMYFUNCTION("TRIM(REGEXREPLACE(E142, ""[0-9]+[a-f]?\."", """"))"),"Ko ${pm_name} yana zaune a gidan ku a hali yanzu?")</f>
        <v>Ko ${pm_name} yana zaune a gidan ku a hali yanzu?</v>
      </c>
      <c r="J142" s="113" t="str">
        <f t="shared" si="10"/>
        <v>21. Is ${pm_name} currently living in your household?</v>
      </c>
      <c r="K142" s="113" t="str">
        <f t="shared" si="11"/>
        <v>21. ${pm_name} vit-il actuellement dans votre ménage?</v>
      </c>
      <c r="L142" s="113" t="str">
        <f t="shared" si="12"/>
        <v>21. Ko ${pm_name} yana zaune a gidan ku a hali yanzu?</v>
      </c>
    </row>
    <row r="143" hidden="1">
      <c r="B143" s="119"/>
      <c r="C143" s="119"/>
      <c r="D143" s="119"/>
      <c r="E143" s="119"/>
      <c r="F143" s="110">
        <v>76.0</v>
      </c>
      <c r="G143" s="113" t="str">
        <f>IFERROR(__xludf.DUMMYFUNCTION("TRIM(REGEXREPLACE(C143, ""[0-9]+[a-f]?\."", """"))"),"")</f>
        <v/>
      </c>
      <c r="H143" s="113" t="str">
        <f>IFERROR(__xludf.DUMMYFUNCTION("TRIM(REGEXREPLACE(D143, ""[0-9]+[a-f]?\."", """"))"),"")</f>
        <v/>
      </c>
      <c r="I143" s="113" t="str">
        <f>IFERROR(__xludf.DUMMYFUNCTION("TRIM(REGEXREPLACE(E143, ""[0-9]+[a-f]?\."", """"))"),"")</f>
        <v/>
      </c>
    </row>
    <row r="144" hidden="1">
      <c r="B144" s="119"/>
      <c r="C144" s="119"/>
      <c r="D144" s="119"/>
      <c r="E144" s="119"/>
      <c r="F144" s="110">
        <v>76.0</v>
      </c>
      <c r="G144" s="113" t="str">
        <f>IFERROR(__xludf.DUMMYFUNCTION("TRIM(REGEXREPLACE(C144, ""[0-9]+[a-f]?\."", """"))"),"")</f>
        <v/>
      </c>
      <c r="H144" s="113" t="str">
        <f>IFERROR(__xludf.DUMMYFUNCTION("TRIM(REGEXREPLACE(D144, ""[0-9]+[a-f]?\."", """"))"),"")</f>
        <v/>
      </c>
      <c r="I144" s="113" t="str">
        <f>IFERROR(__xludf.DUMMYFUNCTION("TRIM(REGEXREPLACE(E144, ""[0-9]+[a-f]?\."", """"))"),"")</f>
        <v/>
      </c>
      <c r="J144" s="113" t="s">
        <v>692</v>
      </c>
      <c r="K144" s="113" t="s">
        <v>693</v>
      </c>
      <c r="L144" s="113" t="s">
        <v>694</v>
      </c>
    </row>
    <row r="145">
      <c r="A145" s="114" t="s">
        <v>541</v>
      </c>
      <c r="B145" s="157" t="s">
        <v>695</v>
      </c>
      <c r="C145" s="76" t="s">
        <v>696</v>
      </c>
      <c r="D145" s="76" t="s">
        <v>697</v>
      </c>
      <c r="E145" s="76" t="s">
        <v>698</v>
      </c>
      <c r="F145" s="110">
        <v>22.0</v>
      </c>
      <c r="G145" s="113" t="str">
        <f>IFERROR(__xludf.DUMMYFUNCTION("TRIM(REGEXREPLACE(C145, ""[0-9]+[a-f]?\."", """"))"),"Where is ${pm_name} living right now?
 Enumerator: Is location in Niger?")</f>
        <v>Where is ${pm_name} living right now?
 Enumerator: Is location in Niger?</v>
      </c>
      <c r="H145" s="113" t="str">
        <f>IFERROR(__xludf.DUMMYFUNCTION("TRIM(REGEXREPLACE(D145, ""[0-9]+[a-f]?\."", """"))"),"Où est ${pm_name} en ce moment?
 Énquêteur: le lieu est-il au Niger?")</f>
        <v>Où est ${pm_name} en ce moment?
 Énquêteur: le lieu est-il au Niger?</v>
      </c>
      <c r="I145" s="113" t="str">
        <f>IFERROR(__xludf.DUMMYFUNCTION("TRIM(REGEXREPLACE(E145, ""[0-9]+[a-f]?\."", """"))"),"Ina ${pm_name} yake a yanzu?
 Dan bincike: Ko wurin a Nijar ne?")</f>
        <v>Ina ${pm_name} yake a yanzu?
 Dan bincike: Ko wurin a Nijar ne?</v>
      </c>
      <c r="J145" s="113" t="str">
        <f t="shared" ref="J145:J147" si="13">F145 &amp; ". " &amp;G145</f>
        <v>22. Where is ${pm_name} living right now?
 Enumerator: Is location in Niger?</v>
      </c>
      <c r="K145" s="113" t="str">
        <f t="shared" ref="K145:K147" si="14">F145 &amp; ". " &amp;H145</f>
        <v>22. Où est ${pm_name} en ce moment?
 Énquêteur: le lieu est-il au Niger?</v>
      </c>
      <c r="L145" s="113" t="str">
        <f t="shared" ref="L145:L147" si="15">F145 &amp; ". " &amp;I145</f>
        <v>22. Ina ${pm_name} yake a yanzu?
 Dan bincike: Ko wurin a Nijar ne?</v>
      </c>
    </row>
    <row r="146">
      <c r="A146" s="114" t="s">
        <v>703</v>
      </c>
      <c r="B146" s="157" t="s">
        <v>704</v>
      </c>
      <c r="C146" s="76" t="s">
        <v>312</v>
      </c>
      <c r="D146" s="76" t="s">
        <v>313</v>
      </c>
      <c r="E146" s="76" t="s">
        <v>314</v>
      </c>
      <c r="F146" s="110">
        <v>23.0</v>
      </c>
      <c r="G146" s="113" t="str">
        <f>IFERROR(__xludf.DUMMYFUNCTION("TRIM(REGEXREPLACE(C146, ""[0-9]+[a-f]?\."", """"))"),"Enumerator: Select region in Niger")</f>
        <v>Enumerator: Select region in Niger</v>
      </c>
      <c r="H146" s="113" t="str">
        <f>IFERROR(__xludf.DUMMYFUNCTION("TRIM(REGEXREPLACE(D146, ""[0-9]+[a-f]?\."", """"))"),"Enquêteur : Sélectionnez une région au Niger")</f>
        <v>Enquêteur : Sélectionnez une région au Niger</v>
      </c>
      <c r="I146" s="113" t="str">
        <f>IFERROR(__xludf.DUMMYFUNCTION("TRIM(REGEXREPLACE(E146, ""[0-9]+[a-f]?\."", """"))"),"Ɗan bincike: Zaɓi Jaha ɗaya a Nijar")</f>
        <v>Ɗan bincike: Zaɓi Jaha ɗaya a Nijar</v>
      </c>
      <c r="J146" s="113" t="str">
        <f t="shared" si="13"/>
        <v>23. Enumerator: Select region in Niger</v>
      </c>
      <c r="K146" s="113" t="str">
        <f t="shared" si="14"/>
        <v>23. Enquêteur : Sélectionnez une région au Niger</v>
      </c>
      <c r="L146" s="113" t="str">
        <f t="shared" si="15"/>
        <v>23. Ɗan bincike: Zaɓi Jaha ɗaya a Nijar</v>
      </c>
    </row>
    <row r="147">
      <c r="A147" s="114" t="s">
        <v>707</v>
      </c>
      <c r="B147" s="157" t="s">
        <v>708</v>
      </c>
      <c r="C147" s="76" t="s">
        <v>316</v>
      </c>
      <c r="D147" s="76" t="s">
        <v>317</v>
      </c>
      <c r="E147" s="76" t="s">
        <v>318</v>
      </c>
      <c r="F147" s="110">
        <v>24.0</v>
      </c>
      <c r="G147" s="113" t="str">
        <f>IFERROR(__xludf.DUMMYFUNCTION("TRIM(REGEXREPLACE(C147, ""[0-9]+[a-f]?\."", """"))"),"Enumerator: Select country")</f>
        <v>Enumerator: Select country</v>
      </c>
      <c r="H147" s="113" t="str">
        <f>IFERROR(__xludf.DUMMYFUNCTION("TRIM(REGEXREPLACE(D147, ""[0-9]+[a-f]?\."", """"))"),"Enquêteur : sélectionnez le pays")</f>
        <v>Enquêteur : sélectionnez le pays</v>
      </c>
      <c r="I147" s="113" t="str">
        <f>IFERROR(__xludf.DUMMYFUNCTION("TRIM(REGEXREPLACE(E147, ""[0-9]+[a-f]?\."", """"))"),"Ɗan bincike: Zaɓi ƙasa")</f>
        <v>Ɗan bincike: Zaɓi ƙasa</v>
      </c>
      <c r="J147" s="113" t="str">
        <f t="shared" si="13"/>
        <v>24. Enumerator: Select country</v>
      </c>
      <c r="K147" s="113" t="str">
        <f t="shared" si="14"/>
        <v>24. Enquêteur : sélectionnez le pays</v>
      </c>
      <c r="L147" s="113" t="str">
        <f t="shared" si="15"/>
        <v>24. Ɗan bincike: Zaɓi ƙasa</v>
      </c>
    </row>
    <row r="148" hidden="1">
      <c r="B148" s="119"/>
      <c r="C148" s="119"/>
      <c r="D148" s="119"/>
      <c r="E148" s="119"/>
      <c r="F148" s="110">
        <v>80.0</v>
      </c>
      <c r="G148" s="113" t="str">
        <f>IFERROR(__xludf.DUMMYFUNCTION("TRIM(REGEXREPLACE(C148, ""[0-9]+[a-f]?\."", """"))"),"")</f>
        <v/>
      </c>
      <c r="H148" s="113" t="str">
        <f>IFERROR(__xludf.DUMMYFUNCTION("TRIM(REGEXREPLACE(D148, ""[0-9]+[a-f]?\."", """"))"),"")</f>
        <v/>
      </c>
      <c r="I148" s="113" t="str">
        <f>IFERROR(__xludf.DUMMYFUNCTION("TRIM(REGEXREPLACE(E148, ""[0-9]+[a-f]?\."", """"))"),"")</f>
        <v/>
      </c>
      <c r="J148" s="113" t="s">
        <v>712</v>
      </c>
      <c r="K148" s="113" t="s">
        <v>713</v>
      </c>
      <c r="L148" s="113" t="s">
        <v>715</v>
      </c>
    </row>
    <row r="149" hidden="1">
      <c r="B149" s="119"/>
      <c r="C149" s="119"/>
      <c r="D149" s="119"/>
      <c r="E149" s="119"/>
      <c r="F149" s="110">
        <v>81.0</v>
      </c>
      <c r="G149" s="113" t="str">
        <f>IFERROR(__xludf.DUMMYFUNCTION("TRIM(REGEXREPLACE(C149, ""[0-9]+[a-f]?\."", """"))"),"")</f>
        <v/>
      </c>
      <c r="H149" s="113" t="str">
        <f>IFERROR(__xludf.DUMMYFUNCTION("TRIM(REGEXREPLACE(D149, ""[0-9]+[a-f]?\."", """"))"),"")</f>
        <v/>
      </c>
      <c r="I149" s="113" t="str">
        <f>IFERROR(__xludf.DUMMYFUNCTION("TRIM(REGEXREPLACE(E149, ""[0-9]+[a-f]?\."", """"))"),"")</f>
        <v/>
      </c>
    </row>
    <row r="150">
      <c r="A150" s="162" t="s">
        <v>217</v>
      </c>
      <c r="B150" s="163" t="s">
        <v>719</v>
      </c>
      <c r="C150" s="76" t="s">
        <v>721</v>
      </c>
      <c r="D150" s="76" t="s">
        <v>722</v>
      </c>
      <c r="E150" s="76" t="s">
        <v>723</v>
      </c>
      <c r="F150" s="110">
        <v>25.0</v>
      </c>
      <c r="G150" s="113" t="str">
        <f>IFERROR(__xludf.DUMMYFUNCTION("TRIM(REGEXREPLACE(C150, ""[0-9]+[a-f]?\."", """"))"),"Enumerator: Enter other country")</f>
        <v>Enumerator: Enter other country</v>
      </c>
      <c r="H150" s="113" t="str">
        <f>IFERROR(__xludf.DUMMYFUNCTION("TRIM(REGEXREPLACE(D150, ""[0-9]+[a-f]?\."", """"))"),"Enquêteur : Entrez un autre pays")</f>
        <v>Enquêteur : Entrez un autre pays</v>
      </c>
      <c r="I150" s="113" t="str">
        <f>IFERROR(__xludf.DUMMYFUNCTION("TRIM(REGEXREPLACE(E150, ""[0-9]+[a-f]?\."", """"))"),"Ɗan bincike: Shigar da wata ƙasa")</f>
        <v>Ɗan bincike: Shigar da wata ƙasa</v>
      </c>
      <c r="J150" s="113" t="str">
        <f t="shared" ref="J150:J154" si="16">F150 &amp; ". " &amp;G150</f>
        <v>25. Enumerator: Enter other country</v>
      </c>
      <c r="K150" s="113" t="str">
        <f t="shared" ref="K150:K154" si="17">F150 &amp; ". " &amp;H150</f>
        <v>25. Enquêteur : Entrez un autre pays</v>
      </c>
      <c r="L150" s="113" t="str">
        <f t="shared" ref="L150:L154" si="18">F150 &amp; ". " &amp;I150</f>
        <v>25. Ɗan bincike: Shigar da wata ƙasa</v>
      </c>
    </row>
    <row r="151">
      <c r="A151" s="114" t="s">
        <v>727</v>
      </c>
      <c r="B151" s="157" t="s">
        <v>728</v>
      </c>
      <c r="C151" s="76" t="s">
        <v>327</v>
      </c>
      <c r="D151" s="76" t="s">
        <v>328</v>
      </c>
      <c r="E151" s="76" t="s">
        <v>329</v>
      </c>
      <c r="F151" s="110">
        <v>26.0</v>
      </c>
      <c r="G151" s="113" t="str">
        <f>IFERROR(__xludf.DUMMYFUNCTION("TRIM(REGEXREPLACE(C151, ""[0-9]+[a-f]?\."", """"))"),"Enumerator: Select town")</f>
        <v>Enumerator: Select town</v>
      </c>
      <c r="H151" s="113" t="str">
        <f>IFERROR(__xludf.DUMMYFUNCTION("TRIM(REGEXREPLACE(D151, ""[0-9]+[a-f]?\."", """"))"),"Enquêteur : Sélectionnez la ville")</f>
        <v>Enquêteur : Sélectionnez la ville</v>
      </c>
      <c r="I151" s="113" t="str">
        <f>IFERROR(__xludf.DUMMYFUNCTION("TRIM(REGEXREPLACE(E151, ""[0-9]+[a-f]?\."", """"))"),"Ɗan bincike: Zaɓi gari")</f>
        <v>Ɗan bincike: Zaɓi gari</v>
      </c>
      <c r="J151" s="113" t="str">
        <f t="shared" si="16"/>
        <v>26. Enumerator: Select town</v>
      </c>
      <c r="K151" s="113" t="str">
        <f t="shared" si="17"/>
        <v>26. Enquêteur : Sélectionnez la ville</v>
      </c>
      <c r="L151" s="113" t="str">
        <f t="shared" si="18"/>
        <v>26. Ɗan bincike: Zaɓi gari</v>
      </c>
    </row>
    <row r="152">
      <c r="A152" s="162" t="s">
        <v>217</v>
      </c>
      <c r="B152" s="163" t="s">
        <v>729</v>
      </c>
      <c r="C152" s="76" t="s">
        <v>332</v>
      </c>
      <c r="D152" s="76" t="s">
        <v>334</v>
      </c>
      <c r="E152" s="76" t="s">
        <v>335</v>
      </c>
      <c r="F152" s="110">
        <v>27.0</v>
      </c>
      <c r="G152" s="113" t="str">
        <f>IFERROR(__xludf.DUMMYFUNCTION("TRIM(REGEXREPLACE(C152, ""[0-9]+[a-f]?\."", """"))"),"Enumerator: Enter other town")</f>
        <v>Enumerator: Enter other town</v>
      </c>
      <c r="H152" s="113" t="str">
        <f>IFERROR(__xludf.DUMMYFUNCTION("TRIM(REGEXREPLACE(D152, ""[0-9]+[a-f]?\."", """"))"),"Enquêteur : Entrez un autre ville")</f>
        <v>Enquêteur : Entrez un autre ville</v>
      </c>
      <c r="I152" s="113" t="str">
        <f>IFERROR(__xludf.DUMMYFUNCTION("TRIM(REGEXREPLACE(E152, ""[0-9]+[a-f]?\."", """"))"),"Ɗan bincike: Shigar da wata gari")</f>
        <v>Ɗan bincike: Shigar da wata gari</v>
      </c>
      <c r="J152" s="113" t="str">
        <f t="shared" si="16"/>
        <v>27. Enumerator: Enter other town</v>
      </c>
      <c r="K152" s="113" t="str">
        <f t="shared" si="17"/>
        <v>27. Enquêteur : Entrez un autre ville</v>
      </c>
      <c r="L152" s="113" t="str">
        <f t="shared" si="18"/>
        <v>27. Ɗan bincike: Shigar da wata gari</v>
      </c>
    </row>
    <row r="153">
      <c r="A153" s="114" t="s">
        <v>680</v>
      </c>
      <c r="B153" s="157" t="s">
        <v>732</v>
      </c>
      <c r="C153" s="76" t="s">
        <v>341</v>
      </c>
      <c r="D153" s="76" t="s">
        <v>733</v>
      </c>
      <c r="E153" s="76" t="s">
        <v>734</v>
      </c>
      <c r="F153" s="110">
        <v>28.0</v>
      </c>
      <c r="G153" s="113" t="str">
        <f>IFERROR(__xludf.DUMMYFUNCTION("TRIM(REGEXREPLACE(C153, ""[0-9]+[a-f]?\."", """"))"),"Will ${pm_name} be in the household within the next two weeks?")</f>
        <v>Will ${pm_name} be in the household within the next two weeks?</v>
      </c>
      <c r="H153" s="113" t="str">
        <f>IFERROR(__xludf.DUMMYFUNCTION("TRIM(REGEXREPLACE(D153, ""[0-9]+[a-f]?\."", """"))"),"Est-ce que ${pm_name} sera dans le ménage au cours des deux prochaines semaines ?")</f>
        <v>Est-ce que ${pm_name} sera dans le ménage au cours des deux prochaines semaines ?</v>
      </c>
      <c r="I153" s="113" t="str">
        <f>IFERROR(__xludf.DUMMYFUNCTION("TRIM(REGEXREPLACE(E153, ""[0-9]+[a-f]?\."", """"))"),"Ko ${pm_name} zai kasance a gidan nan cikin sati biyu masu zuwa?")</f>
        <v>Ko ${pm_name} zai kasance a gidan nan cikin sati biyu masu zuwa?</v>
      </c>
      <c r="J153" s="113" t="str">
        <f t="shared" si="16"/>
        <v>28. Will ${pm_name} be in the household within the next two weeks?</v>
      </c>
      <c r="K153" s="113" t="str">
        <f t="shared" si="17"/>
        <v>28. Est-ce que ${pm_name} sera dans le ménage au cours des deux prochaines semaines ?</v>
      </c>
      <c r="L153" s="113" t="str">
        <f t="shared" si="18"/>
        <v>28. Ko ${pm_name} zai kasance a gidan nan cikin sati biyu masu zuwa?</v>
      </c>
    </row>
    <row r="154">
      <c r="A154" s="114" t="s">
        <v>680</v>
      </c>
      <c r="B154" s="157" t="s">
        <v>736</v>
      </c>
      <c r="C154" s="76" t="s">
        <v>344</v>
      </c>
      <c r="D154" s="76" t="s">
        <v>345</v>
      </c>
      <c r="E154" s="76" t="s">
        <v>346</v>
      </c>
      <c r="F154" s="110">
        <v>29.0</v>
      </c>
      <c r="G154" s="113" t="str">
        <f>IFERROR(__xludf.DUMMYFUNCTION("TRIM(REGEXREPLACE(C154, ""[0-9]+[a-f]?\."", """"))"),"Is ${shm_name} currently living in your household?")</f>
        <v>Is ${shm_name} currently living in your household?</v>
      </c>
      <c r="H154" s="113" t="str">
        <f>IFERROR(__xludf.DUMMYFUNCTION("TRIM(REGEXREPLACE(D154, ""[0-9]+[a-f]?\."", """"))"),"${shm_name} vit-il actuellement dans votre ménage?")</f>
        <v>${shm_name} vit-il actuellement dans votre ménage?</v>
      </c>
      <c r="I154" s="113" t="str">
        <f>IFERROR(__xludf.DUMMYFUNCTION("TRIM(REGEXREPLACE(E154, ""[0-9]+[a-f]?\."", """"))"),"Ko ${shm_name} yana zaune a gidan ku a hali yanzu?")</f>
        <v>Ko ${shm_name} yana zaune a gidan ku a hali yanzu?</v>
      </c>
      <c r="J154" s="113" t="str">
        <f t="shared" si="16"/>
        <v>29. Is ${shm_name} currently living in your household?</v>
      </c>
      <c r="K154" s="113" t="str">
        <f t="shared" si="17"/>
        <v>29. ${shm_name} vit-il actuellement dans votre ménage?</v>
      </c>
      <c r="L154" s="113" t="str">
        <f t="shared" si="18"/>
        <v>29. Ko ${shm_name} yana zaune a gidan ku a hali yanzu?</v>
      </c>
    </row>
    <row r="155" hidden="1">
      <c r="B155" s="119"/>
      <c r="C155" s="119"/>
      <c r="D155" s="119"/>
      <c r="E155" s="119"/>
      <c r="F155" s="110">
        <v>85.0</v>
      </c>
      <c r="G155" s="113" t="str">
        <f>IFERROR(__xludf.DUMMYFUNCTION("TRIM(REGEXREPLACE(C155, ""[0-9]+[a-f]?\."", """"))"),"")</f>
        <v/>
      </c>
      <c r="H155" s="113" t="str">
        <f>IFERROR(__xludf.DUMMYFUNCTION("TRIM(REGEXREPLACE(D155, ""[0-9]+[a-f]?\."", """"))"),"")</f>
        <v/>
      </c>
      <c r="I155" s="113" t="str">
        <f>IFERROR(__xludf.DUMMYFUNCTION("TRIM(REGEXREPLACE(E155, ""[0-9]+[a-f]?\."", """"))"),"")</f>
        <v/>
      </c>
      <c r="J155" s="113" t="s">
        <v>744</v>
      </c>
      <c r="K155" s="113" t="s">
        <v>745</v>
      </c>
      <c r="L155" s="113" t="s">
        <v>746</v>
      </c>
    </row>
    <row r="156" hidden="1">
      <c r="B156" s="119"/>
      <c r="C156" s="119"/>
      <c r="D156" s="119"/>
      <c r="E156" s="119"/>
      <c r="F156" s="110">
        <v>86.0</v>
      </c>
      <c r="G156" s="113" t="str">
        <f>IFERROR(__xludf.DUMMYFUNCTION("TRIM(REGEXREPLACE(C156, ""[0-9]+[a-f]?\."", """"))"),"")</f>
        <v/>
      </c>
      <c r="H156" s="113" t="str">
        <f>IFERROR(__xludf.DUMMYFUNCTION("TRIM(REGEXREPLACE(D156, ""[0-9]+[a-f]?\."", """"))"),"")</f>
        <v/>
      </c>
      <c r="I156" s="113" t="str">
        <f>IFERROR(__xludf.DUMMYFUNCTION("TRIM(REGEXREPLACE(E156, ""[0-9]+[a-f]?\."", """"))"),"")</f>
        <v/>
      </c>
    </row>
    <row r="157">
      <c r="A157" s="114" t="s">
        <v>541</v>
      </c>
      <c r="B157" s="157" t="s">
        <v>747</v>
      </c>
      <c r="C157" s="76" t="s">
        <v>748</v>
      </c>
      <c r="D157" s="76" t="s">
        <v>749</v>
      </c>
      <c r="E157" s="76" t="s">
        <v>750</v>
      </c>
      <c r="F157" s="110">
        <v>30.0</v>
      </c>
      <c r="G157" s="113" t="str">
        <f>IFERROR(__xludf.DUMMYFUNCTION("TRIM(REGEXREPLACE(C157, ""[0-9]+[a-f]?\."", """"))"),"Where is ${shm_name} living?
 Enumerator: Is location in Niger?")</f>
        <v>Where is ${shm_name} living?
 Enumerator: Is location in Niger?</v>
      </c>
      <c r="H157" s="113" t="str">
        <f>IFERROR(__xludf.DUMMYFUNCTION("TRIM(REGEXREPLACE(D157, ""[0-9]+[a-f]?\."", """"))"),"Où habite ${shm_name}?
 Enquêteur : le lieu est-il au Niger?")</f>
        <v>Où habite ${shm_name}?
 Enquêteur : le lieu est-il au Niger?</v>
      </c>
      <c r="I157" s="113" t="str">
        <f>IFERROR(__xludf.DUMMYFUNCTION("TRIM(REGEXREPLACE(E157, ""[0-9]+[a-f]?\."", """"))"),"A ina ${shm_name} ya zaune?
 Mai bincike: Wurin a Nijar ne?")</f>
        <v>A ina ${shm_name} ya zaune?
 Mai bincike: Wurin a Nijar ne?</v>
      </c>
      <c r="J157" s="113" t="str">
        <f t="shared" ref="J157:J161" si="19">F157 &amp; ". " &amp;G157</f>
        <v>30. Where is ${shm_name} living?
 Enumerator: Is location in Niger?</v>
      </c>
      <c r="K157" s="113" t="str">
        <f t="shared" ref="K157:K161" si="20">F157 &amp; ". " &amp;H157</f>
        <v>30. Où habite ${shm_name}?
 Enquêteur : le lieu est-il au Niger?</v>
      </c>
      <c r="L157" s="113" t="str">
        <f t="shared" ref="L157:L161" si="21">F157 &amp; ". " &amp;I157</f>
        <v>30. A ina ${shm_name} ya zaune?
 Mai bincike: Wurin a Nijar ne?</v>
      </c>
    </row>
    <row r="158">
      <c r="A158" s="114" t="s">
        <v>703</v>
      </c>
      <c r="B158" s="157" t="s">
        <v>757</v>
      </c>
      <c r="C158" s="76" t="s">
        <v>356</v>
      </c>
      <c r="D158" s="76" t="s">
        <v>357</v>
      </c>
      <c r="E158" s="76" t="s">
        <v>358</v>
      </c>
      <c r="F158" s="110">
        <v>31.0</v>
      </c>
      <c r="G158" s="113" t="str">
        <f>IFERROR(__xludf.DUMMYFUNCTION("TRIM(REGEXREPLACE(C158, ""[0-9]+[a-f]?\."", """"))"),"Enumerator: Select region in Niger")</f>
        <v>Enumerator: Select region in Niger</v>
      </c>
      <c r="H158" s="113" t="str">
        <f>IFERROR(__xludf.DUMMYFUNCTION("TRIM(REGEXREPLACE(D158, ""[0-9]+[a-f]?\."", """"))"),"Enquêteur : Sélectionnez une région au Niger")</f>
        <v>Enquêteur : Sélectionnez une région au Niger</v>
      </c>
      <c r="I158" s="113" t="str">
        <f>IFERROR(__xludf.DUMMYFUNCTION("TRIM(REGEXREPLACE(E158, ""[0-9]+[a-f]?\."", """"))"),"Ɗan bincike: Zaɓi Jaha ɗaya a Nijar")</f>
        <v>Ɗan bincike: Zaɓi Jaha ɗaya a Nijar</v>
      </c>
      <c r="J158" s="113" t="str">
        <f t="shared" si="19"/>
        <v>31. Enumerator: Select region in Niger</v>
      </c>
      <c r="K158" s="113" t="str">
        <f t="shared" si="20"/>
        <v>31. Enquêteur : Sélectionnez une région au Niger</v>
      </c>
      <c r="L158" s="113" t="str">
        <f t="shared" si="21"/>
        <v>31. Ɗan bincike: Zaɓi Jaha ɗaya a Nijar</v>
      </c>
    </row>
    <row r="159">
      <c r="A159" s="114" t="s">
        <v>707</v>
      </c>
      <c r="B159" s="157" t="s">
        <v>760</v>
      </c>
      <c r="C159" s="76" t="s">
        <v>363</v>
      </c>
      <c r="D159" s="76" t="s">
        <v>364</v>
      </c>
      <c r="E159" s="76" t="s">
        <v>365</v>
      </c>
      <c r="F159" s="110">
        <v>32.0</v>
      </c>
      <c r="G159" s="113" t="str">
        <f>IFERROR(__xludf.DUMMYFUNCTION("TRIM(REGEXREPLACE(C159, ""[0-9]+[a-f]?\."", """"))"),"Enumerator: Select country")</f>
        <v>Enumerator: Select country</v>
      </c>
      <c r="H159" s="113" t="str">
        <f>IFERROR(__xludf.DUMMYFUNCTION("TRIM(REGEXREPLACE(D159, ""[0-9]+[a-f]?\."", """"))"),"Enquêteur : sélectionnez le pays")</f>
        <v>Enquêteur : sélectionnez le pays</v>
      </c>
      <c r="I159" s="113" t="str">
        <f>IFERROR(__xludf.DUMMYFUNCTION("TRIM(REGEXREPLACE(E159, ""[0-9]+[a-f]?\."", """"))"),"Ɗan bincike: Zaɓi ƙasa")</f>
        <v>Ɗan bincike: Zaɓi ƙasa</v>
      </c>
      <c r="J159" s="113" t="str">
        <f t="shared" si="19"/>
        <v>32. Enumerator: Select country</v>
      </c>
      <c r="K159" s="113" t="str">
        <f t="shared" si="20"/>
        <v>32. Enquêteur : sélectionnez le pays</v>
      </c>
      <c r="L159" s="113" t="str">
        <f t="shared" si="21"/>
        <v>32. Ɗan bincike: Zaɓi ƙasa</v>
      </c>
    </row>
    <row r="160">
      <c r="A160" s="162" t="s">
        <v>217</v>
      </c>
      <c r="B160" s="163" t="s">
        <v>763</v>
      </c>
      <c r="C160" s="76" t="s">
        <v>367</v>
      </c>
      <c r="D160" s="76" t="s">
        <v>368</v>
      </c>
      <c r="E160" s="76" t="s">
        <v>369</v>
      </c>
      <c r="F160" s="110">
        <v>33.0</v>
      </c>
      <c r="G160" s="113" t="str">
        <f>IFERROR(__xludf.DUMMYFUNCTION("TRIM(REGEXREPLACE(C160, ""[0-9]+[a-f]?\."", """"))"),"Enumerator: Enter other country")</f>
        <v>Enumerator: Enter other country</v>
      </c>
      <c r="H160" s="113" t="str">
        <f>IFERROR(__xludf.DUMMYFUNCTION("TRIM(REGEXREPLACE(D160, ""[0-9]+[a-f]?\."", """"))"),"Enquêteur : Entrez un autre pays")</f>
        <v>Enquêteur : Entrez un autre pays</v>
      </c>
      <c r="I160" s="113" t="str">
        <f>IFERROR(__xludf.DUMMYFUNCTION("TRIM(REGEXREPLACE(E160, ""[0-9]+[a-f]?\."", """"))"),"Ɗan bincike: Shigar da wata ƙasa")</f>
        <v>Ɗan bincike: Shigar da wata ƙasa</v>
      </c>
      <c r="J160" s="113" t="str">
        <f t="shared" si="19"/>
        <v>33. Enumerator: Enter other country</v>
      </c>
      <c r="K160" s="113" t="str">
        <f t="shared" si="20"/>
        <v>33. Enquêteur : Entrez un autre pays</v>
      </c>
      <c r="L160" s="113" t="str">
        <f t="shared" si="21"/>
        <v>33. Ɗan bincike: Shigar da wata ƙasa</v>
      </c>
    </row>
    <row r="161">
      <c r="A161" s="114" t="s">
        <v>727</v>
      </c>
      <c r="B161" s="157" t="s">
        <v>768</v>
      </c>
      <c r="C161" s="76" t="s">
        <v>374</v>
      </c>
      <c r="D161" s="76" t="s">
        <v>375</v>
      </c>
      <c r="E161" s="76" t="s">
        <v>376</v>
      </c>
      <c r="F161" s="110">
        <v>34.0</v>
      </c>
      <c r="G161" s="113" t="str">
        <f>IFERROR(__xludf.DUMMYFUNCTION("TRIM(REGEXREPLACE(C161, ""[0-9]+[a-f]?\."", """"))"),"Enumerator: Select town")</f>
        <v>Enumerator: Select town</v>
      </c>
      <c r="H161" s="113" t="str">
        <f>IFERROR(__xludf.DUMMYFUNCTION("TRIM(REGEXREPLACE(D161, ""[0-9]+[a-f]?\."", """"))"),"Enquêteur : Sélectionnez la ville")</f>
        <v>Enquêteur : Sélectionnez la ville</v>
      </c>
      <c r="I161" s="113" t="str">
        <f>IFERROR(__xludf.DUMMYFUNCTION("TRIM(REGEXREPLACE(E161, ""[0-9]+[a-f]?\."", """"))"),"Ɗan bincike: Zaɓi gari")</f>
        <v>Ɗan bincike: Zaɓi gari</v>
      </c>
      <c r="J161" s="113" t="str">
        <f t="shared" si="19"/>
        <v>34. Enumerator: Select town</v>
      </c>
      <c r="K161" s="113" t="str">
        <f t="shared" si="20"/>
        <v>34. Enquêteur : Sélectionnez la ville</v>
      </c>
      <c r="L161" s="113" t="str">
        <f t="shared" si="21"/>
        <v>34. Ɗan bincike: Zaɓi gari</v>
      </c>
    </row>
    <row r="162" hidden="1">
      <c r="B162" s="119"/>
      <c r="C162" s="119"/>
      <c r="D162" s="119"/>
      <c r="E162" s="119"/>
      <c r="F162" s="110">
        <v>90.0</v>
      </c>
      <c r="G162" s="113" t="str">
        <f>IFERROR(__xludf.DUMMYFUNCTION("TRIM(REGEXREPLACE(C162, ""[0-9]+[a-f]?\."", """"))"),"")</f>
        <v/>
      </c>
      <c r="H162" s="113" t="str">
        <f>IFERROR(__xludf.DUMMYFUNCTION("TRIM(REGEXREPLACE(D162, ""[0-9]+[a-f]?\."", """"))"),"")</f>
        <v/>
      </c>
      <c r="I162" s="113" t="str">
        <f>IFERROR(__xludf.DUMMYFUNCTION("TRIM(REGEXREPLACE(E162, ""[0-9]+[a-f]?\."", """"))"),"")</f>
        <v/>
      </c>
      <c r="J162" s="113" t="s">
        <v>771</v>
      </c>
      <c r="K162" s="113" t="s">
        <v>772</v>
      </c>
      <c r="L162" s="113" t="s">
        <v>773</v>
      </c>
    </row>
    <row r="163" hidden="1">
      <c r="B163" s="119"/>
      <c r="C163" s="119"/>
      <c r="D163" s="119"/>
      <c r="E163" s="119"/>
      <c r="F163" s="110">
        <v>91.0</v>
      </c>
      <c r="G163" s="113" t="str">
        <f>IFERROR(__xludf.DUMMYFUNCTION("TRIM(REGEXREPLACE(C163, ""[0-9]+[a-f]?\."", """"))"),"")</f>
        <v/>
      </c>
      <c r="H163" s="113" t="str">
        <f>IFERROR(__xludf.DUMMYFUNCTION("TRIM(REGEXREPLACE(D163, ""[0-9]+[a-f]?\."", """"))"),"")</f>
        <v/>
      </c>
      <c r="I163" s="113" t="str">
        <f>IFERROR(__xludf.DUMMYFUNCTION("TRIM(REGEXREPLACE(E163, ""[0-9]+[a-f]?\."", """"))"),"")</f>
        <v/>
      </c>
      <c r="J163" s="113" t="s">
        <v>775</v>
      </c>
      <c r="K163" s="113" t="s">
        <v>776</v>
      </c>
      <c r="L163" s="113" t="s">
        <v>777</v>
      </c>
    </row>
    <row r="164">
      <c r="A164" s="162" t="s">
        <v>217</v>
      </c>
      <c r="B164" s="163" t="s">
        <v>778</v>
      </c>
      <c r="C164" s="76" t="s">
        <v>381</v>
      </c>
      <c r="D164" s="76" t="s">
        <v>382</v>
      </c>
      <c r="E164" s="76" t="s">
        <v>383</v>
      </c>
      <c r="F164" s="110">
        <v>35.0</v>
      </c>
      <c r="G164" s="113" t="str">
        <f>IFERROR(__xludf.DUMMYFUNCTION("TRIM(REGEXREPLACE(C164, ""[0-9]+[a-f]?\."", """"))"),"Enumerator: Enter other town")</f>
        <v>Enumerator: Enter other town</v>
      </c>
      <c r="H164" s="113" t="str">
        <f>IFERROR(__xludf.DUMMYFUNCTION("TRIM(REGEXREPLACE(D164, ""[0-9]+[a-f]?\."", """"))"),"Enquêteur : Entrez un autre ville")</f>
        <v>Enquêteur : Entrez un autre ville</v>
      </c>
      <c r="I164" s="113" t="str">
        <f>IFERROR(__xludf.DUMMYFUNCTION("TRIM(REGEXREPLACE(E164, ""[0-9]+[a-f]?\."", """"))"),"Ɗan bincike: Shigar da wata gari")</f>
        <v>Ɗan bincike: Shigar da wata gari</v>
      </c>
      <c r="J164" s="113" t="str">
        <f t="shared" ref="J164:J165" si="22">F164 &amp; ". " &amp;G164</f>
        <v>35. Enumerator: Enter other town</v>
      </c>
      <c r="K164" s="113" t="str">
        <f t="shared" ref="K164:K165" si="23">F164 &amp; ". " &amp;H164</f>
        <v>35. Enquêteur : Entrez un autre ville</v>
      </c>
      <c r="L164" s="113" t="str">
        <f t="shared" ref="L164:L165" si="24">F164 &amp; ". " &amp;I164</f>
        <v>35. Ɗan bincike: Shigar da wata gari</v>
      </c>
    </row>
    <row r="165">
      <c r="A165" s="114" t="s">
        <v>680</v>
      </c>
      <c r="B165" s="157" t="s">
        <v>779</v>
      </c>
      <c r="C165" s="76" t="s">
        <v>385</v>
      </c>
      <c r="D165" s="76" t="s">
        <v>780</v>
      </c>
      <c r="E165" s="76" t="s">
        <v>781</v>
      </c>
      <c r="F165" s="110">
        <v>36.0</v>
      </c>
      <c r="G165" s="113" t="str">
        <f>IFERROR(__xludf.DUMMYFUNCTION("TRIM(REGEXREPLACE(C165, ""[0-9]+[a-f]?\."", """"))"),"Will ${shm_name} be in the household within the next two weeks?")</f>
        <v>Will ${shm_name} be in the household within the next two weeks?</v>
      </c>
      <c r="H165" s="113" t="str">
        <f>IFERROR(__xludf.DUMMYFUNCTION("TRIM(REGEXREPLACE(D165, ""[0-9]+[a-f]?\."", """"))"),"Est-ce que ${shm_name} sera dans le ménage au cours des deux prochaines semaines ?")</f>
        <v>Est-ce que ${shm_name} sera dans le ménage au cours des deux prochaines semaines ?</v>
      </c>
      <c r="I165" s="113" t="str">
        <f>IFERROR(__xludf.DUMMYFUNCTION("TRIM(REGEXREPLACE(E165, ""[0-9]+[a-f]?\."", """"))"),"Ko ${shm_name} zai kasance a gidan nan cikin sati biyu masu zuwa?")</f>
        <v>Ko ${shm_name} zai kasance a gidan nan cikin sati biyu masu zuwa?</v>
      </c>
      <c r="J165" s="113" t="str">
        <f t="shared" si="22"/>
        <v>36. Will ${shm_name} be in the household within the next two weeks?</v>
      </c>
      <c r="K165" s="113" t="str">
        <f t="shared" si="23"/>
        <v>36. Est-ce que ${shm_name} sera dans le ménage au cours des deux prochaines semaines ?</v>
      </c>
      <c r="L165" s="113" t="str">
        <f t="shared" si="24"/>
        <v>36. Ko ${shm_name} zai kasance a gidan nan cikin sati biyu masu zuwa?</v>
      </c>
    </row>
    <row r="166" hidden="1">
      <c r="A166" s="80" t="s">
        <v>150</v>
      </c>
      <c r="B166" s="81" t="s">
        <v>784</v>
      </c>
      <c r="C166" s="82"/>
      <c r="D166" s="83"/>
      <c r="E166" s="83"/>
      <c r="F166" s="110">
        <v>90.0</v>
      </c>
      <c r="G166" s="113" t="str">
        <f>IFERROR(__xludf.DUMMYFUNCTION("TRIM(REGEXREPLACE(C166, ""[0-9]+[a-f]?\."", """"))"),"")</f>
        <v/>
      </c>
      <c r="H166" s="113" t="str">
        <f>IFERROR(__xludf.DUMMYFUNCTION("TRIM(REGEXREPLACE(D166, ""[0-9]+[a-f]?\."", """"))"),"")</f>
        <v/>
      </c>
      <c r="I166" s="113" t="str">
        <f>IFERROR(__xludf.DUMMYFUNCTION("TRIM(REGEXREPLACE(E166, ""[0-9]+[a-f]?\."", """"))"),"")</f>
        <v/>
      </c>
      <c r="J166" s="113" t="s">
        <v>771</v>
      </c>
      <c r="K166" s="113" t="s">
        <v>772</v>
      </c>
      <c r="L166" s="113" t="s">
        <v>785</v>
      </c>
    </row>
    <row r="167" hidden="1">
      <c r="A167" s="80" t="s">
        <v>115</v>
      </c>
      <c r="B167" s="81" t="s">
        <v>786</v>
      </c>
      <c r="C167" s="82"/>
      <c r="D167" s="83"/>
      <c r="E167" s="83"/>
      <c r="F167" s="110">
        <v>91.0</v>
      </c>
      <c r="G167" s="113" t="str">
        <f>IFERROR(__xludf.DUMMYFUNCTION("TRIM(REGEXREPLACE(C167, ""[0-9]+[a-f]?\."", """"))"),"")</f>
        <v/>
      </c>
      <c r="H167" s="113" t="str">
        <f>IFERROR(__xludf.DUMMYFUNCTION("TRIM(REGEXREPLACE(D167, ""[0-9]+[a-f]?\."", """"))"),"")</f>
        <v/>
      </c>
      <c r="I167" s="113" t="str">
        <f>IFERROR(__xludf.DUMMYFUNCTION("TRIM(REGEXREPLACE(E167, ""[0-9]+[a-f]?\."", """"))"),"")</f>
        <v/>
      </c>
      <c r="J167" s="113" t="s">
        <v>787</v>
      </c>
      <c r="K167" s="113" t="s">
        <v>788</v>
      </c>
      <c r="L167" s="113" t="s">
        <v>789</v>
      </c>
    </row>
    <row r="168" hidden="1">
      <c r="A168" s="80" t="s">
        <v>150</v>
      </c>
      <c r="B168" s="164" t="s">
        <v>790</v>
      </c>
      <c r="C168" s="82"/>
      <c r="D168" s="83"/>
      <c r="E168" s="83"/>
      <c r="F168" s="110">
        <v>92.0</v>
      </c>
      <c r="G168" s="113" t="str">
        <f>IFERROR(__xludf.DUMMYFUNCTION("TRIM(REGEXREPLACE(C168, ""[0-9]+[a-f]?\."", """"))"),"")</f>
        <v/>
      </c>
      <c r="H168" s="113" t="str">
        <f>IFERROR(__xludf.DUMMYFUNCTION("TRIM(REGEXREPLACE(D168, ""[0-9]+[a-f]?\."", """"))"),"")</f>
        <v/>
      </c>
      <c r="I168" s="113" t="str">
        <f>IFERROR(__xludf.DUMMYFUNCTION("TRIM(REGEXREPLACE(E168, ""[0-9]+[a-f]?\."", """"))"),"")</f>
        <v/>
      </c>
      <c r="J168" s="113" t="s">
        <v>791</v>
      </c>
      <c r="K168" s="113" t="s">
        <v>793</v>
      </c>
      <c r="L168" s="113" t="s">
        <v>795</v>
      </c>
    </row>
    <row r="169">
      <c r="A169" s="152" t="s">
        <v>44</v>
      </c>
      <c r="B169" s="77" t="s">
        <v>796</v>
      </c>
      <c r="C169" s="76" t="s">
        <v>398</v>
      </c>
      <c r="D169" s="76" t="s">
        <v>400</v>
      </c>
      <c r="E169" s="76" t="s">
        <v>401</v>
      </c>
      <c r="F169" s="110">
        <v>37.0</v>
      </c>
      <c r="G169" s="113" t="str">
        <f>IFERROR(__xludf.DUMMYFUNCTION("TRIM(REGEXREPLACE(C169, ""[0-9]+[a-f]?\."", """"))"),"I would like to ask you about different ways you may use money that you earn.")</f>
        <v>I would like to ask you about different ways you may use money that you earn.</v>
      </c>
      <c r="H169" s="113" t="str">
        <f>IFERROR(__xludf.DUMMYFUNCTION("TRIM(REGEXREPLACE(D169, ""[0-9]+[a-f]?\."", """"))"),"Maintenant, je voudrais vous poser des questions sur les différentes façons dont vous pouvez utiliser l'argent que vous gagnez.")</f>
        <v>Maintenant, je voudrais vous poser des questions sur les différentes façons dont vous pouvez utiliser l'argent que vous gagnez.</v>
      </c>
      <c r="I169" s="113" t="str">
        <f>IFERROR(__xludf.DUMMYFUNCTION("TRIM(REGEXREPLACE(E169, ""[0-9]+[a-f]?\."", """"))"),"Yanzu ina so in tambaye ku hanyoyi daban-daban da zaku iya amfani da su wajen kashe kuɗin da kuke samu.")</f>
        <v>Yanzu ina so in tambaye ku hanyoyi daban-daban da zaku iya amfani da su wajen kashe kuɗin da kuke samu.</v>
      </c>
      <c r="J169" s="113" t="str">
        <f t="shared" ref="J169:J171" si="25">F169 &amp; ". " &amp;G169</f>
        <v>37. I would like to ask you about different ways you may use money that you earn.</v>
      </c>
      <c r="K169" s="113" t="str">
        <f t="shared" ref="K169:K171" si="26">F169 &amp; ". " &amp;H169</f>
        <v>37. Maintenant, je voudrais vous poser des questions sur les différentes façons dont vous pouvez utiliser l'argent que vous gagnez.</v>
      </c>
      <c r="L169" s="113" t="str">
        <f t="shared" ref="L169:L171" si="27">F169 &amp; ". " &amp;I169</f>
        <v>37. Yanzu ina so in tambaye ku hanyoyi daban-daban da zaku iya amfani da su wajen kashe kuɗin da kuke samu.</v>
      </c>
    </row>
    <row r="170">
      <c r="A170" s="114" t="s">
        <v>798</v>
      </c>
      <c r="B170" s="165" t="s">
        <v>799</v>
      </c>
      <c r="C170" s="76" t="s">
        <v>800</v>
      </c>
      <c r="D170" s="76" t="s">
        <v>801</v>
      </c>
      <c r="E170" s="76" t="s">
        <v>802</v>
      </c>
      <c r="F170" s="110">
        <v>38.0</v>
      </c>
      <c r="G170" s="113" t="str">
        <f>IFERROR(__xludf.DUMMYFUNCTION("TRIM(REGEXREPLACE(C170, ""[0-9]+[a-f]?\."", """"))"),"Do you currently have savings of each of the following types that you have put aside for yourself, separate from your household?")</f>
        <v>Do you currently have savings of each of the following types that you have put aside for yourself, separate from your household?</v>
      </c>
      <c r="H170" s="113" t="str">
        <f>IFERROR(__xludf.DUMMYFUNCTION("TRIM(REGEXREPLACE(D170,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170" s="113" t="str">
        <f>IFERROR(__xludf.DUMMYFUNCTION("TRIM(REGEXREPLACE(E170, ""[0-9]+[a-f]?\."", """"))"),"Ko a halin yanzu kuna da tanadi na kowane nau'in waɗannan nau'ikan da kuka ware wa kanku?")</f>
        <v>Ko a halin yanzu kuna da tanadi na kowane nau'in waɗannan nau'ikan da kuka ware wa kanku?</v>
      </c>
      <c r="J170" s="113" t="str">
        <f t="shared" si="25"/>
        <v>38. Do you currently have savings of each of the following types that you have put aside for yourself, separate from your household?</v>
      </c>
      <c r="K170" s="113" t="str">
        <f t="shared" si="26"/>
        <v>38. Avez-vous actuellement des économies de chacun des types suivants que vous avez mises de côté pour vous-même, séparément de votre ménage ?</v>
      </c>
      <c r="L170" s="113" t="str">
        <f t="shared" si="27"/>
        <v>38. Ko a halin yanzu kuna da tanadi na kowane nau'in waɗannan nau'ikan da kuka ware wa kanku?</v>
      </c>
    </row>
    <row r="171">
      <c r="A171" s="162" t="s">
        <v>217</v>
      </c>
      <c r="B171" s="166" t="s">
        <v>805</v>
      </c>
      <c r="C171" s="76" t="s">
        <v>406</v>
      </c>
      <c r="D171" s="76" t="s">
        <v>407</v>
      </c>
      <c r="E171" s="76" t="s">
        <v>408</v>
      </c>
      <c r="F171" s="110">
        <v>39.0</v>
      </c>
      <c r="G171" s="113" t="str">
        <f>IFERROR(__xludf.DUMMYFUNCTION("TRIM(REGEXREPLACE(C171, ""[0-9]+[a-f]?\."", """"))"),"Specify other:")</f>
        <v>Specify other:</v>
      </c>
      <c r="H171" s="113" t="str">
        <f>IFERROR(__xludf.DUMMYFUNCTION("TRIM(REGEXREPLACE(D171, ""[0-9]+[a-f]?\."", """"))"),"Précisez autre :")</f>
        <v>Précisez autre :</v>
      </c>
      <c r="I171" s="113" t="str">
        <f>IFERROR(__xludf.DUMMYFUNCTION("TRIM(REGEXREPLACE(E171, ""[0-9]+[a-f]?\."", """"))"),"Ƙayyade wasu:")</f>
        <v>Ƙayyade wasu:</v>
      </c>
      <c r="J171" s="113" t="str">
        <f t="shared" si="25"/>
        <v>39. Specify other:</v>
      </c>
      <c r="K171" s="113" t="str">
        <f t="shared" si="26"/>
        <v>39. Précisez autre :</v>
      </c>
      <c r="L171" s="113" t="str">
        <f t="shared" si="27"/>
        <v>39. Ƙayyade wasu:</v>
      </c>
    </row>
    <row r="172" hidden="1">
      <c r="A172" s="167" t="s">
        <v>807</v>
      </c>
      <c r="B172" s="168" t="s">
        <v>808</v>
      </c>
      <c r="C172" s="168" t="s">
        <v>809</v>
      </c>
      <c r="D172" s="169" t="s">
        <v>810</v>
      </c>
      <c r="E172" s="169" t="s">
        <v>811</v>
      </c>
      <c r="F172" s="110">
        <v>96.0</v>
      </c>
      <c r="G172" s="113" t="str">
        <f>IFERROR(__xludf.DUMMYFUNCTION("TRIM(REGEXREPLACE(C172, ""[0-9]+[a-f]?\."", """"))"),"Savings Amount")</f>
        <v>Savings Amount</v>
      </c>
      <c r="H172" s="113" t="str">
        <f>IFERROR(__xludf.DUMMYFUNCTION("TRIM(REGEXREPLACE(D172, ""[0-9]+[a-f]?\."", """"))"),"Montant de l'épargne")</f>
        <v>Montant de l'épargne</v>
      </c>
      <c r="I172" s="113" t="str">
        <f>IFERROR(__xludf.DUMMYFUNCTION("TRIM(REGEXREPLACE(E172, ""[0-9]+[a-f]?\."", """"))"),"Yawan kuɗin ajiye")</f>
        <v>Yawan kuɗin ajiye</v>
      </c>
      <c r="J172" s="113" t="s">
        <v>812</v>
      </c>
      <c r="K172" s="113" t="s">
        <v>814</v>
      </c>
      <c r="L172" s="113" t="s">
        <v>815</v>
      </c>
    </row>
    <row r="173" hidden="1">
      <c r="A173" s="131" t="s">
        <v>115</v>
      </c>
      <c r="B173" s="132" t="s">
        <v>816</v>
      </c>
      <c r="C173" s="133" t="s">
        <v>817</v>
      </c>
      <c r="D173" s="133" t="s">
        <v>818</v>
      </c>
      <c r="E173" s="133" t="s">
        <v>820</v>
      </c>
      <c r="F173" s="110">
        <v>97.0</v>
      </c>
      <c r="G173" s="113" t="str">
        <f>IFERROR(__xludf.DUMMYFUNCTION("TRIM(REGEXREPLACE(C173, ""[0-9]+[a-f]?\."", """"))"),"Savings Type Name")</f>
        <v>Savings Type Name</v>
      </c>
      <c r="H173" s="113" t="str">
        <f>IFERROR(__xludf.DUMMYFUNCTION("TRIM(REGEXREPLACE(D173, ""[0-9]+[a-f]?\."", """"))"),"Nom du type d'épargne")</f>
        <v>Nom du type d'épargne</v>
      </c>
      <c r="I173" s="113" t="str">
        <f>IFERROR(__xludf.DUMMYFUNCTION("TRIM(REGEXREPLACE(E173, ""[0-9]+[a-f]?\."", """"))"),"Sunan Nau'in Ajiya")</f>
        <v>Sunan Nau'in Ajiya</v>
      </c>
      <c r="J173" s="113" t="s">
        <v>822</v>
      </c>
      <c r="K173" s="113" t="s">
        <v>823</v>
      </c>
      <c r="L173" s="113" t="s">
        <v>824</v>
      </c>
    </row>
    <row r="174">
      <c r="A174" s="170" t="s">
        <v>238</v>
      </c>
      <c r="B174" s="171" t="s">
        <v>825</v>
      </c>
      <c r="C174" s="76" t="s">
        <v>417</v>
      </c>
      <c r="D174" s="76" t="s">
        <v>418</v>
      </c>
      <c r="E174" s="76" t="s">
        <v>419</v>
      </c>
      <c r="F174" s="110">
        <v>40.0</v>
      </c>
      <c r="G174" s="113" t="str">
        <f>IFERROR(__xludf.DUMMYFUNCTION("TRIM(REGEXREPLACE(C174, ""[0-9]+[a-f]?\."", """"))"),"Please share with us your best estimate of the value in CFA ${w_savings_name}")</f>
        <v>Please share with us your best estimate of the value in CFA ${w_savings_name}</v>
      </c>
      <c r="H174" s="113" t="str">
        <f>IFERROR(__xludf.DUMMYFUNCTION("TRIM(REGEXREPLACE(D174, ""[0-9]+[a-f]?\."", """"))"),"Veuillez partager avec nous votre meilleure estimation de la valeur en CFA ${w_savings_name}")</f>
        <v>Veuillez partager avec nous votre meilleure estimation de la valeur en CFA ${w_savings_name}</v>
      </c>
      <c r="I174" s="113" t="str">
        <f>IFERROR(__xludf.DUMMYFUNCTION("TRIM(REGEXREPLACE(E174, ""[0-9]+[a-f]?\."", """"))"),"Da fatan zaku faɗa mana ƙimar da kuke ganin yayi daidai a cikin CFA ${w_savings_name}")</f>
        <v>Da fatan zaku faɗa mana ƙimar da kuke ganin yayi daidai a cikin CFA ${w_savings_name}</v>
      </c>
      <c r="J174" s="113" t="str">
        <f>F174 &amp; ". " &amp;G174</f>
        <v>40. Please share with us your best estimate of the value in CFA ${w_savings_name}</v>
      </c>
      <c r="K174" s="113" t="str">
        <f>F174 &amp; ". " &amp;H174</f>
        <v>40. Veuillez partager avec nous votre meilleure estimation de la valeur en CFA ${w_savings_name}</v>
      </c>
      <c r="L174" s="113" t="str">
        <f>F174 &amp; ". " &amp;I174</f>
        <v>40. Da fatan zaku faɗa mana ƙimar da kuke ganin yayi daidai a cikin CFA ${w_savings_name}</v>
      </c>
    </row>
    <row r="175" hidden="1"/>
    <row r="176" hidden="1">
      <c r="B176" s="119"/>
      <c r="C176" s="119"/>
      <c r="D176" s="119"/>
      <c r="E176" s="119"/>
      <c r="F176" s="110">
        <v>99.0</v>
      </c>
      <c r="G176" s="113" t="str">
        <f>IFERROR(__xludf.DUMMYFUNCTION("TRIM(REGEXREPLACE(C176, ""[0-9]+[a-f]?\."", """"))"),"")</f>
        <v/>
      </c>
      <c r="H176" s="113" t="str">
        <f>IFERROR(__xludf.DUMMYFUNCTION("TRIM(REGEXREPLACE(D176, ""[0-9]+[a-f]?\."", """"))"),"")</f>
        <v/>
      </c>
      <c r="I176" s="113" t="str">
        <f>IFERROR(__xludf.DUMMYFUNCTION("TRIM(REGEXREPLACE(E176, ""[0-9]+[a-f]?\."", """"))"),"")</f>
        <v/>
      </c>
      <c r="J176" s="113" t="s">
        <v>829</v>
      </c>
      <c r="K176" s="113" t="s">
        <v>830</v>
      </c>
      <c r="L176" s="113" t="s">
        <v>831</v>
      </c>
    </row>
    <row r="177">
      <c r="A177" s="121" t="s">
        <v>680</v>
      </c>
      <c r="B177" s="165" t="s">
        <v>832</v>
      </c>
      <c r="C177" s="76" t="s">
        <v>422</v>
      </c>
      <c r="D177" s="76" t="s">
        <v>423</v>
      </c>
      <c r="E177" s="76" t="s">
        <v>425</v>
      </c>
      <c r="F177" s="110">
        <v>41.0</v>
      </c>
      <c r="G177" s="113" t="str">
        <f>IFERROR(__xludf.DUMMYFUNCTION("TRIM(REGEXREPLACE(C177, ""[0-9]+[a-f]?\."", """"))"),"Do you earn interest on this money ${w_savings_name}?")</f>
        <v>Do you earn interest on this money ${w_savings_name}?</v>
      </c>
      <c r="H177" s="113" t="str">
        <f>IFERROR(__xludf.DUMMYFUNCTION("TRIM(REGEXREPLACE(D177, ""[0-9]+[a-f]?\."", """"))"),"Gagnez-vous des intérêts sur cet argent ${w_savings_name} ?")</f>
        <v>Gagnez-vous des intérêts sur cet argent ${w_savings_name} ?</v>
      </c>
      <c r="I177" s="113" t="str">
        <f>IFERROR(__xludf.DUMMYFUNCTION("TRIM(REGEXREPLACE(E177, ""[0-9]+[a-f]?\."", """"))"),"Kuna samun riba akan wannan kuɗin ${w_savings_name}?")</f>
        <v>Kuna samun riba akan wannan kuɗin ${w_savings_name}?</v>
      </c>
      <c r="J177" s="113" t="str">
        <f>F177 &amp; ". " &amp;G177</f>
        <v>41. Do you earn interest on this money ${w_savings_name}?</v>
      </c>
      <c r="K177" s="113" t="str">
        <f>F177 &amp; ". " &amp;H177</f>
        <v>41. Gagnez-vous des intérêts sur cet argent ${w_savings_name} ?</v>
      </c>
      <c r="L177" s="113" t="str">
        <f>F177 &amp; ". " &amp;I177</f>
        <v>41. Kuna samun riba akan wannan kuɗin ${w_savings_name}?</v>
      </c>
    </row>
    <row r="178" hidden="1">
      <c r="B178" s="119"/>
      <c r="C178" s="119"/>
      <c r="D178" s="119"/>
      <c r="E178" s="119"/>
      <c r="F178" s="110">
        <v>81.0</v>
      </c>
      <c r="G178" s="113" t="str">
        <f>IFERROR(__xludf.DUMMYFUNCTION("TRIM(REGEXREPLACE(C178, ""[0-9]+[a-f]?\."", """"))"),"")</f>
        <v/>
      </c>
      <c r="H178" s="113" t="str">
        <f>IFERROR(__xludf.DUMMYFUNCTION("TRIM(REGEXREPLACE(D178, ""[0-9]+[a-f]?\."", """"))"),"")</f>
        <v/>
      </c>
      <c r="I178" s="113" t="str">
        <f>IFERROR(__xludf.DUMMYFUNCTION("TRIM(REGEXREPLACE(E178, ""[0-9]+[a-f]?\."", """"))"),"")</f>
        <v/>
      </c>
      <c r="J178" s="113" t="s">
        <v>835</v>
      </c>
      <c r="K178" s="113" t="s">
        <v>836</v>
      </c>
      <c r="L178" s="113" t="s">
        <v>837</v>
      </c>
    </row>
    <row r="179" hidden="1">
      <c r="B179" s="119"/>
      <c r="C179" s="119"/>
      <c r="D179" s="119"/>
      <c r="E179" s="119"/>
      <c r="F179" s="110">
        <v>100.0</v>
      </c>
      <c r="G179" s="113" t="str">
        <f>IFERROR(__xludf.DUMMYFUNCTION("TRIM(REGEXREPLACE(C179, ""[0-9]+[a-f]?\."", """"))"),"")</f>
        <v/>
      </c>
      <c r="H179" s="113" t="str">
        <f>IFERROR(__xludf.DUMMYFUNCTION("TRIM(REGEXREPLACE(D179, ""[0-9]+[a-f]?\."", """"))"),"")</f>
        <v/>
      </c>
      <c r="I179" s="113" t="str">
        <f>IFERROR(__xludf.DUMMYFUNCTION("TRIM(REGEXREPLACE(E179, ""[0-9]+[a-f]?\."", """"))"),"")</f>
        <v/>
      </c>
      <c r="J179" s="113" t="s">
        <v>839</v>
      </c>
      <c r="K179" s="113" t="s">
        <v>840</v>
      </c>
      <c r="L179" s="113" t="s">
        <v>841</v>
      </c>
    </row>
    <row r="180" hidden="1">
      <c r="A180" s="167" t="s">
        <v>842</v>
      </c>
      <c r="B180" s="169" t="s">
        <v>808</v>
      </c>
      <c r="C180" s="169" t="s">
        <v>809</v>
      </c>
      <c r="D180" s="169" t="s">
        <v>810</v>
      </c>
      <c r="E180" s="169" t="s">
        <v>811</v>
      </c>
      <c r="F180" s="110">
        <v>100.0</v>
      </c>
      <c r="G180" s="113" t="str">
        <f>IFERROR(__xludf.DUMMYFUNCTION("TRIM(REGEXREPLACE(C180, ""[0-9]+[a-f]?\."", """"))"),"Savings Amount")</f>
        <v>Savings Amount</v>
      </c>
      <c r="H180" s="113" t="str">
        <f>IFERROR(__xludf.DUMMYFUNCTION("TRIM(REGEXREPLACE(D180, ""[0-9]+[a-f]?\."", """"))"),"Montant de l'épargne")</f>
        <v>Montant de l'épargne</v>
      </c>
      <c r="I180" s="113" t="str">
        <f>IFERROR(__xludf.DUMMYFUNCTION("TRIM(REGEXREPLACE(E180, ""[0-9]+[a-f]?\."", """"))"),"Yawan kuɗin ajiye")</f>
        <v>Yawan kuɗin ajiye</v>
      </c>
      <c r="J180" s="113" t="s">
        <v>843</v>
      </c>
      <c r="K180" s="113" t="s">
        <v>844</v>
      </c>
      <c r="L180" s="113" t="s">
        <v>845</v>
      </c>
    </row>
    <row r="181" hidden="1">
      <c r="B181" s="119"/>
      <c r="C181" s="119"/>
      <c r="D181" s="119"/>
      <c r="E181" s="119"/>
      <c r="F181" s="110">
        <v>84.0</v>
      </c>
      <c r="G181" s="113" t="str">
        <f>IFERROR(__xludf.DUMMYFUNCTION("TRIM(REGEXREPLACE(C181, ""[0-9]+[a-f]?\."", """"))"),"")</f>
        <v/>
      </c>
      <c r="H181" s="113" t="str">
        <f>IFERROR(__xludf.DUMMYFUNCTION("TRIM(REGEXREPLACE(D181, ""[0-9]+[a-f]?\."", """"))"),"")</f>
        <v/>
      </c>
      <c r="I181" s="113" t="str">
        <f>IFERROR(__xludf.DUMMYFUNCTION("TRIM(REGEXREPLACE(E181, ""[0-9]+[a-f]?\."", """"))"),"")</f>
        <v/>
      </c>
      <c r="J181" s="113" t="s">
        <v>847</v>
      </c>
      <c r="K181" s="113" t="s">
        <v>848</v>
      </c>
      <c r="L181" s="113" t="s">
        <v>849</v>
      </c>
    </row>
    <row r="182" hidden="1">
      <c r="A182" s="80" t="s">
        <v>150</v>
      </c>
      <c r="B182" s="164" t="s">
        <v>850</v>
      </c>
      <c r="C182" s="82"/>
      <c r="D182" s="83"/>
      <c r="E182" s="83"/>
      <c r="F182" s="110">
        <v>101.0</v>
      </c>
      <c r="G182" s="113" t="str">
        <f>IFERROR(__xludf.DUMMYFUNCTION("TRIM(REGEXREPLACE(C182, ""[0-9]+[a-f]?\."", """"))"),"")</f>
        <v/>
      </c>
      <c r="H182" s="113" t="str">
        <f>IFERROR(__xludf.DUMMYFUNCTION("TRIM(REGEXREPLACE(D182, ""[0-9]+[a-f]?\."", """"))"),"")</f>
        <v/>
      </c>
      <c r="I182" s="113" t="str">
        <f>IFERROR(__xludf.DUMMYFUNCTION("TRIM(REGEXREPLACE(E182, ""[0-9]+[a-f]?\."", """"))"),"")</f>
        <v/>
      </c>
      <c r="J182" s="113" t="s">
        <v>852</v>
      </c>
      <c r="K182" s="113" t="s">
        <v>853</v>
      </c>
      <c r="L182" s="113" t="s">
        <v>854</v>
      </c>
    </row>
    <row r="183" hidden="1">
      <c r="B183" s="119"/>
      <c r="C183" s="119"/>
      <c r="D183" s="119"/>
      <c r="E183" s="119"/>
      <c r="F183" s="110">
        <v>102.0</v>
      </c>
      <c r="G183" s="113" t="str">
        <f>IFERROR(__xludf.DUMMYFUNCTION("TRIM(REGEXREPLACE(C183, ""[0-9]+[a-f]?\."", """"))"),"")</f>
        <v/>
      </c>
      <c r="H183" s="113" t="str">
        <f>IFERROR(__xludf.DUMMYFUNCTION("TRIM(REGEXREPLACE(D183, ""[0-9]+[a-f]?\."", """"))"),"")</f>
        <v/>
      </c>
      <c r="I183" s="113" t="str">
        <f>IFERROR(__xludf.DUMMYFUNCTION("TRIM(REGEXREPLACE(E183, ""[0-9]+[a-f]?\."", """"))"),"")</f>
        <v/>
      </c>
      <c r="J183" s="113" t="s">
        <v>857</v>
      </c>
      <c r="K183" s="113" t="s">
        <v>858</v>
      </c>
      <c r="L183" s="113" t="s">
        <v>859</v>
      </c>
    </row>
    <row r="184" hidden="1">
      <c r="B184" s="119"/>
      <c r="C184" s="119"/>
      <c r="D184" s="119"/>
      <c r="E184" s="119"/>
      <c r="F184" s="110">
        <v>103.0</v>
      </c>
      <c r="G184" s="113" t="str">
        <f>IFERROR(__xludf.DUMMYFUNCTION("TRIM(REGEXREPLACE(C184, ""[0-9]+[a-f]?\."", """"))"),"")</f>
        <v/>
      </c>
      <c r="H184" s="113" t="str">
        <f>IFERROR(__xludf.DUMMYFUNCTION("TRIM(REGEXREPLACE(D184, ""[0-9]+[a-f]?\."", """"))"),"")</f>
        <v/>
      </c>
      <c r="I184" s="113" t="str">
        <f>IFERROR(__xludf.DUMMYFUNCTION("TRIM(REGEXREPLACE(E184, ""[0-9]+[a-f]?\."", """"))"),"")</f>
        <v/>
      </c>
      <c r="J184" s="113" t="s">
        <v>860</v>
      </c>
      <c r="K184" s="113" t="s">
        <v>861</v>
      </c>
      <c r="L184" s="113" t="s">
        <v>862</v>
      </c>
    </row>
    <row r="185" hidden="1">
      <c r="A185" s="80" t="s">
        <v>115</v>
      </c>
      <c r="B185" s="81" t="s">
        <v>863</v>
      </c>
      <c r="C185" s="82"/>
      <c r="D185" s="83"/>
      <c r="E185" s="83"/>
      <c r="F185" s="110">
        <v>102.0</v>
      </c>
      <c r="G185" s="113" t="str">
        <f>IFERROR(__xludf.DUMMYFUNCTION("TRIM(REGEXREPLACE(C185, ""[0-9]+[a-f]?\."", """"))"),"")</f>
        <v/>
      </c>
      <c r="H185" s="113" t="str">
        <f>IFERROR(__xludf.DUMMYFUNCTION("TRIM(REGEXREPLACE(D185, ""[0-9]+[a-f]?\."", """"))"),"")</f>
        <v/>
      </c>
      <c r="I185" s="113" t="str">
        <f>IFERROR(__xludf.DUMMYFUNCTION("TRIM(REGEXREPLACE(E185, ""[0-9]+[a-f]?\."", """"))"),"")</f>
        <v/>
      </c>
      <c r="J185" s="113" t="s">
        <v>864</v>
      </c>
      <c r="K185" s="113" t="s">
        <v>865</v>
      </c>
      <c r="L185" s="113" t="s">
        <v>866</v>
      </c>
    </row>
    <row r="186" hidden="1">
      <c r="B186" s="119"/>
      <c r="C186" s="119"/>
      <c r="D186" s="119"/>
      <c r="E186" s="119"/>
      <c r="F186" s="110">
        <v>105.0</v>
      </c>
      <c r="G186" s="113" t="str">
        <f>IFERROR(__xludf.DUMMYFUNCTION("TRIM(REGEXREPLACE(C186, ""[0-9]+[a-f]?\."", """"))"),"")</f>
        <v/>
      </c>
      <c r="H186" s="113" t="str">
        <f>IFERROR(__xludf.DUMMYFUNCTION("TRIM(REGEXREPLACE(D186, ""[0-9]+[a-f]?\."", """"))"),"")</f>
        <v/>
      </c>
      <c r="I186" s="113" t="str">
        <f>IFERROR(__xludf.DUMMYFUNCTION("TRIM(REGEXREPLACE(E186, ""[0-9]+[a-f]?\."", """"))"),"")</f>
        <v/>
      </c>
      <c r="J186" s="113" t="s">
        <v>868</v>
      </c>
      <c r="K186" s="113" t="s">
        <v>869</v>
      </c>
      <c r="L186" s="113" t="s">
        <v>870</v>
      </c>
    </row>
    <row r="187" hidden="1">
      <c r="B187" s="119"/>
      <c r="C187" s="119"/>
      <c r="D187" s="119"/>
      <c r="E187" s="119"/>
      <c r="F187" s="110">
        <v>105.0</v>
      </c>
      <c r="G187" s="113" t="str">
        <f>IFERROR(__xludf.DUMMYFUNCTION("TRIM(REGEXREPLACE(C187, ""[0-9]+[a-f]?\."", """"))"),"")</f>
        <v/>
      </c>
      <c r="H187" s="113" t="str">
        <f>IFERROR(__xludf.DUMMYFUNCTION("TRIM(REGEXREPLACE(D187, ""[0-9]+[a-f]?\."", """"))"),"")</f>
        <v/>
      </c>
      <c r="I187" s="113" t="str">
        <f>IFERROR(__xludf.DUMMYFUNCTION("TRIM(REGEXREPLACE(E187, ""[0-9]+[a-f]?\."", """"))"),"")</f>
        <v/>
      </c>
    </row>
    <row r="188" hidden="1">
      <c r="A188" s="131"/>
      <c r="B188" s="164"/>
      <c r="C188" s="172"/>
      <c r="D188" s="172"/>
      <c r="E188" s="172"/>
      <c r="F188" s="110">
        <v>103.0</v>
      </c>
      <c r="G188" s="113" t="str">
        <f>IFERROR(__xludf.DUMMYFUNCTION("TRIM(REGEXREPLACE(C188, ""[0-9]+[a-f]?\."", """"))"),"")</f>
        <v/>
      </c>
      <c r="H188" s="113" t="str">
        <f>IFERROR(__xludf.DUMMYFUNCTION("TRIM(REGEXREPLACE(D188, ""[0-9]+[a-f]?\."", """"))"),"")</f>
        <v/>
      </c>
      <c r="I188" s="113" t="str">
        <f>IFERROR(__xludf.DUMMYFUNCTION("TRIM(REGEXREPLACE(E188, ""[0-9]+[a-f]?\."", """"))"),"")</f>
        <v/>
      </c>
      <c r="J188" s="113" t="s">
        <v>873</v>
      </c>
      <c r="K188" s="113" t="s">
        <v>875</v>
      </c>
      <c r="L188" s="113" t="s">
        <v>876</v>
      </c>
    </row>
    <row r="189" hidden="1">
      <c r="A189" s="131" t="s">
        <v>150</v>
      </c>
      <c r="B189" s="164" t="s">
        <v>877</v>
      </c>
      <c r="C189" s="172"/>
      <c r="D189" s="172"/>
      <c r="E189" s="172"/>
      <c r="F189" s="110">
        <v>104.0</v>
      </c>
      <c r="G189" s="113" t="str">
        <f>IFERROR(__xludf.DUMMYFUNCTION("TRIM(REGEXREPLACE(C189, ""[0-9]+[a-f]?\."", """"))"),"")</f>
        <v/>
      </c>
      <c r="H189" s="113" t="str">
        <f>IFERROR(__xludf.DUMMYFUNCTION("TRIM(REGEXREPLACE(D189, ""[0-9]+[a-f]?\."", """"))"),"")</f>
        <v/>
      </c>
      <c r="I189" s="113" t="str">
        <f>IFERROR(__xludf.DUMMYFUNCTION("TRIM(REGEXREPLACE(E189, ""[0-9]+[a-f]?\."", """"))"),"")</f>
        <v/>
      </c>
      <c r="J189" s="113" t="s">
        <v>878</v>
      </c>
      <c r="K189" s="113" t="s">
        <v>879</v>
      </c>
      <c r="L189" s="113" t="s">
        <v>880</v>
      </c>
    </row>
    <row r="190" hidden="1">
      <c r="A190" s="80" t="s">
        <v>161</v>
      </c>
      <c r="B190" s="81" t="s">
        <v>884</v>
      </c>
      <c r="C190" s="81"/>
      <c r="D190" s="77"/>
      <c r="E190" s="77"/>
      <c r="F190" s="110">
        <v>105.0</v>
      </c>
      <c r="G190" s="113" t="str">
        <f>IFERROR(__xludf.DUMMYFUNCTION("TRIM(REGEXREPLACE(C190, ""[0-9]+[a-f]?\."", """"))"),"")</f>
        <v/>
      </c>
      <c r="H190" s="113" t="str">
        <f>IFERROR(__xludf.DUMMYFUNCTION("TRIM(REGEXREPLACE(D190, ""[0-9]+[a-f]?\."", """"))"),"")</f>
        <v/>
      </c>
      <c r="I190" s="113" t="str">
        <f>IFERROR(__xludf.DUMMYFUNCTION("TRIM(REGEXREPLACE(E190, ""[0-9]+[a-f]?\."", """"))"),"")</f>
        <v/>
      </c>
      <c r="J190" s="113" t="s">
        <v>886</v>
      </c>
      <c r="K190" s="113" t="s">
        <v>887</v>
      </c>
      <c r="L190" s="113" t="s">
        <v>888</v>
      </c>
    </row>
    <row r="191">
      <c r="A191" s="152" t="s">
        <v>44</v>
      </c>
      <c r="B191" s="77" t="s">
        <v>889</v>
      </c>
      <c r="C191" s="76" t="s">
        <v>451</v>
      </c>
      <c r="D191" s="76" t="s">
        <v>452</v>
      </c>
      <c r="E191" s="76" t="s">
        <v>453</v>
      </c>
      <c r="F191" s="110">
        <v>42.0</v>
      </c>
      <c r="G191" s="113" t="str">
        <f>IFERROR(__xludf.DUMMYFUNCTION("TRIM(REGEXREPLACE(C191, ""[0-9]+[a-f]?\."", """"))"),"I would like to ask you a few questions about your health and wellbeing")</f>
        <v>I would like to ask you a few questions about your health and wellbeing</v>
      </c>
      <c r="H191" s="113" t="str">
        <f>IFERROR(__xludf.DUMMYFUNCTION("TRIM(REGEXREPLACE(D191, ""[0-9]+[a-f]?\."", """"))"),"Je voudrais vous poser quelques questions sur votre santé et votre bien-être")</f>
        <v>Je voudrais vous poser quelques questions sur votre santé et votre bien-être</v>
      </c>
      <c r="I191" s="113" t="str">
        <f>IFERROR(__xludf.DUMMYFUNCTION("TRIM(REGEXREPLACE(E191, ""[0-9]+[a-f]?\."", """"))"),"Ina so in yi muku wasu ƴan tambayoyi game da lafiyar jikinku da jin daɗin ku")</f>
        <v>Ina so in yi muku wasu ƴan tambayoyi game da lafiyar jikinku da jin daɗin ku</v>
      </c>
      <c r="J191" s="113" t="str">
        <f t="shared" ref="J191:J192" si="28">F191 &amp; ". " &amp;G191</f>
        <v>42. I would like to ask you a few questions about your health and wellbeing</v>
      </c>
      <c r="K191" s="113" t="str">
        <f t="shared" ref="K191:K192" si="29">F191 &amp; ". " &amp;H191</f>
        <v>42. Je voudrais vous poser quelques questions sur votre santé et votre bien-être</v>
      </c>
      <c r="L191" s="113" t="str">
        <f t="shared" ref="L191:L192" si="30">F191 &amp; ". " &amp;I191</f>
        <v>42. Ina so in yi muku wasu ƴan tambayoyi game da lafiyar jikinku da jin daɗin ku</v>
      </c>
    </row>
    <row r="192">
      <c r="A192" s="114" t="s">
        <v>894</v>
      </c>
      <c r="B192" s="165" t="s">
        <v>896</v>
      </c>
      <c r="C192" s="76" t="s">
        <v>455</v>
      </c>
      <c r="D192" s="76" t="s">
        <v>456</v>
      </c>
      <c r="E192" s="76" t="s">
        <v>457</v>
      </c>
      <c r="F192" s="110">
        <v>43.0</v>
      </c>
      <c r="G192" s="113" t="str">
        <f>IFERROR(__xludf.DUMMYFUNCTION("TRIM(REGEXREPLACE(C192, ""[0-9]+[a-f]?\."", """"))"),"In general, how would you characterize your physical health?")</f>
        <v>In general, how would you characterize your physical health?</v>
      </c>
      <c r="H192" s="113" t="str">
        <f>IFERROR(__xludf.DUMMYFUNCTION("TRIM(REGEXREPLACE(D192, ""[0-9]+[a-f]?\."", """"))"),"En général, comment caractériseriez-vous votre santé physique ?")</f>
        <v>En général, comment caractériseriez-vous votre santé physique ?</v>
      </c>
      <c r="I192" s="113" t="str">
        <f>IFERROR(__xludf.DUMMYFUNCTION("TRIM(REGEXREPLACE(E192, ""[0-9]+[a-f]?\."", """"))"),"A taƙaice, yaya za ku siffanta lafiyar jikin ku?")</f>
        <v>A taƙaice, yaya za ku siffanta lafiyar jikin ku?</v>
      </c>
      <c r="J192" s="113" t="str">
        <f t="shared" si="28"/>
        <v>43. In general, how would you characterize your physical health?</v>
      </c>
      <c r="K192" s="113" t="str">
        <f t="shared" si="29"/>
        <v>43. En général, comment caractériseriez-vous votre santé physique ?</v>
      </c>
      <c r="L192" s="113" t="str">
        <f t="shared" si="30"/>
        <v>43. A taƙaice, yaya za ku siffanta lafiyar jikin ku?</v>
      </c>
    </row>
    <row r="193" hidden="1">
      <c r="B193" s="119"/>
      <c r="C193" s="119"/>
      <c r="D193" s="119"/>
      <c r="E193" s="119"/>
      <c r="F193" s="110">
        <v>108.0</v>
      </c>
      <c r="G193" s="113" t="str">
        <f>IFERROR(__xludf.DUMMYFUNCTION("TRIM(REGEXREPLACE(C193, ""[0-9]+[a-f]?\."", """"))"),"")</f>
        <v/>
      </c>
      <c r="H193" s="113" t="str">
        <f>IFERROR(__xludf.DUMMYFUNCTION("TRIM(REGEXREPLACE(D193, ""[0-9]+[a-f]?\."", """"))"),"")</f>
        <v/>
      </c>
      <c r="I193" s="113" t="str">
        <f>IFERROR(__xludf.DUMMYFUNCTION("TRIM(REGEXREPLACE(E193, ""[0-9]+[a-f]?\."", """"))"),"")</f>
        <v/>
      </c>
    </row>
    <row r="194" hidden="1">
      <c r="B194" s="119"/>
      <c r="C194" s="119"/>
      <c r="D194" s="119"/>
      <c r="E194" s="119"/>
      <c r="F194" s="110">
        <v>109.0</v>
      </c>
      <c r="G194" s="113" t="str">
        <f>IFERROR(__xludf.DUMMYFUNCTION("TRIM(REGEXREPLACE(C194, ""[0-9]+[a-f]?\."", """"))"),"")</f>
        <v/>
      </c>
      <c r="H194" s="113" t="str">
        <f>IFERROR(__xludf.DUMMYFUNCTION("TRIM(REGEXREPLACE(D194, ""[0-9]+[a-f]?\."", """"))"),"")</f>
        <v/>
      </c>
      <c r="I194" s="113" t="str">
        <f>IFERROR(__xludf.DUMMYFUNCTION("TRIM(REGEXREPLACE(E194, ""[0-9]+[a-f]?\."", """"))"),"")</f>
        <v/>
      </c>
    </row>
    <row r="195" hidden="1">
      <c r="B195" s="119"/>
      <c r="C195" s="119"/>
      <c r="D195" s="119"/>
      <c r="E195" s="119"/>
      <c r="F195" s="110">
        <v>108.0</v>
      </c>
      <c r="G195" s="113" t="str">
        <f>IFERROR(__xludf.DUMMYFUNCTION("TRIM(REGEXREPLACE(C195, ""[0-9]+[a-f]?\."", """"))"),"")</f>
        <v/>
      </c>
      <c r="H195" s="113" t="str">
        <f>IFERROR(__xludf.DUMMYFUNCTION("TRIM(REGEXREPLACE(D195, ""[0-9]+[a-f]?\."", """"))"),"")</f>
        <v/>
      </c>
      <c r="I195" s="113" t="str">
        <f>IFERROR(__xludf.DUMMYFUNCTION("TRIM(REGEXREPLACE(E195, ""[0-9]+[a-f]?\."", """"))"),"")</f>
        <v/>
      </c>
      <c r="J195" s="113" t="s">
        <v>905</v>
      </c>
      <c r="K195" s="113" t="s">
        <v>906</v>
      </c>
      <c r="L195" s="113" t="s">
        <v>908</v>
      </c>
    </row>
    <row r="196">
      <c r="A196" s="114" t="s">
        <v>541</v>
      </c>
      <c r="B196" s="165" t="s">
        <v>911</v>
      </c>
      <c r="C196" s="76" t="s">
        <v>459</v>
      </c>
      <c r="D196" s="76" t="s">
        <v>462</v>
      </c>
      <c r="E196" s="76" t="s">
        <v>463</v>
      </c>
      <c r="F196" s="110">
        <v>44.0</v>
      </c>
      <c r="G196" s="113" t="str">
        <f>IFERROR(__xludf.DUMMYFUNCTION("TRIM(REGEXREPLACE(C196, ""[0-9]+[a-f]?\."", """"))"),"Do you currently suffer from any illness or disability that limits your ability to travel or work?")</f>
        <v>Do you currently suffer from any illness or disability that limits your ability to travel or work?</v>
      </c>
      <c r="H196" s="113" t="str">
        <f>IFERROR(__xludf.DUMMYFUNCTION("TRIM(REGEXREPLACE(D196, ""[0-9]+[a-f]?\."", """"))"),"Souffrez-vous actuellement d'une maladie ou d'un handicap qui limite votre capacité à voyager ou à travailler ?")</f>
        <v>Souffrez-vous actuellement d'une maladie ou d'un handicap qui limite votre capacité à voyager ou à travailler ?</v>
      </c>
      <c r="I196" s="113" t="str">
        <f>IFERROR(__xludf.DUMMYFUNCTION("TRIM(REGEXREPLACE(E196, ""[0-9]+[a-f]?\."", """"))"),"A halin yanzu, ko kuna fama da wata rashin lafiya ko naƙasa da ke iya kawo muku cikas game da tahiya bulaguro ko yin aiki?")</f>
        <v>A halin yanzu, ko kuna fama da wata rashin lafiya ko naƙasa da ke iya kawo muku cikas game da tahiya bulaguro ko yin aiki?</v>
      </c>
      <c r="J196" s="113" t="str">
        <f t="shared" ref="J196:J197" si="31">F196 &amp; ". " &amp;G196</f>
        <v>44. Do you currently suffer from any illness or disability that limits your ability to travel or work?</v>
      </c>
      <c r="K196" s="113" t="str">
        <f t="shared" ref="K196:K197" si="32">F196 &amp; ". " &amp;H196</f>
        <v>44. Souffrez-vous actuellement d'une maladie ou d'un handicap qui limite votre capacité à voyager ou à travailler ?</v>
      </c>
      <c r="L196" s="113" t="str">
        <f t="shared" ref="L196:L197" si="33">F196 &amp; ". " &amp;I196</f>
        <v>44. A halin yanzu, ko kuna fama da wata rashin lafiya ko naƙasa da ke iya kawo muku cikas game da tahiya bulaguro ko yin aiki?</v>
      </c>
    </row>
    <row r="197">
      <c r="A197" s="121" t="s">
        <v>916</v>
      </c>
      <c r="B197" s="165" t="s">
        <v>917</v>
      </c>
      <c r="C197" s="76" t="s">
        <v>469</v>
      </c>
      <c r="D197" s="76" t="s">
        <v>470</v>
      </c>
      <c r="E197" s="76" t="s">
        <v>471</v>
      </c>
      <c r="F197" s="110">
        <v>45.0</v>
      </c>
      <c r="G197" s="113" t="str">
        <f>IFERROR(__xludf.DUMMYFUNCTION("TRIM(REGEXREPLACE(C197, ""[0-9]+[a-f]?\."", """"))"),"What illness limits you in this way?")</f>
        <v>What illness limits you in this way?</v>
      </c>
      <c r="H197" s="113" t="str">
        <f>IFERROR(__xludf.DUMMYFUNCTION("TRIM(REGEXREPLACE(D197, ""[0-9]+[a-f]?\."", """"))"),"Quelle maladie vous limite de cette manière ?")</f>
        <v>Quelle maladie vous limite de cette manière ?</v>
      </c>
      <c r="I197" s="113" t="str">
        <f>IFERROR(__xludf.DUMMYFUNCTION("TRIM(REGEXREPLACE(E197, ""[0-9]+[a-f]?\."", """"))"),"Wace cuta ce ke tsaida ku a kan wannan?")</f>
        <v>Wace cuta ce ke tsaida ku a kan wannan?</v>
      </c>
      <c r="J197" s="113" t="str">
        <f t="shared" si="31"/>
        <v>45. What illness limits you in this way?</v>
      </c>
      <c r="K197" s="113" t="str">
        <f t="shared" si="32"/>
        <v>45. Quelle maladie vous limite de cette manière ?</v>
      </c>
      <c r="L197" s="113" t="str">
        <f t="shared" si="33"/>
        <v>45. Wace cuta ce ke tsaida ku a kan wannan?</v>
      </c>
    </row>
    <row r="198" hidden="1">
      <c r="B198" s="119"/>
      <c r="C198" s="119"/>
      <c r="D198" s="119"/>
      <c r="E198" s="119"/>
      <c r="F198" s="110">
        <v>111.0</v>
      </c>
      <c r="G198" s="113" t="str">
        <f>IFERROR(__xludf.DUMMYFUNCTION("TRIM(REGEXREPLACE(C198, ""[0-9]+[a-f]?\."", """"))"),"")</f>
        <v/>
      </c>
      <c r="H198" s="113" t="str">
        <f>IFERROR(__xludf.DUMMYFUNCTION("TRIM(REGEXREPLACE(D198, ""[0-9]+[a-f]?\."", """"))"),"")</f>
        <v/>
      </c>
      <c r="I198" s="113" t="str">
        <f>IFERROR(__xludf.DUMMYFUNCTION("TRIM(REGEXREPLACE(E198, ""[0-9]+[a-f]?\."", """"))"),"")</f>
        <v/>
      </c>
      <c r="J198" s="113" t="s">
        <v>923</v>
      </c>
      <c r="K198" s="113" t="s">
        <v>924</v>
      </c>
      <c r="L198" s="113" t="s">
        <v>925</v>
      </c>
    </row>
    <row r="199" hidden="1">
      <c r="B199" s="119"/>
      <c r="C199" s="119"/>
      <c r="D199" s="119"/>
      <c r="E199" s="119"/>
      <c r="F199" s="110">
        <v>112.0</v>
      </c>
      <c r="G199" s="113" t="str">
        <f>IFERROR(__xludf.DUMMYFUNCTION("TRIM(REGEXREPLACE(C199, ""[0-9]+[a-f]?\."", """"))"),"")</f>
        <v/>
      </c>
      <c r="H199" s="113" t="str">
        <f>IFERROR(__xludf.DUMMYFUNCTION("TRIM(REGEXREPLACE(D199, ""[0-9]+[a-f]?\."", """"))"),"")</f>
        <v/>
      </c>
      <c r="I199" s="113" t="str">
        <f>IFERROR(__xludf.DUMMYFUNCTION("TRIM(REGEXREPLACE(E199, ""[0-9]+[a-f]?\."", """"))"),"")</f>
        <v/>
      </c>
      <c r="J199" s="113" t="s">
        <v>930</v>
      </c>
      <c r="K199" s="113" t="s">
        <v>931</v>
      </c>
      <c r="L199" s="113" t="s">
        <v>932</v>
      </c>
    </row>
    <row r="200" hidden="1">
      <c r="B200" s="119"/>
      <c r="C200" s="119"/>
      <c r="D200" s="119"/>
      <c r="E200" s="119"/>
      <c r="F200" s="110">
        <v>113.0</v>
      </c>
      <c r="G200" s="113" t="str">
        <f>IFERROR(__xludf.DUMMYFUNCTION("TRIM(REGEXREPLACE(C200, ""[0-9]+[a-f]?\."", """"))"),"")</f>
        <v/>
      </c>
      <c r="H200" s="113" t="str">
        <f>IFERROR(__xludf.DUMMYFUNCTION("TRIM(REGEXREPLACE(D200, ""[0-9]+[a-f]?\."", """"))"),"")</f>
        <v/>
      </c>
      <c r="I200" s="113" t="str">
        <f>IFERROR(__xludf.DUMMYFUNCTION("TRIM(REGEXREPLACE(E200, ""[0-9]+[a-f]?\."", """"))"),"")</f>
        <v/>
      </c>
    </row>
    <row r="201">
      <c r="A201" s="162" t="s">
        <v>217</v>
      </c>
      <c r="B201" s="166" t="s">
        <v>933</v>
      </c>
      <c r="C201" s="76" t="s">
        <v>474</v>
      </c>
      <c r="D201" s="76" t="s">
        <v>475</v>
      </c>
      <c r="E201" s="76" t="s">
        <v>476</v>
      </c>
      <c r="F201" s="110">
        <v>46.0</v>
      </c>
      <c r="G201" s="113" t="str">
        <f>IFERROR(__xludf.DUMMYFUNCTION("TRIM(REGEXREPLACE(C201, ""[0-9]+[a-f]?\."", """"))"),"Other, specify:")</f>
        <v>Other, specify:</v>
      </c>
      <c r="H201" s="113" t="str">
        <f>IFERROR(__xludf.DUMMYFUNCTION("TRIM(REGEXREPLACE(D201, ""[0-9]+[a-f]?\."", """"))"),"Autre précisez:")</f>
        <v>Autre précisez:</v>
      </c>
      <c r="I201" s="113" t="str">
        <f>IFERROR(__xludf.DUMMYFUNCTION("TRIM(REGEXREPLACE(E201, ""[0-9]+[a-f]?\."", """"))"),"Sauran, bayar da cikakkun bayanai:")</f>
        <v>Sauran, bayar da cikakkun bayanai:</v>
      </c>
      <c r="J201" s="113" t="str">
        <f t="shared" ref="J201:J205" si="34">F201 &amp; ". " &amp;G201</f>
        <v>46. Other, specify:</v>
      </c>
      <c r="K201" s="113" t="str">
        <f t="shared" ref="K201:K205" si="35">F201 &amp; ". " &amp;H201</f>
        <v>46. Autre précisez:</v>
      </c>
      <c r="L201" s="113" t="str">
        <f t="shared" ref="L201:L205" si="36">F201 &amp; ". " &amp;I201</f>
        <v>46. Sauran, bayar da cikakkun bayanai:</v>
      </c>
    </row>
    <row r="202">
      <c r="A202" s="114" t="s">
        <v>541</v>
      </c>
      <c r="B202" s="165" t="s">
        <v>937</v>
      </c>
      <c r="C202" s="76" t="s">
        <v>478</v>
      </c>
      <c r="D202" s="76" t="s">
        <v>479</v>
      </c>
      <c r="E202" s="76" t="s">
        <v>481</v>
      </c>
      <c r="F202" s="110">
        <v>47.0</v>
      </c>
      <c r="G202" s="113" t="str">
        <f>IFERROR(__xludf.DUMMYFUNCTION("TRIM(REGEXREPLACE(C202, ""[0-9]+[a-f]?\."", """"))"),"In the past three months, did you suffer from an illness or injury that disrupted your daily life?")</f>
        <v>In the past three months, did you suffer from an illness or injury that disrupted your daily life?</v>
      </c>
      <c r="H202" s="113" t="str">
        <f>IFERROR(__xludf.DUMMYFUNCTION("TRIM(REGEXREPLACE(D202, ""[0-9]+[a-f]?\."", """"))"),"Au cours des trois derniers mois, avez-vous souffert d'une maladie ou d'une blessure qui a perturbé votre vie quotidienne ?")</f>
        <v>Au cours des trois derniers mois, avez-vous souffert d'une maladie ou d'une blessure qui a perturbé votre vie quotidienne ?</v>
      </c>
      <c r="I202" s="113" t="str">
        <f>IFERROR(__xludf.DUMMYFUNCTION("TRIM(REGEXREPLACE(E202, ""[0-9]+[a-f]?\."", """"))"),"A cikin watanni uku da suka wuce, ko kun yi fama da wata rashin lafiya ko rauni wanda ya kawo muku cikas a rayuwarku na yau da kullun?")</f>
        <v>A cikin watanni uku da suka wuce, ko kun yi fama da wata rashin lafiya ko rauni wanda ya kawo muku cikas a rayuwarku na yau da kullun?</v>
      </c>
      <c r="J202" s="113" t="str">
        <f t="shared" si="34"/>
        <v>47. In the past three months, did you suffer from an illness or injury that disrupted your daily life?</v>
      </c>
      <c r="K202" s="113" t="str">
        <f t="shared" si="35"/>
        <v>47. Au cours des trois derniers mois, avez-vous souffert d'une maladie ou d'une blessure qui a perturbé votre vie quotidienne ?</v>
      </c>
      <c r="L202" s="113" t="str">
        <f t="shared" si="36"/>
        <v>47. A cikin watanni uku da suka wuce, ko kun yi fama da wata rashin lafiya ko rauni wanda ya kawo muku cikas a rayuwarku na yau da kullun?</v>
      </c>
    </row>
    <row r="203">
      <c r="A203" s="121" t="s">
        <v>916</v>
      </c>
      <c r="B203" s="165" t="s">
        <v>940</v>
      </c>
      <c r="C203" s="76" t="s">
        <v>485</v>
      </c>
      <c r="D203" s="76" t="s">
        <v>486</v>
      </c>
      <c r="E203" s="76" t="s">
        <v>487</v>
      </c>
      <c r="F203" s="110">
        <v>48.0</v>
      </c>
      <c r="G203" s="113" t="str">
        <f>IFERROR(__xludf.DUMMYFUNCTION("TRIM(REGEXREPLACE(C203, ""[0-9]+[a-f]?\."", """"))"),"What type of illness or injury did you experience?")</f>
        <v>What type of illness or injury did you experience?</v>
      </c>
      <c r="H203" s="113" t="str">
        <f>IFERROR(__xludf.DUMMYFUNCTION("TRIM(REGEXREPLACE(D203, ""[0-9]+[a-f]?\."", """"))"),"Preciser le type de maladie ou de blessure")</f>
        <v>Preciser le type de maladie ou de blessure</v>
      </c>
      <c r="I203" s="113" t="str">
        <f>IFERROR(__xludf.DUMMYFUNCTION("TRIM(REGEXREPLACE(E203, ""[0-9]+[a-f]?\."", """"))"),"Baiyana irin ciwo ko raunin da kuka yi fama da shi?")</f>
        <v>Baiyana irin ciwo ko raunin da kuka yi fama da shi?</v>
      </c>
      <c r="J203" s="113" t="str">
        <f t="shared" si="34"/>
        <v>48. What type of illness or injury did you experience?</v>
      </c>
      <c r="K203" s="113" t="str">
        <f t="shared" si="35"/>
        <v>48. Preciser le type de maladie ou de blessure</v>
      </c>
      <c r="L203" s="113" t="str">
        <f t="shared" si="36"/>
        <v>48. Baiyana irin ciwo ko raunin da kuka yi fama da shi?</v>
      </c>
    </row>
    <row r="204">
      <c r="A204" s="162" t="s">
        <v>217</v>
      </c>
      <c r="B204" s="166" t="s">
        <v>941</v>
      </c>
      <c r="C204" s="76" t="s">
        <v>490</v>
      </c>
      <c r="D204" s="76" t="s">
        <v>492</v>
      </c>
      <c r="E204" s="76" t="s">
        <v>943</v>
      </c>
      <c r="F204" s="110">
        <v>49.0</v>
      </c>
      <c r="G204" s="113" t="str">
        <f>IFERROR(__xludf.DUMMYFUNCTION("TRIM(REGEXREPLACE(C204, ""[0-9]+[a-f]?\."", """"))"),"Specify other illness or injury")</f>
        <v>Specify other illness or injury</v>
      </c>
      <c r="H204" s="113" t="str">
        <f>IFERROR(__xludf.DUMMYFUNCTION("TRIM(REGEXREPLACE(D204, ""[0-9]+[a-f]?\."", """"))"),"Preciser le type de maladie ou de blessure")</f>
        <v>Preciser le type de maladie ou de blessure</v>
      </c>
      <c r="I204" s="113" t="str">
        <f>IFERROR(__xludf.DUMMYFUNCTION("TRIM(REGEXREPLACE(E204, ""[0-9]+[a-f]?\."", """"))"),"Baiyana irin ciwo ko raunin da kuka yi fama da shi?")</f>
        <v>Baiyana irin ciwo ko raunin da kuka yi fama da shi?</v>
      </c>
      <c r="J204" s="113" t="str">
        <f t="shared" si="34"/>
        <v>49. Specify other illness or injury</v>
      </c>
      <c r="K204" s="113" t="str">
        <f t="shared" si="35"/>
        <v>49. Preciser le type de maladie ou de blessure</v>
      </c>
      <c r="L204" s="113" t="str">
        <f t="shared" si="36"/>
        <v>49. Baiyana irin ciwo ko raunin da kuka yi fama da shi?</v>
      </c>
    </row>
    <row r="205">
      <c r="A205" s="114" t="s">
        <v>541</v>
      </c>
      <c r="B205" s="165" t="s">
        <v>944</v>
      </c>
      <c r="C205" s="76" t="s">
        <v>496</v>
      </c>
      <c r="D205" s="76" t="s">
        <v>497</v>
      </c>
      <c r="E205" s="76" t="s">
        <v>498</v>
      </c>
      <c r="F205" s="110">
        <v>50.0</v>
      </c>
      <c r="G205" s="113" t="str">
        <f>IFERROR(__xludf.DUMMYFUNCTION("TRIM(REGEXREPLACE(C205, ""[0-9]+[a-f]?\."", """"))"),"Did you seek any treatment for any illness or injury?")</f>
        <v>Did you seek any treatment for any illness or injury?</v>
      </c>
      <c r="H205" s="113" t="str">
        <f>IFERROR(__xludf.DUMMYFUNCTION("TRIM(REGEXREPLACE(D205, ""[0-9]+[a-f]?\."", """"))"),"Avez-vous cherché un traitement pour une maladie ou une blessure ?")</f>
        <v>Avez-vous cherché un traitement pour une maladie ou une blessure ?</v>
      </c>
      <c r="I205" s="113" t="str">
        <f>IFERROR(__xludf.DUMMYFUNCTION("TRIM(REGEXREPLACE(E205, ""[0-9]+[a-f]?\."", """"))"),"Ko kun nemi wani magani don wata cuta ko rauni?")</f>
        <v>Ko kun nemi wani magani don wata cuta ko rauni?</v>
      </c>
      <c r="J205" s="113" t="str">
        <f t="shared" si="34"/>
        <v>50. Did you seek any treatment for any illness or injury?</v>
      </c>
      <c r="K205" s="113" t="str">
        <f t="shared" si="35"/>
        <v>50. Avez-vous cherché un traitement pour une maladie ou une blessure ?</v>
      </c>
      <c r="L205" s="113" t="str">
        <f t="shared" si="36"/>
        <v>50. Ko kun nemi wani magani don wata cuta ko rauni?</v>
      </c>
    </row>
    <row r="206" hidden="1">
      <c r="B206" s="119"/>
      <c r="C206" s="119"/>
      <c r="D206" s="119"/>
      <c r="E206" s="119"/>
      <c r="F206" s="110">
        <v>98.0</v>
      </c>
      <c r="G206" s="113" t="str">
        <f>IFERROR(__xludf.DUMMYFUNCTION("TRIM(REGEXREPLACE(C206, ""[0-9]+[a-f]?\."", """"))"),"")</f>
        <v/>
      </c>
      <c r="H206" s="113" t="str">
        <f>IFERROR(__xludf.DUMMYFUNCTION("TRIM(REGEXREPLACE(D206, ""[0-9]+[a-f]?\."", """"))"),"")</f>
        <v/>
      </c>
      <c r="I206" s="113" t="str">
        <f>IFERROR(__xludf.DUMMYFUNCTION("TRIM(REGEXREPLACE(E206, ""[0-9]+[a-f]?\."", """"))"),"")</f>
        <v/>
      </c>
      <c r="J206" s="113" t="s">
        <v>946</v>
      </c>
      <c r="K206" s="113" t="s">
        <v>947</v>
      </c>
      <c r="L206" s="113" t="s">
        <v>947</v>
      </c>
    </row>
    <row r="207" hidden="1">
      <c r="B207" s="119"/>
      <c r="C207" s="119"/>
      <c r="D207" s="119"/>
      <c r="E207" s="119"/>
      <c r="F207" s="110">
        <v>116.0</v>
      </c>
      <c r="G207" s="113" t="str">
        <f>IFERROR(__xludf.DUMMYFUNCTION("TRIM(REGEXREPLACE(C207, ""[0-9]+[a-f]?\."", """"))"),"")</f>
        <v/>
      </c>
      <c r="H207" s="113" t="str">
        <f>IFERROR(__xludf.DUMMYFUNCTION("TRIM(REGEXREPLACE(D207, ""[0-9]+[a-f]?\."", """"))"),"")</f>
        <v/>
      </c>
      <c r="I207" s="113" t="str">
        <f>IFERROR(__xludf.DUMMYFUNCTION("TRIM(REGEXREPLACE(E207, ""[0-9]+[a-f]?\."", """"))"),"")</f>
        <v/>
      </c>
    </row>
    <row r="208">
      <c r="A208" s="152" t="s">
        <v>44</v>
      </c>
      <c r="B208" s="77" t="s">
        <v>952</v>
      </c>
      <c r="C208" s="76" t="s">
        <v>501</v>
      </c>
      <c r="D208" s="76" t="s">
        <v>502</v>
      </c>
      <c r="E208" s="76" t="s">
        <v>504</v>
      </c>
      <c r="F208" s="110">
        <v>51.0</v>
      </c>
      <c r="G208" s="113" t="str">
        <f>IFERROR(__xludf.DUMMYFUNCTION("TRIM(REGEXREPLACE(C208, ""[0-9]+[a-f]?\."", """"))"),"Now I want to ask you about the past week (7 days)")</f>
        <v>Now I want to ask you about the past week (7 days)</v>
      </c>
      <c r="H208" s="113" t="str">
        <f>IFERROR(__xludf.DUMMYFUNCTION("TRIM(REGEXREPLACE(D208, ""[0-9]+[a-f]?\."", """"))"),"Maintenant, je veux vous poser des questions sur la semaine dernière (7 jours)")</f>
        <v>Maintenant, je veux vous poser des questions sur la semaine dernière (7 jours)</v>
      </c>
      <c r="I208" s="113" t="str">
        <f>IFERROR(__xludf.DUMMYFUNCTION("TRIM(REGEXREPLACE(E208, ""[0-9]+[a-f]?\."", """"))"),"Yanzu ina son in muku tambayoyi bisa satin (makon) da ya wuce (kwana 7)")</f>
        <v>Yanzu ina son in muku tambayoyi bisa satin (makon) da ya wuce (kwana 7)</v>
      </c>
      <c r="J208" s="113" t="str">
        <f t="shared" ref="J208:J209" si="37">F208 &amp; ". " &amp;G208</f>
        <v>51. Now I want to ask you about the past week (7 days)</v>
      </c>
      <c r="K208" s="113" t="str">
        <f t="shared" ref="K208:K209" si="38">F208 &amp; ". " &amp;H208</f>
        <v>51. Maintenant, je veux vous poser des questions sur la semaine dernière (7 jours)</v>
      </c>
      <c r="L208" s="113" t="str">
        <f t="shared" ref="L208:L209" si="39">F208 &amp; ". " &amp;I208</f>
        <v>51. Yanzu ina son in muku tambayoyi bisa satin (makon) da ya wuce (kwana 7)</v>
      </c>
    </row>
    <row r="209">
      <c r="A209" s="170" t="s">
        <v>238</v>
      </c>
      <c r="B209" s="171" t="s">
        <v>955</v>
      </c>
      <c r="C209" s="76" t="s">
        <v>506</v>
      </c>
      <c r="D209" s="76" t="s">
        <v>508</v>
      </c>
      <c r="E209" s="76" t="s">
        <v>509</v>
      </c>
      <c r="F209" s="110">
        <v>52.0</v>
      </c>
      <c r="G209" s="113" t="str">
        <f>IFERROR(__xludf.DUMMYFUNCTION("TRIM(REGEXREPLACE(C209, ""[0-9]+[a-f]?\."", """"))"),"How many hours of sleep per night did you get on average in the last seven days?")</f>
        <v>How many hours of sleep per night did you get on average in the last seven days?</v>
      </c>
      <c r="H209" s="113" t="str">
        <f>IFERROR(__xludf.DUMMYFUNCTION("TRIM(REGEXREPLACE(D209, ""[0-9]+[a-f]?\."", """"))"),"Combien d'heures de sommeil par nuit avez-vous dormi en moyenne au cours des sept derniers jours ?")</f>
        <v>Combien d'heures de sommeil par nuit avez-vous dormi en moyenne au cours des sept derniers jours ?</v>
      </c>
      <c r="I209" s="113" t="str">
        <f>IFERROR(__xludf.DUMMYFUNCTION("TRIM(REGEXREPLACE(E209, ""[0-9]+[a-f]?\."", """"))"),"Misalin Sa'o'i nawa a taƙaice kuke yin barci a kowane dare a cikin kwanaki bakwai na ƙarshe da suka wuce?")</f>
        <v>Misalin Sa'o'i nawa a taƙaice kuke yin barci a kowane dare a cikin kwanaki bakwai na ƙarshe da suka wuce?</v>
      </c>
      <c r="J209" s="113" t="str">
        <f t="shared" si="37"/>
        <v>52. How many hours of sleep per night did you get on average in the last seven days?</v>
      </c>
      <c r="K209" s="113" t="str">
        <f t="shared" si="38"/>
        <v>52. Combien d'heures de sommeil par nuit avez-vous dormi en moyenne au cours des sept derniers jours ?</v>
      </c>
      <c r="L209" s="113" t="str">
        <f t="shared" si="39"/>
        <v>52. Misalin Sa'o'i nawa a taƙaice kuke yin barci a kowane dare a cikin kwanaki bakwai na ƙarshe da suka wuce?</v>
      </c>
    </row>
    <row r="210" hidden="1">
      <c r="A210" s="150"/>
      <c r="B210" s="82"/>
      <c r="C210" s="82"/>
      <c r="D210" s="83"/>
      <c r="E210" s="83"/>
      <c r="F210" s="110">
        <v>117.0</v>
      </c>
      <c r="G210" s="113" t="str">
        <f>IFERROR(__xludf.DUMMYFUNCTION("TRIM(REGEXREPLACE(C210, ""[0-9]+[a-f]?\."", """"))"),"")</f>
        <v/>
      </c>
      <c r="H210" s="113" t="str">
        <f>IFERROR(__xludf.DUMMYFUNCTION("TRIM(REGEXREPLACE(D210, ""[0-9]+[a-f]?\."", """"))"),"")</f>
        <v/>
      </c>
      <c r="I210" s="113" t="str">
        <f>IFERROR(__xludf.DUMMYFUNCTION("TRIM(REGEXREPLACE(E210, ""[0-9]+[a-f]?\."", """"))"),"")</f>
        <v/>
      </c>
      <c r="J210" s="113" t="s">
        <v>957</v>
      </c>
      <c r="K210" s="113" t="s">
        <v>958</v>
      </c>
      <c r="L210" s="113" t="s">
        <v>959</v>
      </c>
    </row>
    <row r="211" hidden="1">
      <c r="A211" s="150" t="s">
        <v>161</v>
      </c>
      <c r="B211" s="82" t="s">
        <v>963</v>
      </c>
      <c r="C211" s="82"/>
      <c r="D211" s="83"/>
      <c r="E211" s="83"/>
      <c r="F211" s="110">
        <v>118.0</v>
      </c>
      <c r="G211" s="113" t="str">
        <f>IFERROR(__xludf.DUMMYFUNCTION("TRIM(REGEXREPLACE(C211, ""[0-9]+[a-f]?\."", """"))"),"")</f>
        <v/>
      </c>
      <c r="H211" s="113" t="str">
        <f>IFERROR(__xludf.DUMMYFUNCTION("TRIM(REGEXREPLACE(D211, ""[0-9]+[a-f]?\."", """"))"),"")</f>
        <v/>
      </c>
      <c r="I211" s="113" t="str">
        <f>IFERROR(__xludf.DUMMYFUNCTION("TRIM(REGEXREPLACE(E211, ""[0-9]+[a-f]?\."", """"))"),"")</f>
        <v/>
      </c>
      <c r="J211" s="113" t="s">
        <v>965</v>
      </c>
      <c r="K211" s="113" t="s">
        <v>966</v>
      </c>
      <c r="L211" s="113" t="s">
        <v>967</v>
      </c>
    </row>
    <row r="212" hidden="1">
      <c r="B212" s="119"/>
      <c r="C212" s="119"/>
      <c r="D212" s="119"/>
      <c r="E212" s="119"/>
      <c r="F212" s="110">
        <v>119.0</v>
      </c>
      <c r="G212" s="113" t="str">
        <f>IFERROR(__xludf.DUMMYFUNCTION("TRIM(REGEXREPLACE(C212, ""[0-9]+[a-f]?\."", """"))"),"")</f>
        <v/>
      </c>
      <c r="H212" s="113" t="str">
        <f>IFERROR(__xludf.DUMMYFUNCTION("TRIM(REGEXREPLACE(D212, ""[0-9]+[a-f]?\."", """"))"),"")</f>
        <v/>
      </c>
      <c r="I212" s="113" t="str">
        <f>IFERROR(__xludf.DUMMYFUNCTION("TRIM(REGEXREPLACE(E212, ""[0-9]+[a-f]?\."", """"))"),"")</f>
        <v/>
      </c>
      <c r="J212" s="113" t="s">
        <v>968</v>
      </c>
      <c r="K212" s="113" t="s">
        <v>969</v>
      </c>
      <c r="L212" s="113" t="s">
        <v>970</v>
      </c>
    </row>
    <row r="213" hidden="1">
      <c r="B213" s="119"/>
      <c r="C213" s="119"/>
      <c r="D213" s="119"/>
      <c r="E213" s="119"/>
      <c r="F213" s="110">
        <v>120.0</v>
      </c>
      <c r="G213" s="113" t="str">
        <f>IFERROR(__xludf.DUMMYFUNCTION("TRIM(REGEXREPLACE(C213, ""[0-9]+[a-f]?\."", """"))"),"")</f>
        <v/>
      </c>
      <c r="H213" s="113" t="str">
        <f>IFERROR(__xludf.DUMMYFUNCTION("TRIM(REGEXREPLACE(D213, ""[0-9]+[a-f]?\."", """"))"),"")</f>
        <v/>
      </c>
      <c r="I213" s="113" t="str">
        <f>IFERROR(__xludf.DUMMYFUNCTION("TRIM(REGEXREPLACE(E213, ""[0-9]+[a-f]?\."", """"))"),"")</f>
        <v/>
      </c>
      <c r="J213" s="113" t="s">
        <v>972</v>
      </c>
      <c r="K213" s="113" t="s">
        <v>973</v>
      </c>
      <c r="L213" s="113" t="s">
        <v>974</v>
      </c>
    </row>
    <row r="214" hidden="1">
      <c r="B214" s="119"/>
      <c r="C214" s="119"/>
      <c r="D214" s="119"/>
      <c r="E214" s="119"/>
      <c r="F214" s="110">
        <v>121.0</v>
      </c>
      <c r="G214" s="113" t="str">
        <f>IFERROR(__xludf.DUMMYFUNCTION("TRIM(REGEXREPLACE(C214, ""[0-9]+[a-f]?\."", """"))"),"")</f>
        <v/>
      </c>
      <c r="H214" s="113" t="str">
        <f>IFERROR(__xludf.DUMMYFUNCTION("TRIM(REGEXREPLACE(D214, ""[0-9]+[a-f]?\."", """"))"),"")</f>
        <v/>
      </c>
      <c r="I214" s="113" t="str">
        <f>IFERROR(__xludf.DUMMYFUNCTION("TRIM(REGEXREPLACE(E214, ""[0-9]+[a-f]?\."", """"))"),"")</f>
        <v/>
      </c>
      <c r="J214" s="113" t="s">
        <v>976</v>
      </c>
      <c r="K214" s="113" t="s">
        <v>977</v>
      </c>
      <c r="L214" s="113" t="s">
        <v>978</v>
      </c>
    </row>
    <row r="215">
      <c r="A215" s="114" t="s">
        <v>979</v>
      </c>
      <c r="B215" s="165" t="s">
        <v>980</v>
      </c>
      <c r="C215" s="76" t="s">
        <v>521</v>
      </c>
      <c r="D215" s="76" t="s">
        <v>522</v>
      </c>
      <c r="E215" s="76" t="s">
        <v>524</v>
      </c>
      <c r="F215" s="110">
        <v>53.0</v>
      </c>
      <c r="G215" s="113" t="str">
        <f>IFERROR(__xludf.DUMMYFUNCTION("TRIM(REGEXREPLACE(C215, ""[0-9]+[a-f]?\."", """"))"),"In the past week, how often did you experience the following feelings?")</f>
        <v>In the past week, how often did you experience the following feelings?</v>
      </c>
      <c r="H215" s="113" t="str">
        <f>IFERROR(__xludf.DUMMYFUNCTION("TRIM(REGEXREPLACE(D215, ""[0-9]+[a-f]?\."", """"))"),"Au cours de la semaine dernière, à quelle fréquence avez-vous ressenti les sentiments suivants ?")</f>
        <v>Au cours de la semaine dernière, à quelle fréquence avez-vous ressenti les sentiments suivants ?</v>
      </c>
      <c r="I215" s="113" t="str">
        <f>IFERROR(__xludf.DUMMYFUNCTION("TRIM(REGEXREPLACE(E215, ""[0-9]+[a-f]?\."", """"))"),"A cikin satin da ya wuce, sau nawa kuka ji irin waɗannan abubuwan a ranku?")</f>
        <v>A cikin satin da ya wuce, sau nawa kuka ji irin waɗannan abubuwan a ranku?</v>
      </c>
      <c r="J215" s="113" t="str">
        <f>F215 &amp; ". " &amp;G215</f>
        <v>53. In the past week, how often did you experience the following feelings?</v>
      </c>
      <c r="K215" s="113" t="str">
        <f>F215 &amp; ". " &amp;H215</f>
        <v>53. Au cours de la semaine dernière, à quelle fréquence avez-vous ressenti les sentiments suivants ?</v>
      </c>
      <c r="L215" s="113" t="str">
        <f>F215 &amp; ". " &amp;I215</f>
        <v>53. A cikin satin da ya wuce, sau nawa kuka ji irin waɗannan abubuwan a ranku?</v>
      </c>
    </row>
    <row r="216" hidden="1">
      <c r="B216" s="119"/>
      <c r="C216" s="119"/>
      <c r="D216" s="119"/>
      <c r="E216" s="119"/>
      <c r="F216" s="110">
        <v>123.0</v>
      </c>
      <c r="G216" s="113" t="str">
        <f>IFERROR(__xludf.DUMMYFUNCTION("TRIM(REGEXREPLACE(C216, ""[0-9]+[a-f]?\."", """"))"),"")</f>
        <v/>
      </c>
      <c r="H216" s="113" t="str">
        <f>IFERROR(__xludf.DUMMYFUNCTION("TRIM(REGEXREPLACE(D216, ""[0-9]+[a-f]?\."", """"))"),"")</f>
        <v/>
      </c>
      <c r="I216" s="113" t="str">
        <f>IFERROR(__xludf.DUMMYFUNCTION("TRIM(REGEXREPLACE(E216, ""[0-9]+[a-f]?\."", """"))"),"")</f>
        <v/>
      </c>
      <c r="J216" s="113" t="s">
        <v>984</v>
      </c>
      <c r="K216" s="113" t="s">
        <v>986</v>
      </c>
      <c r="L216" s="113" t="s">
        <v>987</v>
      </c>
    </row>
    <row r="217">
      <c r="A217" s="114" t="s">
        <v>979</v>
      </c>
      <c r="B217" s="165" t="s">
        <v>989</v>
      </c>
      <c r="C217" s="76" t="s">
        <v>990</v>
      </c>
      <c r="D217" s="76" t="s">
        <v>991</v>
      </c>
      <c r="E217" s="76" t="s">
        <v>992</v>
      </c>
      <c r="F217" s="110">
        <v>54.0</v>
      </c>
      <c r="G217" s="113" t="str">
        <f>IFERROR(__xludf.DUMMYFUNCTION("TRIM(REGEXREPLACE(C217, ""[0-9]+[a-f]?\."", """"))"),"Enjoyment")</f>
        <v>Enjoyment</v>
      </c>
      <c r="H217" s="113" t="str">
        <f>IFERROR(__xludf.DUMMYFUNCTION("TRIM(REGEXREPLACE(D217, ""[0-9]+[a-f]?\."", """"))"),"Plaisir")</f>
        <v>Plaisir</v>
      </c>
      <c r="I217" s="113" t="str">
        <f>IFERROR(__xludf.DUMMYFUNCTION("TRIM(REGEXREPLACE(E217, ""[0-9]+[a-f]?\."", """"))"),"jin daɗi")</f>
        <v>jin daɗi</v>
      </c>
      <c r="J217" s="113" t="str">
        <f t="shared" ref="J217:J223" si="40">F217 &amp; ". " &amp;G217</f>
        <v>54. Enjoyment</v>
      </c>
      <c r="K217" s="113" t="str">
        <f t="shared" ref="K217:K223" si="41">F217 &amp; ". " &amp;H217</f>
        <v>54. Plaisir</v>
      </c>
      <c r="L217" s="113" t="str">
        <f t="shared" ref="L217:L223" si="42">F217 &amp; ". " &amp;I217</f>
        <v>54. jin daɗi</v>
      </c>
    </row>
    <row r="218">
      <c r="A218" s="114" t="s">
        <v>979</v>
      </c>
      <c r="B218" s="165" t="s">
        <v>995</v>
      </c>
      <c r="C218" s="76" t="s">
        <v>538</v>
      </c>
      <c r="D218" s="76" t="s">
        <v>539</v>
      </c>
      <c r="E218" s="76" t="s">
        <v>540</v>
      </c>
      <c r="F218" s="110">
        <v>55.0</v>
      </c>
      <c r="G218" s="113" t="str">
        <f>IFERROR(__xludf.DUMMYFUNCTION("TRIM(REGEXREPLACE(C218, ""[0-9]+[a-f]?\."", """"))"),"Happiness")</f>
        <v>Happiness</v>
      </c>
      <c r="H218" s="113" t="str">
        <f>IFERROR(__xludf.DUMMYFUNCTION("TRIM(REGEXREPLACE(D218, ""[0-9]+[a-f]?\."", """"))"),"Bonheur")</f>
        <v>Bonheur</v>
      </c>
      <c r="I218" s="113" t="str">
        <f>IFERROR(__xludf.DUMMYFUNCTION("TRIM(REGEXREPLACE(E218, ""[0-9]+[a-f]?\."", """"))"),"Farin ciki")</f>
        <v>Farin ciki</v>
      </c>
      <c r="J218" s="113" t="str">
        <f t="shared" si="40"/>
        <v>55. Happiness</v>
      </c>
      <c r="K218" s="113" t="str">
        <f t="shared" si="41"/>
        <v>55. Bonheur</v>
      </c>
      <c r="L218" s="113" t="str">
        <f t="shared" si="42"/>
        <v>55. Farin ciki</v>
      </c>
    </row>
    <row r="219">
      <c r="A219" s="114" t="s">
        <v>979</v>
      </c>
      <c r="B219" s="165" t="s">
        <v>996</v>
      </c>
      <c r="C219" s="76" t="s">
        <v>998</v>
      </c>
      <c r="D219" s="76" t="s">
        <v>998</v>
      </c>
      <c r="E219" s="76" t="s">
        <v>999</v>
      </c>
      <c r="F219" s="110">
        <v>56.0</v>
      </c>
      <c r="G219" s="113" t="str">
        <f>IFERROR(__xludf.DUMMYFUNCTION("TRIM(REGEXREPLACE(C219, ""[0-9]+[a-f]?\."", """"))"),"Stress")</f>
        <v>Stress</v>
      </c>
      <c r="H219" s="113" t="str">
        <f>IFERROR(__xludf.DUMMYFUNCTION("TRIM(REGEXREPLACE(D219, ""[0-9]+[a-f]?\."", """"))"),"Stress")</f>
        <v>Stress</v>
      </c>
      <c r="I219" s="113" t="str">
        <f>IFERROR(__xludf.DUMMYFUNCTION("TRIM(REGEXREPLACE(E219, ""[0-9]+[a-f]?\."", """"))"),"Babbar Damuwa")</f>
        <v>Babbar Damuwa</v>
      </c>
      <c r="J219" s="113" t="str">
        <f t="shared" si="40"/>
        <v>56. Stress</v>
      </c>
      <c r="K219" s="113" t="str">
        <f t="shared" si="41"/>
        <v>56. Stress</v>
      </c>
      <c r="L219" s="113" t="str">
        <f t="shared" si="42"/>
        <v>56. Babbar Damuwa</v>
      </c>
    </row>
    <row r="220">
      <c r="A220" s="114" t="s">
        <v>979</v>
      </c>
      <c r="B220" s="165" t="s">
        <v>1004</v>
      </c>
      <c r="C220" s="76" t="s">
        <v>1005</v>
      </c>
      <c r="D220" s="76" t="s">
        <v>1006</v>
      </c>
      <c r="E220" s="76" t="s">
        <v>1007</v>
      </c>
      <c r="F220" s="110">
        <v>57.0</v>
      </c>
      <c r="G220" s="113" t="str">
        <f>IFERROR(__xludf.DUMMYFUNCTION("TRIM(REGEXREPLACE(C220, ""[0-9]+[a-f]?\."", """"))"),"Worry")</f>
        <v>Worry</v>
      </c>
      <c r="H220" s="113" t="str">
        <f>IFERROR(__xludf.DUMMYFUNCTION("TRIM(REGEXREPLACE(D220, ""[0-9]+[a-f]?\."", """"))"),"Inquiétude")</f>
        <v>Inquiétude</v>
      </c>
      <c r="I220" s="113" t="str">
        <f>IFERROR(__xludf.DUMMYFUNCTION("TRIM(REGEXREPLACE(E220, ""[0-9]+[a-f]?\."", """"))"),"Damuwa")</f>
        <v>Damuwa</v>
      </c>
      <c r="J220" s="113" t="str">
        <f t="shared" si="40"/>
        <v>57. Worry</v>
      </c>
      <c r="K220" s="113" t="str">
        <f t="shared" si="41"/>
        <v>57. Inquiétude</v>
      </c>
      <c r="L220" s="113" t="str">
        <f t="shared" si="42"/>
        <v>57. Damuwa</v>
      </c>
    </row>
    <row r="221">
      <c r="A221" s="114" t="s">
        <v>979</v>
      </c>
      <c r="B221" s="165" t="s">
        <v>1009</v>
      </c>
      <c r="C221" s="76" t="s">
        <v>1010</v>
      </c>
      <c r="D221" s="76" t="s">
        <v>1011</v>
      </c>
      <c r="E221" s="76" t="s">
        <v>1012</v>
      </c>
      <c r="F221" s="110">
        <v>58.0</v>
      </c>
      <c r="G221" s="113" t="str">
        <f>IFERROR(__xludf.DUMMYFUNCTION("TRIM(REGEXREPLACE(C221, ""[0-9]+[a-f]?\."", """"))"),"Anger")</f>
        <v>Anger</v>
      </c>
      <c r="H221" s="113" t="str">
        <f>IFERROR(__xludf.DUMMYFUNCTION("TRIM(REGEXREPLACE(D221, ""[0-9]+[a-f]?\."", """"))"),"Colère")</f>
        <v>Colère</v>
      </c>
      <c r="I221" s="113" t="str">
        <f>IFERROR(__xludf.DUMMYFUNCTION("TRIM(REGEXREPLACE(E221, ""[0-9]+[a-f]?\."", """"))"),"Fushi")</f>
        <v>Fushi</v>
      </c>
      <c r="J221" s="113" t="str">
        <f t="shared" si="40"/>
        <v>58. Anger</v>
      </c>
      <c r="K221" s="113" t="str">
        <f t="shared" si="41"/>
        <v>58. Colère</v>
      </c>
      <c r="L221" s="113" t="str">
        <f t="shared" si="42"/>
        <v>58. Fushi</v>
      </c>
    </row>
    <row r="222">
      <c r="A222" s="114" t="s">
        <v>979</v>
      </c>
      <c r="B222" s="165" t="s">
        <v>1014</v>
      </c>
      <c r="C222" s="76" t="s">
        <v>1016</v>
      </c>
      <c r="D222" s="76" t="s">
        <v>1017</v>
      </c>
      <c r="E222" s="76" t="s">
        <v>1018</v>
      </c>
      <c r="F222" s="110">
        <v>59.0</v>
      </c>
      <c r="G222" s="113" t="str">
        <f>IFERROR(__xludf.DUMMYFUNCTION("TRIM(REGEXREPLACE(C222, ""[0-9]+[a-f]?\."", """"))"),"Physical pain")</f>
        <v>Physical pain</v>
      </c>
      <c r="H222" s="113" t="str">
        <f>IFERROR(__xludf.DUMMYFUNCTION("TRIM(REGEXREPLACE(D222, ""[0-9]+[a-f]?\."", """"))"),"Douleur physique")</f>
        <v>Douleur physique</v>
      </c>
      <c r="I222" s="113" t="str">
        <f>IFERROR(__xludf.DUMMYFUNCTION("TRIM(REGEXREPLACE(E222, ""[0-9]+[a-f]?\."", """"))"),"ciwon jiki")</f>
        <v>ciwon jiki</v>
      </c>
      <c r="J222" s="113" t="str">
        <f t="shared" si="40"/>
        <v>59. Physical pain</v>
      </c>
      <c r="K222" s="113" t="str">
        <f t="shared" si="41"/>
        <v>59. Douleur physique</v>
      </c>
      <c r="L222" s="113" t="str">
        <f t="shared" si="42"/>
        <v>59. ciwon jiki</v>
      </c>
    </row>
    <row r="223">
      <c r="A223" s="114" t="s">
        <v>979</v>
      </c>
      <c r="B223" s="165" t="s">
        <v>1019</v>
      </c>
      <c r="C223" s="76" t="s">
        <v>1020</v>
      </c>
      <c r="D223" s="76" t="s">
        <v>1021</v>
      </c>
      <c r="E223" s="76" t="s">
        <v>1022</v>
      </c>
      <c r="F223" s="110">
        <v>60.0</v>
      </c>
      <c r="G223" s="113" t="str">
        <f>IFERROR(__xludf.DUMMYFUNCTION("TRIM(REGEXREPLACE(C223, ""[0-9]+[a-f]?\."", """"))"),"Loneliness")</f>
        <v>Loneliness</v>
      </c>
      <c r="H223" s="113" t="str">
        <f>IFERROR(__xludf.DUMMYFUNCTION("TRIM(REGEXREPLACE(D223, ""[0-9]+[a-f]?\."", """"))"),"Solitude")</f>
        <v>Solitude</v>
      </c>
      <c r="I223" s="113" t="str">
        <f>IFERROR(__xludf.DUMMYFUNCTION("TRIM(REGEXREPLACE(E223, ""[0-9]+[a-f]?\."", """"))"),"kadaici")</f>
        <v>kadaici</v>
      </c>
      <c r="J223" s="113" t="str">
        <f t="shared" si="40"/>
        <v>60. Loneliness</v>
      </c>
      <c r="K223" s="113" t="str">
        <f t="shared" si="41"/>
        <v>60. Solitude</v>
      </c>
      <c r="L223" s="113" t="str">
        <f t="shared" si="42"/>
        <v>60. kadaici</v>
      </c>
    </row>
    <row r="224" hidden="1">
      <c r="B224" s="119"/>
      <c r="C224" s="119"/>
      <c r="D224" s="119"/>
      <c r="E224" s="119"/>
      <c r="F224" s="110">
        <v>130.0</v>
      </c>
      <c r="G224" s="113" t="str">
        <f>IFERROR(__xludf.DUMMYFUNCTION("TRIM(REGEXREPLACE(C224, ""[0-9]+[a-f]?\."", """"))"),"")</f>
        <v/>
      </c>
      <c r="H224" s="113" t="str">
        <f>IFERROR(__xludf.DUMMYFUNCTION("TRIM(REGEXREPLACE(D224, ""[0-9]+[a-f]?\."", """"))"),"")</f>
        <v/>
      </c>
      <c r="I224" s="113" t="str">
        <f>IFERROR(__xludf.DUMMYFUNCTION("TRIM(REGEXREPLACE(E224, ""[0-9]+[a-f]?\."", """"))"),"")</f>
        <v/>
      </c>
      <c r="J224" s="113" t="s">
        <v>1027</v>
      </c>
      <c r="K224" s="113" t="s">
        <v>1028</v>
      </c>
      <c r="L224" s="113" t="s">
        <v>1029</v>
      </c>
    </row>
    <row r="225" hidden="1">
      <c r="A225" s="150" t="s">
        <v>343</v>
      </c>
      <c r="B225" s="83" t="s">
        <v>963</v>
      </c>
      <c r="C225" s="83"/>
      <c r="D225" s="83"/>
      <c r="E225" s="83"/>
      <c r="F225" s="110">
        <v>127.0</v>
      </c>
      <c r="G225" s="113" t="str">
        <f>IFERROR(__xludf.DUMMYFUNCTION("TRIM(REGEXREPLACE(C225, ""[0-9]+[a-f]?\."", """"))"),"")</f>
        <v/>
      </c>
      <c r="H225" s="113" t="str">
        <f>IFERROR(__xludf.DUMMYFUNCTION("TRIM(REGEXREPLACE(D225, ""[0-9]+[a-f]?\."", """"))"),"")</f>
        <v/>
      </c>
      <c r="I225" s="113" t="str">
        <f>IFERROR(__xludf.DUMMYFUNCTION("TRIM(REGEXREPLACE(E225, ""[0-9]+[a-f]?\."", """"))"),"")</f>
        <v/>
      </c>
      <c r="J225" s="113" t="s">
        <v>1034</v>
      </c>
      <c r="K225" s="113" t="s">
        <v>1035</v>
      </c>
      <c r="L225" s="113" t="s">
        <v>1036</v>
      </c>
    </row>
    <row r="226" hidden="1">
      <c r="A226" s="150" t="s">
        <v>161</v>
      </c>
      <c r="B226" s="82" t="s">
        <v>1037</v>
      </c>
      <c r="C226" s="82"/>
      <c r="D226" s="83"/>
      <c r="E226" s="83"/>
      <c r="F226" s="110">
        <v>128.0</v>
      </c>
      <c r="G226" s="113" t="str">
        <f>IFERROR(__xludf.DUMMYFUNCTION("TRIM(REGEXREPLACE(C226, ""[0-9]+[a-f]?\."", """"))"),"")</f>
        <v/>
      </c>
      <c r="H226" s="113" t="str">
        <f>IFERROR(__xludf.DUMMYFUNCTION("TRIM(REGEXREPLACE(D226, ""[0-9]+[a-f]?\."", """"))"),"")</f>
        <v/>
      </c>
      <c r="I226" s="113" t="str">
        <f>IFERROR(__xludf.DUMMYFUNCTION("TRIM(REGEXREPLACE(E226, ""[0-9]+[a-f]?\."", """"))"),"")</f>
        <v/>
      </c>
      <c r="J226" s="113" t="s">
        <v>1038</v>
      </c>
      <c r="K226" s="113" t="s">
        <v>1039</v>
      </c>
      <c r="L226" s="113" t="s">
        <v>1040</v>
      </c>
    </row>
    <row r="227">
      <c r="A227" s="114" t="s">
        <v>1041</v>
      </c>
      <c r="B227" s="165" t="s">
        <v>1042</v>
      </c>
      <c r="C227" s="76" t="s">
        <v>1043</v>
      </c>
      <c r="D227" s="76" t="s">
        <v>1044</v>
      </c>
      <c r="E227" s="76" t="s">
        <v>1045</v>
      </c>
      <c r="F227" s="110">
        <v>61.0</v>
      </c>
      <c r="G227" s="113" t="str">
        <f>IFERROR(__xludf.DUMMYFUNCTION("TRIM(REGEXREPLACE(C227, ""[0-9]+[a-f]?\."", """"))"),"I will now read out several statements. You should tell me whether these statements are true for you by using the following scale.")</f>
        <v>I will now read out several statements. You should tell me whether these statements are true for you by using the following scale.</v>
      </c>
      <c r="H227" s="113" t="str">
        <f>IFERROR(__xludf.DUMMYFUNCTION("TRIM(REGEXREPLACE(D227,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227" s="113" t="str">
        <f>IFERROR(__xludf.DUMMYFUNCTION("TRIM(REGEXREPLACE(E227,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227" s="113" t="str">
        <f t="shared" ref="J227:J229" si="43">F227 &amp; ". " &amp;G227</f>
        <v>61. I will now read out several statements. You should tell me whether these statements are true for you by using the following scale.</v>
      </c>
      <c r="K227" s="113" t="str">
        <f t="shared" ref="K227:K229" si="44">F227 &amp; ". " &amp;H227</f>
        <v>61. Je vais maintenant lire plusieurs déclarations. Vous devez me dire si ces affirmations sont vraies pour vous en utilisant l'échelle suivante.</v>
      </c>
      <c r="L227" s="113" t="str">
        <f t="shared" ref="L227:L229" si="45">F227 &amp; ". " &amp;I227</f>
        <v>61. Yanzu zan karanta wasu maganganu da yawa. Za ku gaya mini ko waɗannan maganganun sun yi daidai da ku ta hanyar yin amfani da kuranga mai zuwa.</v>
      </c>
    </row>
    <row r="228">
      <c r="A228" s="114" t="s">
        <v>1041</v>
      </c>
      <c r="B228" s="165" t="s">
        <v>1050</v>
      </c>
      <c r="C228" s="76" t="s">
        <v>1051</v>
      </c>
      <c r="D228" s="76" t="s">
        <v>1052</v>
      </c>
      <c r="E228" s="76" t="s">
        <v>1053</v>
      </c>
      <c r="F228" s="110">
        <v>62.0</v>
      </c>
      <c r="G228" s="113" t="str">
        <f>IFERROR(__xludf.DUMMYFUNCTION("TRIM(REGEXREPLACE(C228, ""[0-9]+[a-f]?\."", """"))"),"I feel I do not have much to be proud of.")</f>
        <v>I feel I do not have much to be proud of.</v>
      </c>
      <c r="H228" s="113" t="str">
        <f>IFERROR(__xludf.DUMMYFUNCTION("TRIM(REGEXREPLACE(D228, ""[0-9]+[a-f]?\."", """"))"),"Je sens que je n'ai pas beaucoup de raisons d'être fier (comblé).")</f>
        <v>Je sens que je n'ai pas beaucoup de raisons d'être fier (comblé).</v>
      </c>
      <c r="I228" s="113" t="str">
        <f>IFERROR(__xludf.DUMMYFUNCTION("TRIM(REGEXREPLACE(E228, ""[0-9]+[a-f]?\."", """"))"),"Ina jin ba ni da hujjojin ji da kai na.")</f>
        <v>Ina jin ba ni da hujjojin ji da kai na.</v>
      </c>
      <c r="J228" s="113" t="str">
        <f t="shared" si="43"/>
        <v>62. I feel I do not have much to be proud of.</v>
      </c>
      <c r="K228" s="113" t="str">
        <f t="shared" si="44"/>
        <v>62. Je sens que je n'ai pas beaucoup de raisons d'être fier (comblé).</v>
      </c>
      <c r="L228" s="113" t="str">
        <f t="shared" si="45"/>
        <v>62. Ina jin ba ni da hujjojin ji da kai na.</v>
      </c>
    </row>
    <row r="229">
      <c r="A229" s="114" t="s">
        <v>1041</v>
      </c>
      <c r="B229" s="165" t="s">
        <v>1057</v>
      </c>
      <c r="C229" s="76" t="s">
        <v>1058</v>
      </c>
      <c r="D229" s="76" t="s">
        <v>1060</v>
      </c>
      <c r="E229" s="76" t="s">
        <v>1061</v>
      </c>
      <c r="F229" s="110">
        <v>63.0</v>
      </c>
      <c r="G229" s="113" t="str">
        <f>IFERROR(__xludf.DUMMYFUNCTION("TRIM(REGEXREPLACE(C229, ""[0-9]+[a-f]?\."", """"))"),"At times I think I am no good at all.")</f>
        <v>At times I think I am no good at all.</v>
      </c>
      <c r="H229" s="113" t="str">
        <f>IFERROR(__xludf.DUMMYFUNCTION("TRIM(REGEXREPLACE(D229, ""[0-9]+[a-f]?\."", """"))"),"Parfois, je pense que je suis utile a rien")</f>
        <v>Parfois, je pense que je suis utile a rien</v>
      </c>
      <c r="I229" s="113" t="str">
        <f>IFERROR(__xludf.DUMMYFUNCTION("TRIM(REGEXREPLACE(E229, ""[0-9]+[a-f]?\."", """"))"),"A wasu lokuta ina ganin bani da amfani komai.")</f>
        <v>A wasu lokuta ina ganin bani da amfani komai.</v>
      </c>
      <c r="J229" s="113" t="str">
        <f t="shared" si="43"/>
        <v>63. At times I think I am no good at all.</v>
      </c>
      <c r="K229" s="113" t="str">
        <f t="shared" si="44"/>
        <v>63. Parfois, je pense que je suis utile a rien</v>
      </c>
      <c r="L229" s="113" t="str">
        <f t="shared" si="45"/>
        <v>63. A wasu lokuta ina ganin bani da amfani komai.</v>
      </c>
    </row>
    <row r="230" hidden="1">
      <c r="A230" s="150" t="s">
        <v>343</v>
      </c>
      <c r="B230" s="83" t="s">
        <v>1037</v>
      </c>
      <c r="C230" s="83"/>
      <c r="D230" s="83"/>
      <c r="E230" s="83"/>
      <c r="F230" s="110">
        <v>132.0</v>
      </c>
      <c r="G230" s="113" t="str">
        <f>IFERROR(__xludf.DUMMYFUNCTION("TRIM(REGEXREPLACE(C230, ""[0-9]+[a-f]?\."", """"))"),"")</f>
        <v/>
      </c>
      <c r="H230" s="113" t="str">
        <f>IFERROR(__xludf.DUMMYFUNCTION("TRIM(REGEXREPLACE(D230, ""[0-9]+[a-f]?\."", """"))"),"")</f>
        <v/>
      </c>
      <c r="I230" s="113" t="str">
        <f>IFERROR(__xludf.DUMMYFUNCTION("TRIM(REGEXREPLACE(E230, ""[0-9]+[a-f]?\."", """"))"),"")</f>
        <v/>
      </c>
      <c r="J230" s="113" t="s">
        <v>1064</v>
      </c>
      <c r="K230" s="113" t="s">
        <v>1065</v>
      </c>
      <c r="L230" s="113" t="s">
        <v>1066</v>
      </c>
    </row>
    <row r="231">
      <c r="A231" s="170" t="s">
        <v>238</v>
      </c>
      <c r="B231" s="171" t="s">
        <v>1067</v>
      </c>
      <c r="C231" s="76" t="s">
        <v>605</v>
      </c>
      <c r="D231" s="76" t="s">
        <v>606</v>
      </c>
      <c r="E231" s="76" t="s">
        <v>607</v>
      </c>
      <c r="F231" s="110">
        <v>64.0</v>
      </c>
      <c r="G231" s="113" t="str">
        <f>IFERROR(__xludf.DUMMYFUNCTION("TRIM(REGEXREPLACE(C231,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231" s="113" t="str">
        <f>IFERROR(__xludf.DUMMYFUNCTION("TRIM(REGEXREPLACE(D231,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231" s="113" t="str">
        <f>IFERROR(__xludf.DUMMYFUNCTION("TRIM(REGEXREPLACE(E231,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231" s="113" t="str">
        <f>F231 &amp; ". " &amp;G231</f>
        <v>64.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231" s="113" t="str">
        <f>F231 &amp; ". " &amp;H231</f>
        <v>64.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231" s="113" t="str">
        <f>F231 &amp; ". " &amp;I231</f>
        <v>64.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row>
    <row r="232" hidden="1">
      <c r="A232" s="150"/>
      <c r="B232" s="82"/>
      <c r="C232" s="82"/>
      <c r="D232" s="83"/>
      <c r="E232" s="83"/>
      <c r="F232" s="110">
        <v>134.0</v>
      </c>
      <c r="G232" s="113" t="str">
        <f>IFERROR(__xludf.DUMMYFUNCTION("TRIM(REGEXREPLACE(C232, ""[0-9]+[a-f]?\."", """"))"),"")</f>
        <v/>
      </c>
      <c r="H232" s="113" t="str">
        <f>IFERROR(__xludf.DUMMYFUNCTION("TRIM(REGEXREPLACE(D232, ""[0-9]+[a-f]?\."", """"))"),"")</f>
        <v/>
      </c>
      <c r="I232" s="113" t="str">
        <f>IFERROR(__xludf.DUMMYFUNCTION("TRIM(REGEXREPLACE(E232, ""[0-9]+[a-f]?\."", """"))"),"")</f>
        <v/>
      </c>
      <c r="J232" s="113" t="s">
        <v>1076</v>
      </c>
      <c r="K232" s="113" t="s">
        <v>1077</v>
      </c>
      <c r="L232" s="113" t="s">
        <v>1078</v>
      </c>
    </row>
    <row r="233" hidden="1">
      <c r="A233" s="150" t="s">
        <v>161</v>
      </c>
      <c r="B233" s="82" t="s">
        <v>1080</v>
      </c>
      <c r="C233" s="82" t="s">
        <v>1082</v>
      </c>
      <c r="D233" s="82"/>
      <c r="E233" s="82"/>
      <c r="F233" s="110">
        <v>135.0</v>
      </c>
      <c r="G233" s="113" t="str">
        <f>IFERROR(__xludf.DUMMYFUNCTION("TRIM(REGEXREPLACE(C233, ""[0-9]+[a-f]?\."", """"))"),"Worries")</f>
        <v>Worries</v>
      </c>
      <c r="H233" s="113" t="str">
        <f>IFERROR(__xludf.DUMMYFUNCTION("TRIM(REGEXREPLACE(D233, ""[0-9]+[a-f]?\."", """"))"),"")</f>
        <v/>
      </c>
      <c r="I233" s="113" t="str">
        <f>IFERROR(__xludf.DUMMYFUNCTION("TRIM(REGEXREPLACE(E233, ""[0-9]+[a-f]?\."", """"))"),"")</f>
        <v/>
      </c>
      <c r="J233" s="113" t="s">
        <v>1084</v>
      </c>
      <c r="K233" s="113" t="s">
        <v>1085</v>
      </c>
      <c r="L233" s="113" t="s">
        <v>1086</v>
      </c>
    </row>
    <row r="234">
      <c r="A234" s="152" t="s">
        <v>44</v>
      </c>
      <c r="B234" s="77" t="s">
        <v>1087</v>
      </c>
      <c r="C234" s="76" t="s">
        <v>1088</v>
      </c>
      <c r="D234" s="76" t="s">
        <v>1091</v>
      </c>
      <c r="E234" s="76" t="s">
        <v>1092</v>
      </c>
      <c r="F234" s="110">
        <v>65.0</v>
      </c>
      <c r="G234" s="113" t="str">
        <f>IFERROR(__xludf.DUMMYFUNCTION("TRIM(REGEXREPLACE(C234, ""[0-9]+[a-f]?\."", """"))"),"Now I am going to ask you about the areas of your life that worry you.")</f>
        <v>Now I am going to ask you about the areas of your life that worry you.</v>
      </c>
      <c r="H234" s="113" t="str">
        <f>IFERROR(__xludf.DUMMYFUNCTION("TRIM(REGEXREPLACE(D234, ""[0-9]+[a-f]?\."", """"))"),"Je voudrais maintenant vous poser des questions sur les choses qui vous inquiètent dans votre vie.")</f>
        <v>Je voudrais maintenant vous poser des questions sur les choses qui vous inquiètent dans votre vie.</v>
      </c>
      <c r="I234" s="113" t="str">
        <f>IFERROR(__xludf.DUMMYFUNCTION("TRIM(REGEXREPLACE(E234, ""[0-9]+[a-f]?\."", """"))"),"Yanzu ina son in tambaye ku bisa abubuwan da ke damun ku a cikin rayuwar ku.")</f>
        <v>Yanzu ina son in tambaye ku bisa abubuwan da ke damun ku a cikin rayuwar ku.</v>
      </c>
      <c r="J234" s="113" t="str">
        <f t="shared" ref="J234:J245" si="46">F234 &amp; ". " &amp;G234</f>
        <v>65. Now I am going to ask you about the areas of your life that worry you.</v>
      </c>
      <c r="K234" s="113" t="str">
        <f t="shared" ref="K234:K245" si="47">F234 &amp; ". " &amp;H234</f>
        <v>65. Je voudrais maintenant vous poser des questions sur les choses qui vous inquiètent dans votre vie.</v>
      </c>
      <c r="L234" s="113" t="str">
        <f t="shared" ref="L234:L245" si="48">F234 &amp; ". " &amp;I234</f>
        <v>65. Yanzu ina son in tambaye ku bisa abubuwan da ke damun ku a cikin rayuwar ku.</v>
      </c>
    </row>
    <row r="235">
      <c r="A235" s="114" t="s">
        <v>1096</v>
      </c>
      <c r="B235" s="165" t="s">
        <v>1097</v>
      </c>
      <c r="C235" s="76" t="s">
        <v>628</v>
      </c>
      <c r="D235" s="76" t="s">
        <v>629</v>
      </c>
      <c r="E235" s="76" t="s">
        <v>630</v>
      </c>
      <c r="F235" s="110">
        <v>66.0</v>
      </c>
      <c r="G235" s="113" t="str">
        <f>IFERROR(__xludf.DUMMYFUNCTION("TRIM(REGEXREPLACE(C235, ""[0-9]+[a-f]?\."", """"))"),"How stressed are you about the following areas of your life?")</f>
        <v>How stressed are you about the following areas of your life?</v>
      </c>
      <c r="H235" s="113" t="str">
        <f>IFERROR(__xludf.DUMMYFUNCTION("TRIM(REGEXREPLACE(D235, ""[0-9]+[a-f]?\."", """"))"),"Dans quelle mesure êtes-vous stressé par les domaines suivants de votre vie ?")</f>
        <v>Dans quelle mesure êtes-vous stressé par les domaines suivants de votre vie ?</v>
      </c>
      <c r="I235" s="113" t="str">
        <f>IFERROR(__xludf.DUMMYFUNCTION("TRIM(REGEXREPLACE(E235, ""[0-9]+[a-f]?\."", """"))"),"Yaya damuwarku game da abubuwa na rayuwarku da zan zana?")</f>
        <v>Yaya damuwarku game da abubuwa na rayuwarku da zan zana?</v>
      </c>
      <c r="J235" s="113" t="str">
        <f t="shared" si="46"/>
        <v>66. How stressed are you about the following areas of your life?</v>
      </c>
      <c r="K235" s="113" t="str">
        <f t="shared" si="47"/>
        <v>66. Dans quelle mesure êtes-vous stressé par les domaines suivants de votre vie ?</v>
      </c>
      <c r="L235" s="113" t="str">
        <f t="shared" si="48"/>
        <v>66. Yaya damuwarku game da abubuwa na rayuwarku da zan zana?</v>
      </c>
    </row>
    <row r="236">
      <c r="A236" s="114" t="s">
        <v>1096</v>
      </c>
      <c r="B236" s="165" t="s">
        <v>1100</v>
      </c>
      <c r="C236" s="76" t="s">
        <v>632</v>
      </c>
      <c r="D236" s="76" t="s">
        <v>633</v>
      </c>
      <c r="E236" s="76" t="s">
        <v>634</v>
      </c>
      <c r="F236" s="110">
        <v>67.0</v>
      </c>
      <c r="G236" s="113" t="str">
        <f>IFERROR(__xludf.DUMMYFUNCTION("TRIM(REGEXREPLACE(C236, ""[0-9]+[a-f]?\."", """"))"),"Your own health problems, illness")</f>
        <v>Your own health problems, illness</v>
      </c>
      <c r="H236" s="113" t="str">
        <f>IFERROR(__xludf.DUMMYFUNCTION("TRIM(REGEXREPLACE(D236, ""[0-9]+[a-f]?\."", """"))"),"Vos propres problèmes de santé")</f>
        <v>Vos propres problèmes de santé</v>
      </c>
      <c r="I236" s="113" t="str">
        <f>IFERROR(__xludf.DUMMYFUNCTION("TRIM(REGEXREPLACE(E236, ""[0-9]+[a-f]?\."", """"))"),"Matsalolin lafiyar jikinku")</f>
        <v>Matsalolin lafiyar jikinku</v>
      </c>
      <c r="J236" s="113" t="str">
        <f t="shared" si="46"/>
        <v>67. Your own health problems, illness</v>
      </c>
      <c r="K236" s="113" t="str">
        <f t="shared" si="47"/>
        <v>67. Vos propres problèmes de santé</v>
      </c>
      <c r="L236" s="113" t="str">
        <f t="shared" si="48"/>
        <v>67. Matsalolin lafiyar jikinku</v>
      </c>
    </row>
    <row r="237">
      <c r="A237" s="114" t="s">
        <v>1096</v>
      </c>
      <c r="B237" s="165" t="s">
        <v>1101</v>
      </c>
      <c r="C237" s="76" t="s">
        <v>640</v>
      </c>
      <c r="D237" s="76" t="s">
        <v>641</v>
      </c>
      <c r="E237" s="76" t="s">
        <v>642</v>
      </c>
      <c r="F237" s="110">
        <v>68.0</v>
      </c>
      <c r="G237" s="113" t="str">
        <f>IFERROR(__xludf.DUMMYFUNCTION("TRIM(REGEXREPLACE(C237, ""[0-9]+[a-f]?\."", """"))"),"Problems at home and with relatives")</f>
        <v>Problems at home and with relatives</v>
      </c>
      <c r="H237" s="113" t="str">
        <f>IFERROR(__xludf.DUMMYFUNCTION("TRIM(REGEXREPLACE(D237, ""[0-9]+[a-f]?\."", """"))"),"Problèmes dans le ménage et avec les proches")</f>
        <v>Problèmes dans le ménage et avec les proches</v>
      </c>
      <c r="I237" s="113" t="str">
        <f>IFERROR(__xludf.DUMMYFUNCTION("TRIM(REGEXREPLACE(E237, ""[0-9]+[a-f]?\."", """"))"),"Matsaloli na cikin gida da na dangi")</f>
        <v>Matsaloli na cikin gida da na dangi</v>
      </c>
      <c r="J237" s="113" t="str">
        <f t="shared" si="46"/>
        <v>68. Problems at home and with relatives</v>
      </c>
      <c r="K237" s="113" t="str">
        <f t="shared" si="47"/>
        <v>68. Problèmes dans le ménage et avec les proches</v>
      </c>
      <c r="L237" s="113" t="str">
        <f t="shared" si="48"/>
        <v>68. Matsaloli na cikin gida da na dangi</v>
      </c>
    </row>
    <row r="238">
      <c r="A238" s="114" t="s">
        <v>1096</v>
      </c>
      <c r="B238" s="165" t="s">
        <v>1104</v>
      </c>
      <c r="C238" s="76" t="s">
        <v>644</v>
      </c>
      <c r="D238" s="76" t="s">
        <v>645</v>
      </c>
      <c r="E238" s="76" t="s">
        <v>1106</v>
      </c>
      <c r="F238" s="110">
        <v>69.0</v>
      </c>
      <c r="G238" s="113" t="str">
        <f>IFERROR(__xludf.DUMMYFUNCTION("TRIM(REGEXREPLACE(C238, ""[0-9]+[a-f]?\."", """"))"),"Accidents and disasters")</f>
        <v>Accidents and disasters</v>
      </c>
      <c r="H238" s="113" t="str">
        <f>IFERROR(__xludf.DUMMYFUNCTION("TRIM(REGEXREPLACE(D238, ""[0-9]+[a-f]?\."", """"))"),"Accidents et catastrophes")</f>
        <v>Accidents et catastrophes</v>
      </c>
      <c r="I238" s="113" t="str">
        <f>IFERROR(__xludf.DUMMYFUNCTION("TRIM(REGEXREPLACE(E238, ""[0-9]+[a-f]?\."", """"))"),"Hatsari da ibtila'i")</f>
        <v>Hatsari da ibtila'i</v>
      </c>
      <c r="J238" s="113" t="str">
        <f t="shared" si="46"/>
        <v>69. Accidents and disasters</v>
      </c>
      <c r="K238" s="113" t="str">
        <f t="shared" si="47"/>
        <v>69. Accidents et catastrophes</v>
      </c>
      <c r="L238" s="113" t="str">
        <f t="shared" si="48"/>
        <v>69. Hatsari da ibtila'i</v>
      </c>
    </row>
    <row r="239">
      <c r="A239" s="114" t="s">
        <v>1096</v>
      </c>
      <c r="B239" s="165" t="s">
        <v>1109</v>
      </c>
      <c r="C239" s="76" t="s">
        <v>651</v>
      </c>
      <c r="D239" s="76" t="s">
        <v>652</v>
      </c>
      <c r="E239" s="76" t="s">
        <v>653</v>
      </c>
      <c r="F239" s="110">
        <v>70.0</v>
      </c>
      <c r="G239" s="113" t="str">
        <f>IFERROR(__xludf.DUMMYFUNCTION("TRIM(REGEXREPLACE(C239, ""[0-9]+[a-f]?\."", """"))"),"Not enough money for basic needs (sucha as food and clothing)")</f>
        <v>Not enough money for basic needs (sucha as food and clothing)</v>
      </c>
      <c r="H239" s="113" t="str">
        <f>IFERROR(__xludf.DUMMYFUNCTION("TRIM(REGEXREPLACE(D239, ""[0-9]+[a-f]?\."", """"))"),"Pas assez d'argent pour les besoins de base (tels que la nourriture et les vêtements)")</f>
        <v>Pas assez d'argent pour les besoins de base (tels que la nourriture et les vêtements)</v>
      </c>
      <c r="I239" s="113" t="str">
        <f>IFERROR(__xludf.DUMMYFUNCTION("TRIM(REGEXREPLACE(E239, ""[0-9]+[a-f]?\."", """"))"),"Rashin isassun kuɗi don buƙatun asali (kamar abinci da sutura)")</f>
        <v>Rashin isassun kuɗi don buƙatun asali (kamar abinci da sutura)</v>
      </c>
      <c r="J239" s="113" t="str">
        <f t="shared" si="46"/>
        <v>70. Not enough money for basic needs (sucha as food and clothing)</v>
      </c>
      <c r="K239" s="113" t="str">
        <f t="shared" si="47"/>
        <v>70. Pas assez d'argent pour les besoins de base (tels que la nourriture et les vêtements)</v>
      </c>
      <c r="L239" s="113" t="str">
        <f t="shared" si="48"/>
        <v>70. Rashin isassun kuɗi don buƙatun asali (kamar abinci da sutura)</v>
      </c>
    </row>
    <row r="240">
      <c r="A240" s="114" t="s">
        <v>1096</v>
      </c>
      <c r="B240" s="165" t="s">
        <v>1112</v>
      </c>
      <c r="C240" s="76" t="s">
        <v>656</v>
      </c>
      <c r="D240" s="76" t="s">
        <v>657</v>
      </c>
      <c r="E240" s="76" t="s">
        <v>658</v>
      </c>
      <c r="F240" s="110">
        <v>71.0</v>
      </c>
      <c r="G240" s="113" t="str">
        <f>IFERROR(__xludf.DUMMYFUNCTION("TRIM(REGEXREPLACE(C240, ""[0-9]+[a-f]?\."", """"))"),"Not being able to educate all children")</f>
        <v>Not being able to educate all children</v>
      </c>
      <c r="H240" s="113" t="str">
        <f>IFERROR(__xludf.DUMMYFUNCTION("TRIM(REGEXREPLACE(D240, ""[0-9]+[a-f]?\."", """"))"),"Ne pas pouvoir scolariser tous les enfants")</f>
        <v>Ne pas pouvoir scolariser tous les enfants</v>
      </c>
      <c r="I240" s="113" t="str">
        <f>IFERROR(__xludf.DUMMYFUNCTION("TRIM(REGEXREPLACE(E240, ""[0-9]+[a-f]?\."", """"))"),"Rashin iya rubuta dukkan yara a makarantar boko")</f>
        <v>Rashin iya rubuta dukkan yara a makarantar boko</v>
      </c>
      <c r="J240" s="113" t="str">
        <f t="shared" si="46"/>
        <v>71. Not being able to educate all children</v>
      </c>
      <c r="K240" s="113" t="str">
        <f t="shared" si="47"/>
        <v>71. Ne pas pouvoir scolariser tous les enfants</v>
      </c>
      <c r="L240" s="113" t="str">
        <f t="shared" si="48"/>
        <v>71. Rashin iya rubuta dukkan yara a makarantar boko</v>
      </c>
    </row>
    <row r="241">
      <c r="A241" s="114" t="s">
        <v>1096</v>
      </c>
      <c r="B241" s="165" t="s">
        <v>1115</v>
      </c>
      <c r="C241" s="76" t="s">
        <v>662</v>
      </c>
      <c r="D241" s="76" t="s">
        <v>663</v>
      </c>
      <c r="E241" s="76" t="s">
        <v>664</v>
      </c>
      <c r="F241" s="110">
        <v>72.0</v>
      </c>
      <c r="G241" s="113" t="str">
        <f>IFERROR(__xludf.DUMMYFUNCTION("TRIM(REGEXREPLACE(C241, ""[0-9]+[a-f]?\."", """"))"),"Difficulty finding work")</f>
        <v>Difficulty finding work</v>
      </c>
      <c r="H241" s="113" t="str">
        <f>IFERROR(__xludf.DUMMYFUNCTION("TRIM(REGEXREPLACE(D241, ""[0-9]+[a-f]?\."", """"))"),"Difficulté à trouver du travail")</f>
        <v>Difficulté à trouver du travail</v>
      </c>
      <c r="I241" s="113" t="str">
        <f>IFERROR(__xludf.DUMMYFUNCTION("TRIM(REGEXREPLACE(E241, ""[0-9]+[a-f]?\."", """"))"),"Wahalar neman aiki")</f>
        <v>Wahalar neman aiki</v>
      </c>
      <c r="J241" s="113" t="str">
        <f t="shared" si="46"/>
        <v>72. Difficulty finding work</v>
      </c>
      <c r="K241" s="113" t="str">
        <f t="shared" si="47"/>
        <v>72. Difficulté à trouver du travail</v>
      </c>
      <c r="L241" s="113" t="str">
        <f t="shared" si="48"/>
        <v>72. Wahalar neman aiki</v>
      </c>
    </row>
    <row r="242">
      <c r="A242" s="114" t="s">
        <v>1096</v>
      </c>
      <c r="B242" s="165" t="s">
        <v>1119</v>
      </c>
      <c r="C242" s="76" t="s">
        <v>1120</v>
      </c>
      <c r="D242" s="76" t="s">
        <v>1121</v>
      </c>
      <c r="E242" s="76" t="s">
        <v>1122</v>
      </c>
      <c r="F242" s="110">
        <v>73.0</v>
      </c>
      <c r="G242" s="113" t="str">
        <f>IFERROR(__xludf.DUMMYFUNCTION("TRIM(REGEXREPLACE(C242, ""[0-9]+[a-f]?\."", """"))"),"Idleness of children or spouse")</f>
        <v>Idleness of children or spouse</v>
      </c>
      <c r="H242" s="113" t="str">
        <f>IFERROR(__xludf.DUMMYFUNCTION("TRIM(REGEXREPLACE(D242, ""[0-9]+[a-f]?\."", """"))"),"L'oisiveté des enfants ou du conjoint")</f>
        <v>L'oisiveté des enfants ou du conjoint</v>
      </c>
      <c r="I242" s="113" t="str">
        <f>IFERROR(__xludf.DUMMYFUNCTION("TRIM(REGEXREPLACE(E242, ""[0-9]+[a-f]?\."", """"))"),"Zaman banza na yara ko mata")</f>
        <v>Zaman banza na yara ko mata</v>
      </c>
      <c r="J242" s="113" t="str">
        <f t="shared" si="46"/>
        <v>73. Idleness of children or spouse</v>
      </c>
      <c r="K242" s="113" t="str">
        <f t="shared" si="47"/>
        <v>73. L'oisiveté des enfants ou du conjoint</v>
      </c>
      <c r="L242" s="113" t="str">
        <f t="shared" si="48"/>
        <v>73. Zaman banza na yara ko mata</v>
      </c>
    </row>
    <row r="243">
      <c r="A243" s="114" t="s">
        <v>1096</v>
      </c>
      <c r="B243" s="165" t="s">
        <v>1129</v>
      </c>
      <c r="C243" s="76" t="s">
        <v>672</v>
      </c>
      <c r="D243" s="76" t="s">
        <v>673</v>
      </c>
      <c r="E243" s="76" t="s">
        <v>674</v>
      </c>
      <c r="F243" s="110">
        <v>74.0</v>
      </c>
      <c r="G243" s="113" t="str">
        <f>IFERROR(__xludf.DUMMYFUNCTION("TRIM(REGEXREPLACE(C243, ""[0-9]+[a-f]?\."", """"))"),"Alcohol comsumption of children or spouse")</f>
        <v>Alcohol comsumption of children or spouse</v>
      </c>
      <c r="H243" s="113" t="str">
        <f>IFERROR(__xludf.DUMMYFUNCTION("TRIM(REGEXREPLACE(D243, ""[0-9]+[a-f]?\."", """"))"),"Consommation d'alcool des enfants ou du conjoint")</f>
        <v>Consommation d'alcool des enfants ou du conjoint</v>
      </c>
      <c r="I243" s="113" t="str">
        <f>IFERROR(__xludf.DUMMYFUNCTION("TRIM(REGEXREPLACE(E243, ""[0-9]+[a-f]?\."", """"))"),"Shan giya na yara ko mata")</f>
        <v>Shan giya na yara ko mata</v>
      </c>
      <c r="J243" s="113" t="str">
        <f t="shared" si="46"/>
        <v>74. Alcohol comsumption of children or spouse</v>
      </c>
      <c r="K243" s="113" t="str">
        <f t="shared" si="47"/>
        <v>74. Consommation d'alcool des enfants ou du conjoint</v>
      </c>
      <c r="L243" s="113" t="str">
        <f t="shared" si="48"/>
        <v>74. Shan giya na yara ko mata</v>
      </c>
    </row>
    <row r="244">
      <c r="A244" s="114" t="s">
        <v>1096</v>
      </c>
      <c r="B244" s="165" t="s">
        <v>1131</v>
      </c>
      <c r="C244" s="76" t="s">
        <v>1132</v>
      </c>
      <c r="D244" s="76" t="s">
        <v>1133</v>
      </c>
      <c r="E244" s="76" t="s">
        <v>1134</v>
      </c>
      <c r="F244" s="110">
        <v>75.0</v>
      </c>
      <c r="G244" s="113" t="str">
        <f>IFERROR(__xludf.DUMMYFUNCTION("TRIM(REGEXREPLACE(C244, ""[0-9]+[a-f]?\."", """"))"),"Death of a family member")</f>
        <v>Death of a family member</v>
      </c>
      <c r="H244" s="113" t="str">
        <f>IFERROR(__xludf.DUMMYFUNCTION("TRIM(REGEXREPLACE(D244, ""[0-9]+[a-f]?\."", """"))"),"Décès d'un membre de la famille")</f>
        <v>Décès d'un membre de la famille</v>
      </c>
      <c r="I244" s="113" t="str">
        <f>IFERROR(__xludf.DUMMYFUNCTION("TRIM(REGEXREPLACE(E244, ""[0-9]+[a-f]?\."", """"))"),"Mutuwar wani ɗan uwa")</f>
        <v>Mutuwar wani ɗan uwa</v>
      </c>
      <c r="J244" s="113" t="str">
        <f t="shared" si="46"/>
        <v>75. Death of a family member</v>
      </c>
      <c r="K244" s="113" t="str">
        <f t="shared" si="47"/>
        <v>75. Décès d'un membre de la famille</v>
      </c>
      <c r="L244" s="113" t="str">
        <f t="shared" si="48"/>
        <v>75. Mutuwar wani ɗan uwa</v>
      </c>
    </row>
    <row r="245">
      <c r="A245" s="114" t="s">
        <v>1096</v>
      </c>
      <c r="B245" s="165" t="s">
        <v>1135</v>
      </c>
      <c r="C245" s="76" t="s">
        <v>1136</v>
      </c>
      <c r="D245" s="76" t="s">
        <v>1137</v>
      </c>
      <c r="E245" s="76" t="s">
        <v>1138</v>
      </c>
      <c r="F245" s="110">
        <v>76.0</v>
      </c>
      <c r="G245" s="113" t="str">
        <f>IFERROR(__xludf.DUMMYFUNCTION("TRIM(REGEXREPLACE(C245, ""[0-9]+[a-f]?\."", """"))"),"Debts owed to others")</f>
        <v>Debts owed to others</v>
      </c>
      <c r="H245" s="113" t="str">
        <f>IFERROR(__xludf.DUMMYFUNCTION("TRIM(REGEXREPLACE(D245, ""[0-9]+[a-f]?\."", """"))"),"Dettes envers autrui")</f>
        <v>Dettes envers autrui</v>
      </c>
      <c r="I245" s="113" t="str">
        <f>IFERROR(__xludf.DUMMYFUNCTION("TRIM(REGEXREPLACE(E245, ""[0-9]+[a-f]?\."", """"))"),"Bashi da wasu ke binku")</f>
        <v>Bashi da wasu ke binku</v>
      </c>
      <c r="J245" s="113" t="str">
        <f t="shared" si="46"/>
        <v>76. Debts owed to others</v>
      </c>
      <c r="K245" s="113" t="str">
        <f t="shared" si="47"/>
        <v>76. Dettes envers autrui</v>
      </c>
      <c r="L245" s="113" t="str">
        <f t="shared" si="48"/>
        <v>76. Bashi da wasu ke binku</v>
      </c>
    </row>
    <row r="246" hidden="1">
      <c r="A246" s="150" t="s">
        <v>343</v>
      </c>
      <c r="B246" s="83" t="s">
        <v>1080</v>
      </c>
      <c r="C246" s="83" t="s">
        <v>1082</v>
      </c>
      <c r="D246" s="83"/>
      <c r="E246" s="83"/>
      <c r="F246" s="110">
        <v>148.0</v>
      </c>
      <c r="G246" s="113" t="str">
        <f>IFERROR(__xludf.DUMMYFUNCTION("TRIM(REGEXREPLACE(C246, ""[0-9]+[a-f]?\."", """"))"),"Worries")</f>
        <v>Worries</v>
      </c>
      <c r="H246" s="113" t="str">
        <f>IFERROR(__xludf.DUMMYFUNCTION("TRIM(REGEXREPLACE(D246, ""[0-9]+[a-f]?\."", """"))"),"")</f>
        <v/>
      </c>
      <c r="I246" s="113" t="str">
        <f>IFERROR(__xludf.DUMMYFUNCTION("TRIM(REGEXREPLACE(E246, ""[0-9]+[a-f]?\."", """"))"),"")</f>
        <v/>
      </c>
      <c r="J246" s="113" t="s">
        <v>1145</v>
      </c>
      <c r="K246" s="113" t="s">
        <v>1147</v>
      </c>
      <c r="L246" s="113" t="s">
        <v>1149</v>
      </c>
    </row>
    <row r="247" hidden="1">
      <c r="A247" s="150"/>
      <c r="B247" s="82"/>
      <c r="C247" s="82"/>
      <c r="D247" s="83"/>
      <c r="E247" s="83"/>
      <c r="F247" s="110">
        <v>149.0</v>
      </c>
      <c r="G247" s="113" t="str">
        <f>IFERROR(__xludf.DUMMYFUNCTION("TRIM(REGEXREPLACE(C247, ""[0-9]+[a-f]?\."", """"))"),"")</f>
        <v/>
      </c>
      <c r="H247" s="113" t="str">
        <f>IFERROR(__xludf.DUMMYFUNCTION("TRIM(REGEXREPLACE(D247, ""[0-9]+[a-f]?\."", """"))"),"")</f>
        <v/>
      </c>
      <c r="I247" s="113" t="str">
        <f>IFERROR(__xludf.DUMMYFUNCTION("TRIM(REGEXREPLACE(E247, ""[0-9]+[a-f]?\."", """"))"),"")</f>
        <v/>
      </c>
      <c r="J247" s="113" t="s">
        <v>1151</v>
      </c>
      <c r="K247" s="113" t="s">
        <v>1152</v>
      </c>
      <c r="L247" s="113" t="s">
        <v>1153</v>
      </c>
    </row>
    <row r="248">
      <c r="A248" s="152" t="s">
        <v>44</v>
      </c>
      <c r="B248" s="77" t="s">
        <v>1154</v>
      </c>
      <c r="C248" s="76" t="s">
        <v>1155</v>
      </c>
      <c r="D248" s="76" t="s">
        <v>1156</v>
      </c>
      <c r="E248" s="76" t="s">
        <v>1157</v>
      </c>
      <c r="F248" s="110">
        <v>77.0</v>
      </c>
      <c r="G248" s="113" t="str">
        <f>IFERROR(__xludf.DUMMYFUNCTION("TRIM(REGEXREPLACE(C248, ""[0-9]+[a-f]?\."", """"))"),"Now I will ask about some things that may have happened to you during the past three months.")</f>
        <v>Now I will ask about some things that may have happened to you during the past three months.</v>
      </c>
      <c r="H248" s="113" t="str">
        <f>IFERROR(__xludf.DUMMYFUNCTION("TRIM(REGEXREPLACE(D248, ""[0-9]+[a-f]?\."", """"))"),"Maintenant, je vais vous poser des questions sur certaines choses qui vous sont peut-être arrivées au cours des trois derniers mois.")</f>
        <v>Maintenant, je vais vous poser des questions sur certaines choses qui vous sont peut-être arrivées au cours des trois derniers mois.</v>
      </c>
      <c r="I248" s="113" t="str">
        <f>IFERROR(__xludf.DUMMYFUNCTION("TRIM(REGEXREPLACE(E248, ""[0-9]+[a-f]?\."", """"))"),"Yanzu zan yi tambayoyi game da wasu abubuwa da wataƙila sun faru da ku a cikin watanni uku da suka wuce.")</f>
        <v>Yanzu zan yi tambayoyi game da wasu abubuwa da wataƙila sun faru da ku a cikin watanni uku da suka wuce.</v>
      </c>
      <c r="J248" s="113" t="str">
        <f t="shared" ref="J248:J250" si="49">F248 &amp; ". " &amp;G248</f>
        <v>77. Now I will ask about some things that may have happened to you during the past three months.</v>
      </c>
      <c r="K248" s="113" t="str">
        <f t="shared" ref="K248:K250" si="50">F248 &amp; ". " &amp;H248</f>
        <v>77. Maintenant, je vais vous poser des questions sur certaines choses qui vous sont peut-être arrivées au cours des trois derniers mois.</v>
      </c>
      <c r="L248" s="113" t="str">
        <f t="shared" ref="L248:L250" si="51">F248 &amp; ". " &amp;I248</f>
        <v>77. Yanzu zan yi tambayoyi game da wasu abubuwa da wataƙila sun faru da ku a cikin watanni uku da suka wuce.</v>
      </c>
    </row>
    <row r="249">
      <c r="A249" s="114" t="s">
        <v>979</v>
      </c>
      <c r="B249" s="165" t="s">
        <v>1161</v>
      </c>
      <c r="C249" s="76" t="s">
        <v>1162</v>
      </c>
      <c r="D249" s="76" t="s">
        <v>1163</v>
      </c>
      <c r="E249" s="76" t="s">
        <v>1164</v>
      </c>
      <c r="F249" s="110">
        <v>78.0</v>
      </c>
      <c r="G249" s="113" t="str">
        <f>IFERROR(__xludf.DUMMYFUNCTION("TRIM(REGEXREPLACE(C249, ""[0-9]+[a-f]?\."", """"))"),"How often, if at all, were you personally discriminated against based on your identity (ethnicity, religion, nationality)?")</f>
        <v>How often, if at all, were you personally discriminated against based on your identity (ethnicity, religion, nationality)?</v>
      </c>
      <c r="H249" s="113" t="str">
        <f>IFERROR(__xludf.DUMMYFUNCTION("TRIM(REGEXREPLACE(D249,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249" s="113" t="str">
        <f>IFERROR(__xludf.DUMMYFUNCTION("TRIM(REGEXREPLACE(E249, ""[0-9]+[a-f]?\."", """"))"),"Sau nawa, idan ya faru a gareku, aka nuna muku wariya dangance da kabilarku, ko addininku, ko ƙasarku2?")</f>
        <v>Sau nawa, idan ya faru a gareku, aka nuna muku wariya dangance da kabilarku, ko addininku, ko ƙasarku2?</v>
      </c>
      <c r="J249" s="113" t="str">
        <f t="shared" si="49"/>
        <v>78. How often, if at all, were you personally discriminated against based on your identity (ethnicity, religion, nationality)?</v>
      </c>
      <c r="K249" s="113" t="str">
        <f t="shared" si="50"/>
        <v>78. À quelle fréquence, si ça vous est déjà arrivé, avez-vous personnellement été victime de discrimination liée a votre identité (ethnie, religion, nationalité) ?</v>
      </c>
      <c r="L249" s="113" t="str">
        <f t="shared" si="51"/>
        <v>78. Sau nawa, idan ya faru a gareku, aka nuna muku wariya dangance da kabilarku, ko addininku, ko ƙasarku2?</v>
      </c>
    </row>
    <row r="250">
      <c r="A250" s="114" t="s">
        <v>979</v>
      </c>
      <c r="B250" s="165" t="s">
        <v>1173</v>
      </c>
      <c r="C250" s="76" t="s">
        <v>1174</v>
      </c>
      <c r="D250" s="76" t="s">
        <v>1175</v>
      </c>
      <c r="E250" s="76" t="s">
        <v>1176</v>
      </c>
      <c r="F250" s="110">
        <v>79.0</v>
      </c>
      <c r="G250" s="113" t="str">
        <f>IFERROR(__xludf.DUMMYFUNCTION("TRIM(REGEXREPLACE(C250, ""[0-9]+[a-f]?\."", """"))"),"How often, if ever, have you felt unsafe walking in the neighborhood where you are staying?")</f>
        <v>How often, if ever, have you felt unsafe walking in the neighborhood where you are staying?</v>
      </c>
      <c r="H250" s="113" t="str">
        <f>IFERROR(__xludf.DUMMYFUNCTION("TRIM(REGEXREPLACE(D250,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250" s="113" t="str">
        <f>IFERROR(__xludf.DUMMYFUNCTION("TRIM(REGEXREPLACE(E250, ""[0-9]+[a-f]?\."", """"))"),"Sau nawa, idan ya faru a gareku, kuka ji kuna cikin hatsari yayin da kuke yawo a cikin unguwar da kuke zaune?")</f>
        <v>Sau nawa, idan ya faru a gareku, kuka ji kuna cikin hatsari yayin da kuke yawo a cikin unguwar da kuke zaune?</v>
      </c>
      <c r="J250" s="113" t="str">
        <f t="shared" si="49"/>
        <v>79. How often, if ever, have you felt unsafe walking in the neighborhood where you are staying?</v>
      </c>
      <c r="K250" s="113" t="str">
        <f t="shared" si="50"/>
        <v>79. Combien de fois, vous vous êtes-vous senti en danger en vous promenant dans le quartier où vous séjournez, si cela vous est jamais arrivé ?</v>
      </c>
      <c r="L250" s="113" t="str">
        <f t="shared" si="51"/>
        <v>79. Sau nawa, idan ya faru a gareku, kuka ji kuna cikin hatsari yayin da kuke yawo a cikin unguwar da kuke zaune?</v>
      </c>
    </row>
    <row r="251" hidden="1">
      <c r="A251" s="187"/>
      <c r="B251" s="188"/>
      <c r="C251" s="188"/>
      <c r="D251" s="188"/>
      <c r="E251" s="188"/>
      <c r="F251" s="110">
        <v>153.0</v>
      </c>
      <c r="G251" s="113" t="str">
        <f>IFERROR(__xludf.DUMMYFUNCTION("TRIM(REGEXREPLACE(C251, ""[0-9]+[a-f]?\."", """"))"),"")</f>
        <v/>
      </c>
      <c r="H251" s="113" t="str">
        <f>IFERROR(__xludf.DUMMYFUNCTION("TRIM(REGEXREPLACE(D251, ""[0-9]+[a-f]?\."", """"))"),"")</f>
        <v/>
      </c>
      <c r="I251" s="113" t="str">
        <f>IFERROR(__xludf.DUMMYFUNCTION("TRIM(REGEXREPLACE(E251, ""[0-9]+[a-f]?\."", """"))"),"")</f>
        <v/>
      </c>
      <c r="J251" s="113" t="s">
        <v>1183</v>
      </c>
      <c r="K251" s="113" t="s">
        <v>1184</v>
      </c>
      <c r="L251" s="113" t="s">
        <v>1185</v>
      </c>
    </row>
    <row r="252" hidden="1">
      <c r="A252" s="150" t="s">
        <v>161</v>
      </c>
      <c r="B252" s="82" t="s">
        <v>1187</v>
      </c>
      <c r="C252" s="82"/>
      <c r="D252" s="82"/>
      <c r="E252" s="82"/>
      <c r="F252" s="110">
        <v>154.0</v>
      </c>
      <c r="G252" s="113" t="str">
        <f>IFERROR(__xludf.DUMMYFUNCTION("TRIM(REGEXREPLACE(C252, ""[0-9]+[a-f]?\."", """"))"),"")</f>
        <v/>
      </c>
      <c r="H252" s="113" t="str">
        <f>IFERROR(__xludf.DUMMYFUNCTION("TRIM(REGEXREPLACE(D252, ""[0-9]+[a-f]?\."", """"))"),"")</f>
        <v/>
      </c>
      <c r="I252" s="113" t="str">
        <f>IFERROR(__xludf.DUMMYFUNCTION("TRIM(REGEXREPLACE(E252, ""[0-9]+[a-f]?\."", """"))"),"")</f>
        <v/>
      </c>
      <c r="J252" s="113" t="s">
        <v>1189</v>
      </c>
      <c r="K252" s="113" t="s">
        <v>1190</v>
      </c>
      <c r="L252" s="113" t="s">
        <v>1191</v>
      </c>
    </row>
    <row r="253">
      <c r="A253" s="114" t="s">
        <v>541</v>
      </c>
      <c r="B253" s="165" t="s">
        <v>1192</v>
      </c>
      <c r="C253" s="76" t="s">
        <v>1193</v>
      </c>
      <c r="D253" s="76" t="s">
        <v>1194</v>
      </c>
      <c r="E253" s="76" t="s">
        <v>1195</v>
      </c>
      <c r="F253" s="110">
        <v>80.0</v>
      </c>
      <c r="G253" s="113" t="str">
        <f>IFERROR(__xludf.DUMMYFUNCTION("TRIM(REGEXREPLACE(C253, ""[0-9]+[a-f]?\."", """"))"),"Have you experienced any of the following during ${period}?")</f>
        <v>Have you experienced any of the following during ${period}?</v>
      </c>
      <c r="H253" s="113" t="str">
        <f>IFERROR(__xludf.DUMMYFUNCTION("TRIM(REGEXREPLACE(D253, ""[0-9]+[a-f]?\."", """"))"),"Avez-vous vécu l'une des situations suivantes depuis le debut de ${period_french} ?")</f>
        <v>Avez-vous vécu l'une des situations suivantes depuis le debut de ${period_french} ?</v>
      </c>
      <c r="I253" s="113" t="str">
        <f>IFERROR(__xludf.DUMMYFUNCTION("TRIM(REGEXREPLACE(E253, ""[0-9]+[a-f]?\."", """"))"),"Ko kun taɓa fuskantar ɗayan waɗannan abubuwan a wannan wurin, lokacin ${period_hausa}?")</f>
        <v>Ko kun taɓa fuskantar ɗayan waɗannan abubuwan a wannan wurin, lokacin ${period_hausa}?</v>
      </c>
      <c r="J253" s="113" t="str">
        <f t="shared" ref="J253:J257" si="52">F253 &amp; ". " &amp;G253</f>
        <v>80. Have you experienced any of the following during ${period}?</v>
      </c>
      <c r="K253" s="113" t="str">
        <f t="shared" ref="K253:K257" si="53">F253 &amp; ". " &amp;H253</f>
        <v>80. Avez-vous vécu l'une des situations suivantes depuis le debut de ${period_french} ?</v>
      </c>
      <c r="L253" s="113" t="str">
        <f t="shared" ref="L253:L257" si="54">F253 &amp; ". " &amp;I253</f>
        <v>80. Ko kun taɓa fuskantar ɗayan waɗannan abubuwan a wannan wurin, lokacin ${period_hausa}?</v>
      </c>
    </row>
    <row r="254">
      <c r="A254" s="114" t="s">
        <v>541</v>
      </c>
      <c r="B254" s="165" t="s">
        <v>1203</v>
      </c>
      <c r="C254" s="76" t="s">
        <v>1204</v>
      </c>
      <c r="D254" s="76" t="s">
        <v>1205</v>
      </c>
      <c r="E254" s="76" t="s">
        <v>1206</v>
      </c>
      <c r="F254" s="110">
        <v>81.0</v>
      </c>
      <c r="G254" s="113" t="str">
        <f>IFERROR(__xludf.DUMMYFUNCTION("TRIM(REGEXREPLACE(C254, ""[0-9]+[a-f]?\."", """"))"),"Physical attack")</f>
        <v>Physical attack</v>
      </c>
      <c r="H254" s="113" t="str">
        <f>IFERROR(__xludf.DUMMYFUNCTION("TRIM(REGEXREPLACE(D254, ""[0-9]+[a-f]?\."", """"))"),"Attaque physique")</f>
        <v>Attaque physique</v>
      </c>
      <c r="I254" s="113" t="str">
        <f>IFERROR(__xludf.DUMMYFUNCTION("TRIM(REGEXREPLACE(E254, ""[0-9]+[a-f]?\."", """"))"),"harin jiki")</f>
        <v>harin jiki</v>
      </c>
      <c r="J254" s="113" t="str">
        <f t="shared" si="52"/>
        <v>81. Physical attack</v>
      </c>
      <c r="K254" s="113" t="str">
        <f t="shared" si="53"/>
        <v>81. Attaque physique</v>
      </c>
      <c r="L254" s="113" t="str">
        <f t="shared" si="54"/>
        <v>81. harin jiki</v>
      </c>
    </row>
    <row r="255">
      <c r="A255" s="114" t="s">
        <v>541</v>
      </c>
      <c r="B255" s="165" t="s">
        <v>1211</v>
      </c>
      <c r="C255" s="76" t="s">
        <v>1212</v>
      </c>
      <c r="D255" s="76" t="s">
        <v>1213</v>
      </c>
      <c r="E255" s="76" t="s">
        <v>1214</v>
      </c>
      <c r="F255" s="110">
        <v>82.0</v>
      </c>
      <c r="G255" s="113" t="str">
        <f>IFERROR(__xludf.DUMMYFUNCTION("TRIM(REGEXREPLACE(C255, ""[0-9]+[a-f]?\."", """"))"),"Threat of physical violence/attack")</f>
        <v>Threat of physical violence/attack</v>
      </c>
      <c r="H255" s="113" t="str">
        <f>IFERROR(__xludf.DUMMYFUNCTION("TRIM(REGEXREPLACE(D255, ""[0-9]+[a-f]?\."", """"))"),"Menace de violence physique/agression")</f>
        <v>Menace de violence physique/agression</v>
      </c>
      <c r="I255" s="113" t="str">
        <f>IFERROR(__xludf.DUMMYFUNCTION("TRIM(REGEXREPLACE(E255, ""[0-9]+[a-f]?\."", """"))"),"Barazanar ​​harin jiki")</f>
        <v>Barazanar ​​harin jiki</v>
      </c>
      <c r="J255" s="113" t="str">
        <f t="shared" si="52"/>
        <v>82. Threat of physical violence/attack</v>
      </c>
      <c r="K255" s="113" t="str">
        <f t="shared" si="53"/>
        <v>82. Menace de violence physique/agression</v>
      </c>
      <c r="L255" s="113" t="str">
        <f t="shared" si="54"/>
        <v>82. Barazanar ​​harin jiki</v>
      </c>
    </row>
    <row r="256">
      <c r="A256" s="114" t="s">
        <v>541</v>
      </c>
      <c r="B256" s="165" t="s">
        <v>1215</v>
      </c>
      <c r="C256" s="76" t="s">
        <v>1216</v>
      </c>
      <c r="D256" s="76" t="s">
        <v>1217</v>
      </c>
      <c r="E256" s="76" t="s">
        <v>1218</v>
      </c>
      <c r="F256" s="110">
        <v>83.0</v>
      </c>
      <c r="G256" s="113" t="str">
        <f>IFERROR(__xludf.DUMMYFUNCTION("TRIM(REGEXREPLACE(C256, ""[0-9]+[a-f]?\."", """"))"),"Theft of either money or property?")</f>
        <v>Theft of either money or property?</v>
      </c>
      <c r="H256" s="113" t="str">
        <f>IFERROR(__xludf.DUMMYFUNCTION("TRIM(REGEXREPLACE(D256, ""[0-9]+[a-f]?\."", """"))"),"Vol d'argent ou de propriété?")</f>
        <v>Vol d'argent ou de propriété?</v>
      </c>
      <c r="I256" s="113" t="str">
        <f>IFERROR(__xludf.DUMMYFUNCTION("TRIM(REGEXREPLACE(E256, ""[0-9]+[a-f]?\."", """"))"),"Satar kudi ko kaya?")</f>
        <v>Satar kudi ko kaya?</v>
      </c>
      <c r="J256" s="113" t="str">
        <f t="shared" si="52"/>
        <v>83. Theft of either money or property?</v>
      </c>
      <c r="K256" s="113" t="str">
        <f t="shared" si="53"/>
        <v>83. Vol d'argent ou de propriété?</v>
      </c>
      <c r="L256" s="113" t="str">
        <f t="shared" si="54"/>
        <v>83. Satar kudi ko kaya?</v>
      </c>
    </row>
    <row r="257">
      <c r="A257" s="114" t="s">
        <v>541</v>
      </c>
      <c r="B257" s="165" t="s">
        <v>1220</v>
      </c>
      <c r="C257" s="76" t="s">
        <v>1221</v>
      </c>
      <c r="D257" s="76" t="s">
        <v>1222</v>
      </c>
      <c r="E257" s="76" t="s">
        <v>1223</v>
      </c>
      <c r="F257" s="110">
        <v>84.0</v>
      </c>
      <c r="G257" s="113" t="str">
        <f>IFERROR(__xludf.DUMMYFUNCTION("TRIM(REGEXREPLACE(C257, ""[0-9]+[a-f]?\."", """"))"),"Detention or arrest by state security forces?")</f>
        <v>Detention or arrest by state security forces?</v>
      </c>
      <c r="H257" s="113" t="str">
        <f>IFERROR(__xludf.DUMMYFUNCTION("TRIM(REGEXREPLACE(D257, ""[0-9]+[a-f]?\."", """"))"),"Détention ou arrestation par les forces de sécurité de l'État ?")</f>
        <v>Détention ou arrestation par les forces de sécurité de l'État ?</v>
      </c>
      <c r="I257" s="113" t="str">
        <f>IFERROR(__xludf.DUMMYFUNCTION("TRIM(REGEXREPLACE(E257, ""[0-9]+[a-f]?\."", """"))"),"Kaso ko kamu daga jami'an tsaron gwamnati?")</f>
        <v>Kaso ko kamu daga jami'an tsaron gwamnati?</v>
      </c>
      <c r="J257" s="113" t="str">
        <f t="shared" si="52"/>
        <v>84. Detention or arrest by state security forces?</v>
      </c>
      <c r="K257" s="113" t="str">
        <f t="shared" si="53"/>
        <v>84. Détention ou arrestation par les forces de sécurité de l'État ?</v>
      </c>
      <c r="L257" s="113" t="str">
        <f t="shared" si="54"/>
        <v>84. Kaso ko kamu daga jami'an tsaron gwamnati?</v>
      </c>
    </row>
    <row r="258" hidden="1">
      <c r="A258" s="150" t="s">
        <v>343</v>
      </c>
      <c r="B258" s="83" t="s">
        <v>1187</v>
      </c>
      <c r="C258" s="83"/>
      <c r="D258" s="83"/>
      <c r="E258" s="83"/>
      <c r="F258" s="110">
        <v>160.0</v>
      </c>
      <c r="G258" s="113" t="str">
        <f>IFERROR(__xludf.DUMMYFUNCTION("TRIM(REGEXREPLACE(C258, ""[0-9]+[a-f]?\."", """"))"),"")</f>
        <v/>
      </c>
      <c r="H258" s="113" t="str">
        <f>IFERROR(__xludf.DUMMYFUNCTION("TRIM(REGEXREPLACE(D258, ""[0-9]+[a-f]?\."", """"))"),"")</f>
        <v/>
      </c>
      <c r="I258" s="113" t="str">
        <f>IFERROR(__xludf.DUMMYFUNCTION("TRIM(REGEXREPLACE(E258, ""[0-9]+[a-f]?\."", """"))"),"")</f>
        <v/>
      </c>
      <c r="J258" s="113" t="s">
        <v>1227</v>
      </c>
      <c r="K258" s="113" t="s">
        <v>1228</v>
      </c>
      <c r="L258" s="113" t="s">
        <v>1229</v>
      </c>
    </row>
    <row r="259" hidden="1">
      <c r="A259" s="150" t="s">
        <v>161</v>
      </c>
      <c r="B259" s="82" t="s">
        <v>1230</v>
      </c>
      <c r="C259" s="82"/>
      <c r="D259" s="82"/>
      <c r="E259" s="82"/>
      <c r="F259" s="110">
        <v>161.0</v>
      </c>
      <c r="G259" s="113" t="str">
        <f>IFERROR(__xludf.DUMMYFUNCTION("TRIM(REGEXREPLACE(C259, ""[0-9]+[a-f]?\."", """"))"),"")</f>
        <v/>
      </c>
      <c r="H259" s="113" t="str">
        <f>IFERROR(__xludf.DUMMYFUNCTION("TRIM(REGEXREPLACE(D259, ""[0-9]+[a-f]?\."", """"))"),"")</f>
        <v/>
      </c>
      <c r="I259" s="113" t="str">
        <f>IFERROR(__xludf.DUMMYFUNCTION("TRIM(REGEXREPLACE(E259, ""[0-9]+[a-f]?\."", """"))"),"")</f>
        <v/>
      </c>
      <c r="J259" s="113" t="s">
        <v>1232</v>
      </c>
      <c r="K259" s="113" t="s">
        <v>1233</v>
      </c>
      <c r="L259" s="113" t="s">
        <v>1234</v>
      </c>
    </row>
    <row r="260">
      <c r="A260" s="152" t="s">
        <v>44</v>
      </c>
      <c r="B260" s="77" t="s">
        <v>1236</v>
      </c>
      <c r="C260" s="76" t="s">
        <v>1237</v>
      </c>
      <c r="D260" s="76" t="s">
        <v>1238</v>
      </c>
      <c r="E260" s="76" t="s">
        <v>1239</v>
      </c>
      <c r="F260" s="110">
        <v>85.0</v>
      </c>
      <c r="G260" s="113" t="str">
        <f>IFERROR(__xludf.DUMMYFUNCTION("TRIM(REGEXREPLACE(C260, ""[0-9]+[a-f]?\."", """"))"),"Now I would like to ask you to tell me more about your specific experience with:")</f>
        <v>Now I would like to ask you to tell me more about your specific experience with:</v>
      </c>
      <c r="H260" s="113" t="str">
        <f>IFERROR(__xludf.DUMMYFUNCTION("TRIM(REGEXREPLACE(D260, ""[0-9]+[a-f]?\."", """"))"),"J'aimerais maintenant vous demander de m'en dire un peu plus sur votre expérience spécifique avec :")</f>
        <v>J'aimerais maintenant vous demander de m'en dire un peu plus sur votre expérience spécifique avec :</v>
      </c>
      <c r="I260" s="113" t="str">
        <f>IFERROR(__xludf.DUMMYFUNCTION("TRIM(REGEXREPLACE(E260, ""[0-9]+[a-f]?\."", """"))"),"Yanzu ina so in tambaye ku ƙarin bayani game da abin da ka fuskanta masamman game da:")</f>
        <v>Yanzu ina so in tambaye ku ƙarin bayani game da abin da ka fuskanta masamman game da:</v>
      </c>
      <c r="J260" s="113" t="str">
        <f t="shared" ref="J260:J264" si="55">F260 &amp; ". " &amp;G260</f>
        <v>85. Now I would like to ask you to tell me more about your specific experience with:</v>
      </c>
      <c r="K260" s="113" t="str">
        <f t="shared" ref="K260:K264" si="56">F260 &amp; ". " &amp;H260</f>
        <v>85. J'aimerais maintenant vous demander de m'en dire un peu plus sur votre expérience spécifique avec :</v>
      </c>
      <c r="L260" s="113" t="str">
        <f t="shared" ref="L260:L264" si="57">F260 &amp; ". " &amp;I260</f>
        <v>85. Yanzu ina so in tambaye ku ƙarin bayani game da abin da ka fuskanta masamman game da:</v>
      </c>
    </row>
    <row r="261">
      <c r="A261" s="162" t="s">
        <v>217</v>
      </c>
      <c r="B261" s="166" t="s">
        <v>1244</v>
      </c>
      <c r="C261" s="76" t="s">
        <v>1246</v>
      </c>
      <c r="D261" s="76" t="s">
        <v>1247</v>
      </c>
      <c r="E261" s="76" t="s">
        <v>1248</v>
      </c>
      <c r="F261" s="110">
        <v>86.0</v>
      </c>
      <c r="G261" s="113" t="str">
        <f>IFERROR(__xludf.DUMMYFUNCTION("TRIM(REGEXREPLACE(C261, ""[0-9]+[a-f]?\."", """"))"),"Physical attack")</f>
        <v>Physical attack</v>
      </c>
      <c r="H261" s="113" t="str">
        <f>IFERROR(__xludf.DUMMYFUNCTION("TRIM(REGEXREPLACE(D261, ""[0-9]+[a-f]?\."", """"))"),"Attaque physique")</f>
        <v>Attaque physique</v>
      </c>
      <c r="I261" s="113" t="str">
        <f>IFERROR(__xludf.DUMMYFUNCTION("TRIM(REGEXREPLACE(E261, ""[0-9]+[a-f]?\."", """"))"),"harin jiki")</f>
        <v>harin jiki</v>
      </c>
      <c r="J261" s="113" t="str">
        <f t="shared" si="55"/>
        <v>86. Physical attack</v>
      </c>
      <c r="K261" s="113" t="str">
        <f t="shared" si="56"/>
        <v>86. Attaque physique</v>
      </c>
      <c r="L261" s="113" t="str">
        <f t="shared" si="57"/>
        <v>86. harin jiki</v>
      </c>
    </row>
    <row r="262">
      <c r="A262" s="162" t="s">
        <v>217</v>
      </c>
      <c r="B262" s="166" t="s">
        <v>1253</v>
      </c>
      <c r="C262" s="76" t="s">
        <v>1254</v>
      </c>
      <c r="D262" s="76" t="s">
        <v>1255</v>
      </c>
      <c r="E262" s="76" t="s">
        <v>1256</v>
      </c>
      <c r="F262" s="110">
        <v>87.0</v>
      </c>
      <c r="G262" s="113" t="str">
        <f>IFERROR(__xludf.DUMMYFUNCTION("TRIM(REGEXREPLACE(C262, ""[0-9]+[a-f]?\."", """"))"),"Threat of physical violence/attack")</f>
        <v>Threat of physical violence/attack</v>
      </c>
      <c r="H262" s="113" t="str">
        <f>IFERROR(__xludf.DUMMYFUNCTION("TRIM(REGEXREPLACE(D262, ""[0-9]+[a-f]?\."", """"))"),"Menace de violence physique/agression")</f>
        <v>Menace de violence physique/agression</v>
      </c>
      <c r="I262" s="113" t="str">
        <f>IFERROR(__xludf.DUMMYFUNCTION("TRIM(REGEXREPLACE(E262, ""[0-9]+[a-f]?\."", """"))"),"Barazanar ​​harin jiki")</f>
        <v>Barazanar ​​harin jiki</v>
      </c>
      <c r="J262" s="113" t="str">
        <f t="shared" si="55"/>
        <v>87. Threat of physical violence/attack</v>
      </c>
      <c r="K262" s="113" t="str">
        <f t="shared" si="56"/>
        <v>87. Menace de violence physique/agression</v>
      </c>
      <c r="L262" s="113" t="str">
        <f t="shared" si="57"/>
        <v>87. Barazanar ​​harin jiki</v>
      </c>
    </row>
    <row r="263">
      <c r="A263" s="162" t="s">
        <v>217</v>
      </c>
      <c r="B263" s="166" t="s">
        <v>1261</v>
      </c>
      <c r="C263" s="76" t="s">
        <v>1262</v>
      </c>
      <c r="D263" s="76" t="s">
        <v>1263</v>
      </c>
      <c r="E263" s="76" t="s">
        <v>1264</v>
      </c>
      <c r="F263" s="110">
        <v>88.0</v>
      </c>
      <c r="G263" s="113" t="str">
        <f>IFERROR(__xludf.DUMMYFUNCTION("TRIM(REGEXREPLACE(C263, ""[0-9]+[a-f]?\."", """"))"),"Theft of either money or property?")</f>
        <v>Theft of either money or property?</v>
      </c>
      <c r="H263" s="113" t="str">
        <f>IFERROR(__xludf.DUMMYFUNCTION("TRIM(REGEXREPLACE(D263, ""[0-9]+[a-f]?\."", """"))"),"Vol d'argent ou de propriété?")</f>
        <v>Vol d'argent ou de propriété?</v>
      </c>
      <c r="I263" s="113" t="str">
        <f>IFERROR(__xludf.DUMMYFUNCTION("TRIM(REGEXREPLACE(E263, ""[0-9]+[a-f]?\."", """"))"),"Satar kudi ko dukiya?")</f>
        <v>Satar kudi ko dukiya?</v>
      </c>
      <c r="J263" s="113" t="str">
        <f t="shared" si="55"/>
        <v>88. Theft of either money or property?</v>
      </c>
      <c r="K263" s="113" t="str">
        <f t="shared" si="56"/>
        <v>88. Vol d'argent ou de propriété?</v>
      </c>
      <c r="L263" s="113" t="str">
        <f t="shared" si="57"/>
        <v>88. Satar kudi ko dukiya?</v>
      </c>
    </row>
    <row r="264">
      <c r="A264" s="162" t="s">
        <v>217</v>
      </c>
      <c r="B264" s="166" t="s">
        <v>1267</v>
      </c>
      <c r="C264" s="76" t="s">
        <v>1269</v>
      </c>
      <c r="D264" s="76" t="s">
        <v>1271</v>
      </c>
      <c r="E264" s="76" t="s">
        <v>1272</v>
      </c>
      <c r="F264" s="110">
        <v>89.0</v>
      </c>
      <c r="G264" s="113" t="str">
        <f>IFERROR(__xludf.DUMMYFUNCTION("TRIM(REGEXREPLACE(C264, ""[0-9]+[a-f]?\."", """"))"),"Detention or arrest by state security forces?")</f>
        <v>Detention or arrest by state security forces?</v>
      </c>
      <c r="H264" s="113" t="str">
        <f>IFERROR(__xludf.DUMMYFUNCTION("TRIM(REGEXREPLACE(D264, ""[0-9]+[a-f]?\."", """"))"),"Détention ou arrestation par les forces de sécurité de l'État ?")</f>
        <v>Détention ou arrestation par les forces de sécurité de l'État ?</v>
      </c>
      <c r="I264" s="113" t="str">
        <f>IFERROR(__xludf.DUMMYFUNCTION("TRIM(REGEXREPLACE(E264, ""[0-9]+[a-f]?\."", """"))"),"Kaso ko kamu daga jami'an tsaron gwamnati?")</f>
        <v>Kaso ko kamu daga jami'an tsaron gwamnati?</v>
      </c>
      <c r="J264" s="113" t="str">
        <f t="shared" si="55"/>
        <v>89. Detention or arrest by state security forces?</v>
      </c>
      <c r="K264" s="113" t="str">
        <f t="shared" si="56"/>
        <v>89. Détention ou arrestation par les forces de sécurité de l'État ?</v>
      </c>
      <c r="L264" s="113" t="str">
        <f t="shared" si="57"/>
        <v>89. Kaso ko kamu daga jami'an tsaron gwamnati?</v>
      </c>
    </row>
    <row r="265" hidden="1">
      <c r="A265" s="150" t="s">
        <v>343</v>
      </c>
      <c r="B265" s="83" t="s">
        <v>1230</v>
      </c>
      <c r="C265" s="83"/>
      <c r="D265" s="83"/>
      <c r="E265" s="83"/>
      <c r="F265" s="110">
        <v>167.0</v>
      </c>
      <c r="G265" s="113" t="str">
        <f>IFERROR(__xludf.DUMMYFUNCTION("TRIM(REGEXREPLACE(C265, ""[0-9]+[a-f]?\."", """"))"),"")</f>
        <v/>
      </c>
      <c r="H265" s="113" t="str">
        <f>IFERROR(__xludf.DUMMYFUNCTION("TRIM(REGEXREPLACE(D265, ""[0-9]+[a-f]?\."", """"))"),"")</f>
        <v/>
      </c>
      <c r="I265" s="113" t="str">
        <f>IFERROR(__xludf.DUMMYFUNCTION("TRIM(REGEXREPLACE(E265, ""[0-9]+[a-f]?\."", """"))"),"")</f>
        <v/>
      </c>
      <c r="J265" s="113" t="s">
        <v>1279</v>
      </c>
      <c r="K265" s="113" t="s">
        <v>1281</v>
      </c>
      <c r="L265" s="113" t="s">
        <v>1282</v>
      </c>
    </row>
    <row r="266" hidden="1"/>
    <row r="267" hidden="1">
      <c r="A267" s="150"/>
      <c r="B267" s="82"/>
      <c r="C267" s="82"/>
      <c r="D267" s="83"/>
      <c r="E267" s="83"/>
      <c r="F267" s="110">
        <v>168.0</v>
      </c>
      <c r="G267" s="113" t="str">
        <f>IFERROR(__xludf.DUMMYFUNCTION("TRIM(REGEXREPLACE(C267, ""[0-9]+[a-f]?\."", """"))"),"")</f>
        <v/>
      </c>
      <c r="H267" s="113" t="str">
        <f>IFERROR(__xludf.DUMMYFUNCTION("TRIM(REGEXREPLACE(D267, ""[0-9]+[a-f]?\."", """"))"),"")</f>
        <v/>
      </c>
      <c r="I267" s="113" t="str">
        <f>IFERROR(__xludf.DUMMYFUNCTION("TRIM(REGEXREPLACE(E267, ""[0-9]+[a-f]?\."", """"))"),"")</f>
        <v/>
      </c>
      <c r="J267" s="113" t="s">
        <v>1285</v>
      </c>
      <c r="K267" s="113" t="s">
        <v>1286</v>
      </c>
      <c r="L267" s="113" t="s">
        <v>1287</v>
      </c>
    </row>
    <row r="268">
      <c r="A268" s="152" t="s">
        <v>44</v>
      </c>
      <c r="B268" s="77" t="s">
        <v>1289</v>
      </c>
      <c r="C268" s="76" t="s">
        <v>1290</v>
      </c>
      <c r="D268" s="76" t="s">
        <v>1291</v>
      </c>
      <c r="E268" s="76" t="s">
        <v>1292</v>
      </c>
      <c r="F268" s="110">
        <v>90.0</v>
      </c>
      <c r="G268" s="113" t="str">
        <f>IFERROR(__xludf.DUMMYFUNCTION("TRIM(REGEXREPLACE(C268, ""[0-9]+[a-f]?\."", """"))"),"I will now ask you about meals people in your household have consumed in the past 7 days.")</f>
        <v>I will now ask you about meals people in your household have consumed in the past 7 days.</v>
      </c>
      <c r="H268" s="113" t="str">
        <f>IFERROR(__xludf.DUMMYFUNCTION("TRIM(REGEXREPLACE(D268,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68" s="113" t="str">
        <f>IFERROR(__xludf.DUMMYFUNCTION("TRIM(REGEXREPLACE(E268, ""[0-9]+[a-f]?\."", """"))"),"Yanzu zan tambaye ku bisa abincin da mutanen gidanku suka ci a cikin kwanaki 7 da suka wuce.")</f>
        <v>Yanzu zan tambaye ku bisa abincin da mutanen gidanku suka ci a cikin kwanaki 7 da suka wuce.</v>
      </c>
      <c r="J268" s="113" t="str">
        <f t="shared" ref="J268:J271" si="58">F268 &amp; ". " &amp;G268</f>
        <v>90. I will now ask you about meals people in your household have consumed in the past 7 days.</v>
      </c>
      <c r="K268" s="113" t="str">
        <f t="shared" ref="K268:K271" si="59">F268 &amp; ". " &amp;H268</f>
        <v>90. Je vais maintenant vous poser des questions sur les repas que les membres de votre ménage ont consommé au cours des 7 derniers jours.</v>
      </c>
      <c r="L268" s="113" t="str">
        <f t="shared" ref="L268:L271" si="60">F268 &amp; ". " &amp;I268</f>
        <v>90. Yanzu zan tambaye ku bisa abincin da mutanen gidanku suka ci a cikin kwanaki 7 da suka wuce.</v>
      </c>
    </row>
    <row r="269">
      <c r="A269" s="114" t="s">
        <v>680</v>
      </c>
      <c r="B269" s="165" t="s">
        <v>1297</v>
      </c>
      <c r="C269" s="76" t="s">
        <v>1298</v>
      </c>
      <c r="D269" s="76" t="s">
        <v>1299</v>
      </c>
      <c r="E269" s="76" t="s">
        <v>1300</v>
      </c>
      <c r="F269" s="110">
        <v>91.0</v>
      </c>
      <c r="G269" s="113" t="str">
        <f>IFERROR(__xludf.DUMMYFUNCTION("TRIM(REGEXREPLACE(C269, ""[0-9]+[a-f]?\."", """"))"),"In the last 7 days, have adults gone a whole day without meals?")</f>
        <v>In the last 7 days, have adults gone a whole day without meals?</v>
      </c>
      <c r="H269" s="113" t="str">
        <f>IFERROR(__xludf.DUMMYFUNCTION("TRIM(REGEXREPLACE(D269, ""[0-9]+[a-f]?\."", """"))"),"Au cours des 7 derniers jours, des adultes sont-ils restés une journée entière sans manger de repas ?")</f>
        <v>Au cours des 7 derniers jours, des adultes sont-ils restés une journée entière sans manger de repas ?</v>
      </c>
      <c r="I269" s="113" t="str">
        <f>IFERROR(__xludf.DUMMYFUNCTION("TRIM(REGEXREPLACE(E269, ""[0-9]+[a-f]?\."", """"))"),"A cikin kwanaki 7 da suka wuce, ko manya gidanku sun zauna tsawon wuni guda basu ci abinci ba?")</f>
        <v>A cikin kwanaki 7 da suka wuce, ko manya gidanku sun zauna tsawon wuni guda basu ci abinci ba?</v>
      </c>
      <c r="J269" s="113" t="str">
        <f t="shared" si="58"/>
        <v>91. In the last 7 days, have adults gone a whole day without meals?</v>
      </c>
      <c r="K269" s="113" t="str">
        <f t="shared" si="59"/>
        <v>91. Au cours des 7 derniers jours, des adultes sont-ils restés une journée entière sans manger de repas ?</v>
      </c>
      <c r="L269" s="113" t="str">
        <f t="shared" si="60"/>
        <v>91. A cikin kwanaki 7 da suka wuce, ko manya gidanku sun zauna tsawon wuni guda basu ci abinci ba?</v>
      </c>
    </row>
    <row r="270">
      <c r="A270" s="170" t="s">
        <v>238</v>
      </c>
      <c r="B270" s="171" t="s">
        <v>1312</v>
      </c>
      <c r="C270" s="76" t="s">
        <v>771</v>
      </c>
      <c r="D270" s="76" t="s">
        <v>772</v>
      </c>
      <c r="E270" s="76" t="s">
        <v>785</v>
      </c>
      <c r="F270" s="110">
        <v>92.0</v>
      </c>
      <c r="G270" s="113" t="str">
        <f>IFERROR(__xludf.DUMMYFUNCTION("TRIM(REGEXREPLACE(C270, ""[0-9]+[a-f]?\."", """"))"),"How many days?")</f>
        <v>How many days?</v>
      </c>
      <c r="H270" s="113" t="str">
        <f>IFERROR(__xludf.DUMMYFUNCTION("TRIM(REGEXREPLACE(D270, ""[0-9]+[a-f]?\."", """"))"),"Pendant combien de jours?")</f>
        <v>Pendant combien de jours?</v>
      </c>
      <c r="I270" s="113" t="str">
        <f>IFERROR(__xludf.DUMMYFUNCTION("TRIM(REGEXREPLACE(E270, ""[0-9]+[a-f]?\."", """"))"),"151a Tsawon kwanaki nawa?")</f>
        <v>151a Tsawon kwanaki nawa?</v>
      </c>
      <c r="J270" s="113" t="str">
        <f t="shared" si="58"/>
        <v>92. How many days?</v>
      </c>
      <c r="K270" s="113" t="str">
        <f t="shared" si="59"/>
        <v>92. Pendant combien de jours?</v>
      </c>
      <c r="L270" s="113" t="str">
        <f t="shared" si="60"/>
        <v>92. 151a Tsawon kwanaki nawa?</v>
      </c>
    </row>
    <row r="271">
      <c r="A271" s="114" t="s">
        <v>680</v>
      </c>
      <c r="B271" s="165" t="s">
        <v>1313</v>
      </c>
      <c r="C271" s="76" t="s">
        <v>787</v>
      </c>
      <c r="D271" s="76" t="s">
        <v>788</v>
      </c>
      <c r="E271" s="76" t="s">
        <v>789</v>
      </c>
      <c r="F271" s="110">
        <v>93.0</v>
      </c>
      <c r="G271" s="113" t="str">
        <f>IFERROR(__xludf.DUMMYFUNCTION("TRIM(REGEXREPLACE(C271, ""[0-9]+[a-f]?\."", """"))"),"In the last 7 days, have adults cut the size of meals or skipped meals?")</f>
        <v>In the last 7 days, have adults cut the size of meals or skipped meals?</v>
      </c>
      <c r="H271" s="113" t="str">
        <f>IFERROR(__xludf.DUMMYFUNCTION("TRIM(REGEXREPLACE(D271, ""[0-9]+[a-f]?\."", """"))"),"Au cours des 7 derniers jours, les adultes ont-ils réduit la taille de leur repas ou les ont-ils sauté?")</f>
        <v>Au cours des 7 derniers jours, les adultes ont-ils réduit la taille de leur repas ou les ont-ils sauté?</v>
      </c>
      <c r="I271" s="113" t="str">
        <f>IFERROR(__xludf.DUMMYFUNCTION("TRIM(REGEXREPLACE(E271, ""[0-9]+[a-f]?\."", """"))"),"A cikin kwanaki 7 na ƙarshe, ko manyan gidanku sun rage yawan abincin da suka saba ci ko sun tsallake shi?")</f>
        <v>A cikin kwanaki 7 na ƙarshe, ko manyan gidanku sun rage yawan abincin da suka saba ci ko sun tsallake shi?</v>
      </c>
      <c r="J271" s="113" t="str">
        <f t="shared" si="58"/>
        <v>93. In the last 7 days, have adults cut the size of meals or skipped meals?</v>
      </c>
      <c r="K271" s="113" t="str">
        <f t="shared" si="59"/>
        <v>93. Au cours des 7 derniers jours, les adultes ont-ils réduit la taille de leur repas ou les ont-ils sauté?</v>
      </c>
      <c r="L271" s="113" t="str">
        <f t="shared" si="60"/>
        <v>93. A cikin kwanaki 7 na ƙarshe, ko manyan gidanku sun rage yawan abincin da suka saba ci ko sun tsallake shi?</v>
      </c>
    </row>
    <row r="272" hidden="1">
      <c r="B272" s="119"/>
      <c r="C272" s="119"/>
      <c r="D272" s="119"/>
      <c r="E272" s="119"/>
      <c r="F272" s="110">
        <v>174.0</v>
      </c>
      <c r="G272" s="113" t="str">
        <f>IFERROR(__xludf.DUMMYFUNCTION("TRIM(REGEXREPLACE(C272, ""[0-9]+[a-f]?\."", """"))"),"")</f>
        <v/>
      </c>
      <c r="H272" s="113" t="str">
        <f>IFERROR(__xludf.DUMMYFUNCTION("TRIM(REGEXREPLACE(D272, ""[0-9]+[a-f]?\."", """"))"),"")</f>
        <v/>
      </c>
      <c r="I272" s="113" t="str">
        <f>IFERROR(__xludf.DUMMYFUNCTION("TRIM(REGEXREPLACE(E272, ""[0-9]+[a-f]?\."", """"))"),"")</f>
        <v/>
      </c>
      <c r="J272" s="113" t="s">
        <v>1318</v>
      </c>
      <c r="K272" s="113" t="s">
        <v>1319</v>
      </c>
      <c r="L272" s="113" t="s">
        <v>1320</v>
      </c>
    </row>
    <row r="273">
      <c r="A273" s="170" t="s">
        <v>238</v>
      </c>
      <c r="B273" s="171" t="s">
        <v>1321</v>
      </c>
      <c r="C273" s="76" t="s">
        <v>791</v>
      </c>
      <c r="D273" s="76" t="s">
        <v>793</v>
      </c>
      <c r="E273" s="76" t="s">
        <v>1322</v>
      </c>
      <c r="F273" s="110">
        <v>94.0</v>
      </c>
      <c r="G273" s="113" t="str">
        <f>IFERROR(__xludf.DUMMYFUNCTION("TRIM(REGEXREPLACE(C273, ""[0-9]+[a-f]?\."", """"))"),"How many days?")</f>
        <v>How many days?</v>
      </c>
      <c r="H273" s="113" t="str">
        <f>IFERROR(__xludf.DUMMYFUNCTION("TRIM(REGEXREPLACE(D273, ""[0-9]+[a-f]?\."", """"))"),"Pendant combien de jours?")</f>
        <v>Pendant combien de jours?</v>
      </c>
      <c r="I273" s="113" t="str">
        <f>IFERROR(__xludf.DUMMYFUNCTION("TRIM(REGEXREPLACE(E273, ""[0-9]+[a-f]?\."", """"))"),"Tsawon kwana nawa?")</f>
        <v>Tsawon kwana nawa?</v>
      </c>
      <c r="J273" s="113" t="str">
        <f t="shared" ref="J273:J274" si="61">F273 &amp; ". " &amp;G273</f>
        <v>94. How many days?</v>
      </c>
      <c r="K273" s="113" t="str">
        <f t="shared" ref="K273:K274" si="62">F273 &amp; ". " &amp;H273</f>
        <v>94. Pendant combien de jours?</v>
      </c>
      <c r="L273" s="113" t="str">
        <f t="shared" ref="L273:L274" si="63">F273 &amp; ". " &amp;I273</f>
        <v>94. Tsawon kwana nawa?</v>
      </c>
    </row>
    <row r="274">
      <c r="A274" s="170" t="s">
        <v>238</v>
      </c>
      <c r="B274" s="171" t="s">
        <v>1328</v>
      </c>
      <c r="C274" s="76" t="s">
        <v>1331</v>
      </c>
      <c r="D274" s="76" t="s">
        <v>1333</v>
      </c>
      <c r="E274" s="76" t="s">
        <v>1335</v>
      </c>
      <c r="F274" s="110">
        <v>95.0</v>
      </c>
      <c r="G274" s="113" t="str">
        <f>IFERROR(__xludf.DUMMYFUNCTION("TRIM(REGEXREPLACE(C274, ""[0-9]+[a-f]?\."", """"))"),"In the past week how many days have adults in your household consumed animal protein (including fish, meat, poultry)?")</f>
        <v>In the past week how many days have adults in your household consumed animal protein (including fish, meat, poultry)?</v>
      </c>
      <c r="H274" s="113" t="str">
        <f>IFERROR(__xludf.DUMMYFUNCTION("TRIM(REGEXREPLACE(D274,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74" s="113" t="str">
        <f>IFERROR(__xludf.DUMMYFUNCTION("TRIM(REGEXREPLACE(E274, ""[0-9]+[a-f]?\."", """"))"),"A cikin kwanaki 7 da suka wuce sau nawa manyan gidanku suka ci abinci masu gina jiki kamar su kifi ko nama ko kaji?")</f>
        <v>A cikin kwanaki 7 da suka wuce sau nawa manyan gidanku suka ci abinci masu gina jiki kamar su kifi ko nama ko kaji?</v>
      </c>
      <c r="J274" s="113" t="str">
        <f t="shared" si="61"/>
        <v>95. In the past week how many days have adults in your household consumed animal protein (including fish, meat, poultry)?</v>
      </c>
      <c r="K274" s="113" t="str">
        <f t="shared" si="62"/>
        <v>95. Au cours des 7 derniers jours, combien de fois les adultes de votre ménage ont-ils consommé des protéines animales (y compris poisson, viande, volaille) ?</v>
      </c>
      <c r="L274" s="113" t="str">
        <f t="shared" si="63"/>
        <v>95. A cikin kwanaki 7 da suka wuce sau nawa manyan gidanku suka ci abinci masu gina jiki kamar su kifi ko nama ko kaji?</v>
      </c>
    </row>
    <row r="275" hidden="1">
      <c r="B275" s="119"/>
      <c r="C275" s="119"/>
      <c r="D275" s="119"/>
      <c r="E275" s="119"/>
      <c r="F275" s="110">
        <v>174.0</v>
      </c>
      <c r="G275" s="113" t="str">
        <f>IFERROR(__xludf.DUMMYFUNCTION("TRIM(REGEXREPLACE(C275, ""[0-9]+[a-f]?\."", """"))"),"")</f>
        <v/>
      </c>
      <c r="H275" s="113" t="str">
        <f>IFERROR(__xludf.DUMMYFUNCTION("TRIM(REGEXREPLACE(D275, ""[0-9]+[a-f]?\."", """"))"),"")</f>
        <v/>
      </c>
      <c r="I275" s="113" t="str">
        <f>IFERROR(__xludf.DUMMYFUNCTION("TRIM(REGEXREPLACE(E275, ""[0-9]+[a-f]?\."", """"))"),"")</f>
        <v/>
      </c>
    </row>
    <row r="276" hidden="1">
      <c r="B276" s="119"/>
      <c r="C276" s="119"/>
      <c r="D276" s="119"/>
      <c r="E276" s="119"/>
      <c r="F276" s="110">
        <v>175.0</v>
      </c>
      <c r="G276" s="113" t="str">
        <f>IFERROR(__xludf.DUMMYFUNCTION("TRIM(REGEXREPLACE(C276, ""[0-9]+[a-f]?\."", """"))"),"")</f>
        <v/>
      </c>
      <c r="H276" s="113" t="str">
        <f>IFERROR(__xludf.DUMMYFUNCTION("TRIM(REGEXREPLACE(D276, ""[0-9]+[a-f]?\."", """"))"),"")</f>
        <v/>
      </c>
      <c r="I276" s="113" t="str">
        <f>IFERROR(__xludf.DUMMYFUNCTION("TRIM(REGEXREPLACE(E276, ""[0-9]+[a-f]?\."", """"))"),"")</f>
        <v/>
      </c>
    </row>
    <row r="277" hidden="1">
      <c r="B277" s="119"/>
      <c r="C277" s="119"/>
      <c r="D277" s="119"/>
      <c r="E277" s="119"/>
      <c r="F277" s="110">
        <v>176.0</v>
      </c>
      <c r="G277" s="113" t="str">
        <f>IFERROR(__xludf.DUMMYFUNCTION("TRIM(REGEXREPLACE(C277, ""[0-9]+[a-f]?\."", """"))"),"")</f>
        <v/>
      </c>
      <c r="H277" s="113" t="str">
        <f>IFERROR(__xludf.DUMMYFUNCTION("TRIM(REGEXREPLACE(D277, ""[0-9]+[a-f]?\."", """"))"),"")</f>
        <v/>
      </c>
      <c r="I277" s="113" t="str">
        <f>IFERROR(__xludf.DUMMYFUNCTION("TRIM(REGEXREPLACE(E277, ""[0-9]+[a-f]?\."", """"))"),"")</f>
        <v/>
      </c>
    </row>
    <row r="278" hidden="1">
      <c r="B278" s="119"/>
      <c r="C278" s="119"/>
      <c r="D278" s="119"/>
      <c r="E278" s="119"/>
      <c r="F278" s="110">
        <v>177.0</v>
      </c>
      <c r="G278" s="113" t="str">
        <f>IFERROR(__xludf.DUMMYFUNCTION("TRIM(REGEXREPLACE(C278, ""[0-9]+[a-f]?\."", """"))"),"")</f>
        <v/>
      </c>
      <c r="H278" s="113" t="str">
        <f>IFERROR(__xludf.DUMMYFUNCTION("TRIM(REGEXREPLACE(D278, ""[0-9]+[a-f]?\."", """"))"),"")</f>
        <v/>
      </c>
      <c r="I278" s="113" t="str">
        <f>IFERROR(__xludf.DUMMYFUNCTION("TRIM(REGEXREPLACE(E278, ""[0-9]+[a-f]?\."", """"))"),"")</f>
        <v/>
      </c>
    </row>
    <row r="279">
      <c r="A279" s="114" t="s">
        <v>680</v>
      </c>
      <c r="B279" s="165" t="s">
        <v>1351</v>
      </c>
      <c r="C279" s="76" t="s">
        <v>1353</v>
      </c>
      <c r="D279" s="76" t="s">
        <v>1354</v>
      </c>
      <c r="E279" s="76" t="s">
        <v>1356</v>
      </c>
      <c r="F279" s="110">
        <v>96.0</v>
      </c>
      <c r="G279" s="113" t="str">
        <f>IFERROR(__xludf.DUMMYFUNCTION("TRIM(REGEXREPLACE(C279, ""[0-9]+[a-f]?\."", """"))"),"In the last 7 days, have children (&lt;14) gone a whole day without meals?")</f>
        <v>In the last 7 days, have children (&lt;14) gone a whole day without meals?</v>
      </c>
      <c r="H279" s="113" t="str">
        <f>IFERROR(__xludf.DUMMYFUNCTION("TRIM(REGEXREPLACE(D279, ""[0-9]+[a-f]?\."", """"))"),"Au cours des 7 derniers jours, des enfants (&lt;14) ont-ils passé une journée entière sans manger de repas ?")</f>
        <v>Au cours des 7 derniers jours, des enfants (&lt;14) ont-ils passé une journée entière sans manger de repas ?</v>
      </c>
      <c r="I279" s="113" t="str">
        <f>IFERROR(__xludf.DUMMYFUNCTION("TRIM(REGEXREPLACE(E279, ""[0-9]+[a-f]?\."", """"))"),"A cikin kwana 7 na ƙarshe, ko yara ƴan ƙasa da shekara goma sha huɗu sun zauna tsawon wuni guda ba su ci da abinci ba?")</f>
        <v>A cikin kwana 7 na ƙarshe, ko yara ƴan ƙasa da shekara goma sha huɗu sun zauna tsawon wuni guda ba su ci da abinci ba?</v>
      </c>
      <c r="J279" s="113" t="str">
        <f t="shared" ref="J279:J281" si="64">F279 &amp; ". " &amp;G279</f>
        <v>96. In the last 7 days, have children (&lt;14) gone a whole day without meals?</v>
      </c>
      <c r="K279" s="113" t="str">
        <f t="shared" ref="K279:K281" si="65">F279 &amp; ". " &amp;H279</f>
        <v>96. Au cours des 7 derniers jours, des enfants (&lt;14) ont-ils passé une journée entière sans manger de repas ?</v>
      </c>
      <c r="L279" s="113" t="str">
        <f t="shared" ref="L279:L281" si="66">F279 &amp; ". " &amp;I279</f>
        <v>96. A cikin kwana 7 na ƙarshe, ko yara ƴan ƙasa da shekara goma sha huɗu sun zauna tsawon wuni guda ba su ci da abinci ba?</v>
      </c>
    </row>
    <row r="280">
      <c r="A280" s="170" t="s">
        <v>238</v>
      </c>
      <c r="B280" s="171" t="s">
        <v>1369</v>
      </c>
      <c r="C280" s="76" t="s">
        <v>1371</v>
      </c>
      <c r="D280" s="76" t="s">
        <v>1372</v>
      </c>
      <c r="E280" s="76" t="s">
        <v>1374</v>
      </c>
      <c r="F280" s="110">
        <v>97.0</v>
      </c>
      <c r="G280" s="113" t="str">
        <f>IFERROR(__xludf.DUMMYFUNCTION("TRIM(REGEXREPLACE(C280, ""[0-9]+[a-f]?\."", """"))"),"How many days?")</f>
        <v>How many days?</v>
      </c>
      <c r="H280" s="113" t="str">
        <f>IFERROR(__xludf.DUMMYFUNCTION("TRIM(REGEXREPLACE(D280, ""[0-9]+[a-f]?\."", """"))"),"Pendant combien de jours?")</f>
        <v>Pendant combien de jours?</v>
      </c>
      <c r="I280" s="113" t="str">
        <f>IFERROR(__xludf.DUMMYFUNCTION("TRIM(REGEXREPLACE(E280, ""[0-9]+[a-f]?\."", """"))"),"154a Tsawon kwanaki nawa?")</f>
        <v>154a Tsawon kwanaki nawa?</v>
      </c>
      <c r="J280" s="113" t="str">
        <f t="shared" si="64"/>
        <v>97. How many days?</v>
      </c>
      <c r="K280" s="113" t="str">
        <f t="shared" si="65"/>
        <v>97. Pendant combien de jours?</v>
      </c>
      <c r="L280" s="113" t="str">
        <f t="shared" si="66"/>
        <v>97. 154a Tsawon kwanaki nawa?</v>
      </c>
    </row>
    <row r="281">
      <c r="A281" s="114" t="s">
        <v>680</v>
      </c>
      <c r="B281" s="165" t="s">
        <v>1385</v>
      </c>
      <c r="C281" s="76" t="s">
        <v>812</v>
      </c>
      <c r="D281" s="76" t="s">
        <v>814</v>
      </c>
      <c r="E281" s="76" t="s">
        <v>815</v>
      </c>
      <c r="F281" s="110">
        <v>98.0</v>
      </c>
      <c r="G281" s="113" t="str">
        <f>IFERROR(__xludf.DUMMYFUNCTION("TRIM(REGEXREPLACE(C281, ""[0-9]+[a-f]?\."", """"))"),"In the last 7 days, have children (&lt;14) cut the size of meals or skipped meals?")</f>
        <v>In the last 7 days, have children (&lt;14) cut the size of meals or skipped meals?</v>
      </c>
      <c r="H281" s="113" t="str">
        <f>IFERROR(__xludf.DUMMYFUNCTION("TRIM(REGEXREPLACE(D281, ""[0-9]+[a-f]?\."", """"))"),"Au cours des 7 derniers jours, des enfants (&lt;14) ont-ils réduit la taille de leurs repas ou les ont-ils sauté?")</f>
        <v>Au cours des 7 derniers jours, des enfants (&lt;14) ont-ils réduit la taille de leurs repas ou les ont-ils sauté?</v>
      </c>
      <c r="I281" s="113" t="str">
        <f>IFERROR(__xludf.DUMMYFUNCTION("TRIM(REGEXREPLACE(E281, ""[0-9]+[a-f]?\."", """"))"),"A cikin kwanaki 7 na ƙarshe, suna da yara (&lt;14) sun rage yawan abinci ko sun rasa gaba ɗaya?")</f>
        <v>A cikin kwanaki 7 na ƙarshe, suna da yara (&lt;14) sun rage yawan abinci ko sun rasa gaba ɗaya?</v>
      </c>
      <c r="J281" s="113" t="str">
        <f t="shared" si="64"/>
        <v>98. In the last 7 days, have children (&lt;14) cut the size of meals or skipped meals?</v>
      </c>
      <c r="K281" s="113" t="str">
        <f t="shared" si="65"/>
        <v>98. Au cours des 7 derniers jours, des enfants (&lt;14) ont-ils réduit la taille de leurs repas ou les ont-ils sauté?</v>
      </c>
      <c r="L281" s="113" t="str">
        <f t="shared" si="66"/>
        <v>98. A cikin kwanaki 7 na ƙarshe, suna da yara (&lt;14) sun rage yawan abinci ko sun rasa gaba ɗaya?</v>
      </c>
    </row>
    <row r="282" hidden="1">
      <c r="B282" s="119"/>
      <c r="C282" s="119"/>
      <c r="D282" s="119"/>
      <c r="E282" s="119"/>
      <c r="F282" s="110">
        <v>179.0</v>
      </c>
      <c r="G282" s="113" t="str">
        <f>IFERROR(__xludf.DUMMYFUNCTION("TRIM(REGEXREPLACE(C282, ""[0-9]+[a-f]?\."", """"))"),"")</f>
        <v/>
      </c>
      <c r="H282" s="113" t="str">
        <f>IFERROR(__xludf.DUMMYFUNCTION("TRIM(REGEXREPLACE(D282, ""[0-9]+[a-f]?\."", """"))"),"")</f>
        <v/>
      </c>
      <c r="I282" s="113" t="str">
        <f>IFERROR(__xludf.DUMMYFUNCTION("TRIM(REGEXREPLACE(E282, ""[0-9]+[a-f]?\."", """"))"),"")</f>
        <v/>
      </c>
      <c r="J282" s="113" t="s">
        <v>1398</v>
      </c>
      <c r="K282" s="113" t="s">
        <v>1399</v>
      </c>
      <c r="L282" s="113" t="s">
        <v>1400</v>
      </c>
    </row>
    <row r="283" hidden="1">
      <c r="B283" s="119"/>
      <c r="C283" s="119"/>
      <c r="D283" s="119"/>
      <c r="E283" s="119"/>
      <c r="F283" s="110">
        <v>180.0</v>
      </c>
      <c r="G283" s="113" t="str">
        <f>IFERROR(__xludf.DUMMYFUNCTION("TRIM(REGEXREPLACE(C283, ""[0-9]+[a-f]?\."", """"))"),"")</f>
        <v/>
      </c>
      <c r="H283" s="113" t="str">
        <f>IFERROR(__xludf.DUMMYFUNCTION("TRIM(REGEXREPLACE(D283, ""[0-9]+[a-f]?\."", """"))"),"")</f>
        <v/>
      </c>
      <c r="I283" s="113" t="str">
        <f>IFERROR(__xludf.DUMMYFUNCTION("TRIM(REGEXREPLACE(E283, ""[0-9]+[a-f]?\."", """"))"),"")</f>
        <v/>
      </c>
    </row>
    <row r="284" hidden="1">
      <c r="B284" s="119"/>
      <c r="C284" s="119"/>
      <c r="D284" s="119"/>
      <c r="E284" s="119"/>
      <c r="F284" s="110">
        <v>181.0</v>
      </c>
      <c r="G284" s="113" t="str">
        <f>IFERROR(__xludf.DUMMYFUNCTION("TRIM(REGEXREPLACE(C284, ""[0-9]+[a-f]?\."", """"))"),"")</f>
        <v/>
      </c>
      <c r="H284" s="113" t="str">
        <f>IFERROR(__xludf.DUMMYFUNCTION("TRIM(REGEXREPLACE(D284, ""[0-9]+[a-f]?\."", """"))"),"")</f>
        <v/>
      </c>
      <c r="I284" s="113" t="str">
        <f>IFERROR(__xludf.DUMMYFUNCTION("TRIM(REGEXREPLACE(E284, ""[0-9]+[a-f]?\."", """"))"),"")</f>
        <v/>
      </c>
    </row>
    <row r="285" hidden="1">
      <c r="B285" s="119"/>
      <c r="C285" s="119"/>
      <c r="D285" s="119"/>
      <c r="E285" s="119"/>
      <c r="F285" s="110">
        <v>180.0</v>
      </c>
      <c r="G285" s="113" t="str">
        <f>IFERROR(__xludf.DUMMYFUNCTION("TRIM(REGEXREPLACE(C285, ""[0-9]+[a-f]?\."", """"))"),"")</f>
        <v/>
      </c>
      <c r="H285" s="113" t="str">
        <f>IFERROR(__xludf.DUMMYFUNCTION("TRIM(REGEXREPLACE(D285, ""[0-9]+[a-f]?\."", """"))"),"")</f>
        <v/>
      </c>
      <c r="I285" s="113" t="str">
        <f>IFERROR(__xludf.DUMMYFUNCTION("TRIM(REGEXREPLACE(E285, ""[0-9]+[a-f]?\."", """"))"),"")</f>
        <v/>
      </c>
      <c r="J285" s="113" t="s">
        <v>1416</v>
      </c>
      <c r="K285" s="113" t="s">
        <v>1417</v>
      </c>
      <c r="L285" s="113" t="s">
        <v>1418</v>
      </c>
    </row>
    <row r="286" hidden="1">
      <c r="B286" s="119"/>
      <c r="C286" s="119"/>
      <c r="D286" s="119"/>
      <c r="E286" s="119"/>
      <c r="F286" s="110">
        <v>181.0</v>
      </c>
      <c r="G286" s="113" t="str">
        <f>IFERROR(__xludf.DUMMYFUNCTION("TRIM(REGEXREPLACE(C286, ""[0-9]+[a-f]?\."", """"))"),"")</f>
        <v/>
      </c>
      <c r="H286" s="113" t="str">
        <f>IFERROR(__xludf.DUMMYFUNCTION("TRIM(REGEXREPLACE(D286, ""[0-9]+[a-f]?\."", """"))"),"")</f>
        <v/>
      </c>
      <c r="I286" s="113" t="str">
        <f>IFERROR(__xludf.DUMMYFUNCTION("TRIM(REGEXREPLACE(E286, ""[0-9]+[a-f]?\."", """"))"),"")</f>
        <v/>
      </c>
      <c r="J286" s="113" t="s">
        <v>1421</v>
      </c>
      <c r="K286" s="113" t="s">
        <v>1422</v>
      </c>
      <c r="L286" s="113" t="s">
        <v>1423</v>
      </c>
    </row>
    <row r="287">
      <c r="A287" s="170" t="s">
        <v>238</v>
      </c>
      <c r="B287" s="171" t="s">
        <v>1424</v>
      </c>
      <c r="C287" s="76" t="s">
        <v>822</v>
      </c>
      <c r="D287" s="76" t="s">
        <v>823</v>
      </c>
      <c r="E287" s="76" t="s">
        <v>1426</v>
      </c>
      <c r="F287" s="110">
        <v>99.0</v>
      </c>
      <c r="G287" s="113" t="str">
        <f>IFERROR(__xludf.DUMMYFUNCTION("TRIM(REGEXREPLACE(C287, ""[0-9]+[a-f]?\."", """"))"),"How many days?")</f>
        <v>How many days?</v>
      </c>
      <c r="H287" s="113" t="str">
        <f>IFERROR(__xludf.DUMMYFUNCTION("TRIM(REGEXREPLACE(D287, ""[0-9]+[a-f]?\."", """"))"),"Pendant combien de jours?")</f>
        <v>Pendant combien de jours?</v>
      </c>
      <c r="I287" s="113" t="str">
        <f>IFERROR(__xludf.DUMMYFUNCTION("TRIM(REGEXREPLACE(E287, ""[0-9]+[a-f]?\."", """"))"),"155a Tsawon kwana nawa?")</f>
        <v>155a Tsawon kwana nawa?</v>
      </c>
      <c r="J287" s="113" t="str">
        <f t="shared" ref="J287:J288" si="67">F287 &amp; ". " &amp;G287</f>
        <v>99. How many days?</v>
      </c>
      <c r="K287" s="113" t="str">
        <f t="shared" ref="K287:K288" si="68">F287 &amp; ". " &amp;H287</f>
        <v>99. Pendant combien de jours?</v>
      </c>
      <c r="L287" s="113" t="str">
        <f t="shared" ref="L287:L288" si="69">F287 &amp; ". " &amp;I287</f>
        <v>99. 155a Tsawon kwana nawa?</v>
      </c>
    </row>
    <row r="288">
      <c r="A288" s="170" t="s">
        <v>238</v>
      </c>
      <c r="B288" s="171" t="s">
        <v>1434</v>
      </c>
      <c r="C288" s="76" t="s">
        <v>1435</v>
      </c>
      <c r="D288" s="76" t="s">
        <v>1436</v>
      </c>
      <c r="E288" s="76" t="s">
        <v>1437</v>
      </c>
      <c r="F288" s="110">
        <v>100.0</v>
      </c>
      <c r="G288" s="113" t="str">
        <f>IFERROR(__xludf.DUMMYFUNCTION("TRIM(REGEXREPLACE(C288, ""[0-9]+[a-f]?\."", """"))"),"In the past week how many days have children in your household consumed animal protein (inlcuding fish, meat, poultry)?")</f>
        <v>In the past week how many days have children in your household consumed animal protein (inlcuding fish, meat, poultry)?</v>
      </c>
      <c r="H288" s="113" t="str">
        <f>IFERROR(__xludf.DUMMYFUNCTION("TRIM(REGEXREPLACE(D288,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88" s="113" t="str">
        <f>IFERROR(__xludf.DUMMYFUNCTION("TRIM(REGEXREPLACE(E288, ""[0-9]+[a-f]?\."", """"))"),"A cikin kwanaki 7 da suka gabata sau nawa yara a cikin gidanku suka ci abinci masu gina jiki kamar su kifi, nama, kaji ?")</f>
        <v>A cikin kwanaki 7 da suka gabata sau nawa yara a cikin gidanku suka ci abinci masu gina jiki kamar su kifi, nama, kaji ?</v>
      </c>
      <c r="J288" s="113" t="str">
        <f t="shared" si="67"/>
        <v>100. In the past week how many days have children in your household consumed animal protein (inlcuding fish, meat, poultry)?</v>
      </c>
      <c r="K288" s="113" t="str">
        <f t="shared" si="68"/>
        <v>100. Au cours des 7 derniers jours, combien de fois les enfants de votre ménage ont-ils consommé des protéines animales (y compris poisson, viande, volaille) ?</v>
      </c>
      <c r="L288" s="113" t="str">
        <f t="shared" si="69"/>
        <v>100. A cikin kwanaki 7 da suka gabata sau nawa yara a cikin gidanku suka ci abinci masu gina jiki kamar su kifi, nama, kaji ?</v>
      </c>
    </row>
    <row r="289" hidden="1">
      <c r="A289" s="203"/>
      <c r="B289" s="204"/>
      <c r="C289" s="204" t="s">
        <v>50</v>
      </c>
      <c r="D289" s="204" t="s">
        <v>50</v>
      </c>
      <c r="E289" s="204" t="s">
        <v>50</v>
      </c>
      <c r="F289" s="110">
        <v>180.0</v>
      </c>
      <c r="G289" s="113" t="str">
        <f>IFERROR(__xludf.DUMMYFUNCTION("TRIM(REGEXREPLACE(C289, ""[0-9]+[a-f]?\."", """"))"),"")</f>
        <v/>
      </c>
      <c r="H289" s="113" t="str">
        <f>IFERROR(__xludf.DUMMYFUNCTION("TRIM(REGEXREPLACE(D289, ""[0-9]+[a-f]?\."", """"))"),"")</f>
        <v/>
      </c>
      <c r="I289" s="113" t="str">
        <f>IFERROR(__xludf.DUMMYFUNCTION("TRIM(REGEXREPLACE(E289, ""[0-9]+[a-f]?\."", """"))"),"")</f>
        <v/>
      </c>
      <c r="J289" s="113" t="s">
        <v>1450</v>
      </c>
      <c r="K289" s="113" t="s">
        <v>1451</v>
      </c>
      <c r="L289" s="113" t="s">
        <v>1452</v>
      </c>
    </row>
    <row r="290" hidden="1">
      <c r="A290" s="150" t="s">
        <v>161</v>
      </c>
      <c r="B290" s="208" t="s">
        <v>1455</v>
      </c>
      <c r="C290" s="82"/>
      <c r="D290" s="82"/>
      <c r="E290" s="82"/>
      <c r="F290" s="110">
        <v>181.0</v>
      </c>
      <c r="G290" s="113" t="str">
        <f>IFERROR(__xludf.DUMMYFUNCTION("TRIM(REGEXREPLACE(C290, ""[0-9]+[a-f]?\."", """"))"),"")</f>
        <v/>
      </c>
      <c r="H290" s="113" t="str">
        <f>IFERROR(__xludf.DUMMYFUNCTION("TRIM(REGEXREPLACE(D290, ""[0-9]+[a-f]?\."", """"))"),"")</f>
        <v/>
      </c>
      <c r="I290" s="113" t="str">
        <f>IFERROR(__xludf.DUMMYFUNCTION("TRIM(REGEXREPLACE(E290, ""[0-9]+[a-f]?\."", """"))"),"")</f>
        <v/>
      </c>
      <c r="J290" s="113" t="s">
        <v>1460</v>
      </c>
      <c r="K290" s="113" t="s">
        <v>1461</v>
      </c>
      <c r="L290" s="113" t="s">
        <v>1462</v>
      </c>
    </row>
    <row r="291" hidden="1">
      <c r="B291" s="119"/>
      <c r="C291" s="119"/>
      <c r="D291" s="119"/>
      <c r="E291" s="119"/>
      <c r="F291" s="110">
        <v>184.0</v>
      </c>
      <c r="G291" s="113" t="str">
        <f>IFERROR(__xludf.DUMMYFUNCTION("TRIM(REGEXREPLACE(C291, ""[0-9]+[a-f]?\."", """"))"),"")</f>
        <v/>
      </c>
      <c r="H291" s="113" t="str">
        <f>IFERROR(__xludf.DUMMYFUNCTION("TRIM(REGEXREPLACE(D291, ""[0-9]+[a-f]?\."", """"))"),"")</f>
        <v/>
      </c>
      <c r="I291" s="113" t="str">
        <f>IFERROR(__xludf.DUMMYFUNCTION("TRIM(REGEXREPLACE(E291, ""[0-9]+[a-f]?\."", """"))"),"")</f>
        <v/>
      </c>
      <c r="J291" s="113" t="s">
        <v>1468</v>
      </c>
      <c r="K291" s="113" t="s">
        <v>1469</v>
      </c>
      <c r="L291" s="113" t="s">
        <v>1470</v>
      </c>
    </row>
    <row r="292" hidden="1">
      <c r="B292" s="119"/>
      <c r="C292" s="119"/>
      <c r="D292" s="119"/>
      <c r="E292" s="119"/>
      <c r="F292" s="110">
        <v>185.0</v>
      </c>
      <c r="G292" s="113" t="str">
        <f>IFERROR(__xludf.DUMMYFUNCTION("TRIM(REGEXREPLACE(C292, ""[0-9]+[a-f]?\."", """"))"),"")</f>
        <v/>
      </c>
      <c r="H292" s="113" t="str">
        <f>IFERROR(__xludf.DUMMYFUNCTION("TRIM(REGEXREPLACE(D292, ""[0-9]+[a-f]?\."", """"))"),"")</f>
        <v/>
      </c>
      <c r="I292" s="113" t="str">
        <f>IFERROR(__xludf.DUMMYFUNCTION("TRIM(REGEXREPLACE(E292, ""[0-9]+[a-f]?\."", """"))"),"")</f>
        <v/>
      </c>
      <c r="J292" s="113" t="s">
        <v>1473</v>
      </c>
      <c r="K292" s="113" t="s">
        <v>1474</v>
      </c>
      <c r="L292" s="113" t="s">
        <v>1475</v>
      </c>
    </row>
    <row r="293">
      <c r="A293" s="114" t="s">
        <v>1477</v>
      </c>
      <c r="B293" s="165" t="s">
        <v>1478</v>
      </c>
      <c r="C293" s="76" t="s">
        <v>1479</v>
      </c>
      <c r="D293" s="76" t="s">
        <v>1480</v>
      </c>
      <c r="E293" s="76" t="s">
        <v>1481</v>
      </c>
      <c r="F293" s="110">
        <v>101.0</v>
      </c>
      <c r="G293" s="113" t="str">
        <f>IFERROR(__xludf.DUMMYFUNCTION("TRIM(REGEXREPLACE(C293, ""[0-9]+[a-f]?\."", """"))"),"Has your household spent money on the following types of expenses in the past month?")</f>
        <v>Has your household spent money on the following types of expenses in the past month?</v>
      </c>
      <c r="H293" s="113" t="str">
        <f>IFERROR(__xludf.DUMMYFUNCTION("TRIM(REGEXREPLACE(D293, ""[0-9]+[a-f]?\."", """"))"),"Votre ménage a-t-il dépensé de l'argent pour les types de dépenses suivants au cours du dernier mois ?")</f>
        <v>Votre ménage a-t-il dépensé de l'argent pour les types de dépenses suivants au cours du dernier mois ?</v>
      </c>
      <c r="I293" s="113" t="str">
        <f>IFERROR(__xludf.DUMMYFUNCTION("TRIM(REGEXREPLACE(E293, ""[0-9]+[a-f]?\."", """"))"),"Shin gidanku ya kashe kuɗi akan irin waɗannan abubuwan a cikin watan da ya gabata?")</f>
        <v>Shin gidanku ya kashe kuɗi akan irin waɗannan abubuwan a cikin watan da ya gabata?</v>
      </c>
      <c r="J293" s="113" t="str">
        <f>F293 &amp; ". " &amp;G293</f>
        <v>101. Has your household spent money on the following types of expenses in the past month?</v>
      </c>
      <c r="K293" s="113" t="str">
        <f>F293 &amp; ". " &amp;H293</f>
        <v>101. Votre ménage a-t-il dépensé de l'argent pour les types de dépenses suivants au cours du dernier mois ?</v>
      </c>
      <c r="L293" s="113" t="str">
        <f>F293 &amp; ". " &amp;I293</f>
        <v>101. Shin gidanku ya kashe kuɗi akan irin waɗannan abubuwan a cikin watan da ya gabata?</v>
      </c>
    </row>
    <row r="294" hidden="1">
      <c r="A294" s="167" t="s">
        <v>807</v>
      </c>
      <c r="B294" s="168" t="s">
        <v>1495</v>
      </c>
      <c r="C294" s="168" t="s">
        <v>1497</v>
      </c>
      <c r="D294" s="168" t="s">
        <v>1499</v>
      </c>
      <c r="E294" s="168" t="s">
        <v>1500</v>
      </c>
      <c r="F294" s="110">
        <v>183.0</v>
      </c>
      <c r="G294" s="113" t="str">
        <f>IFERROR(__xludf.DUMMYFUNCTION("TRIM(REGEXREPLACE(C294, ""[0-9]+[a-f]?\."", """"))"),"Consumption - Monthly")</f>
        <v>Consumption - Monthly</v>
      </c>
      <c r="H294" s="113" t="str">
        <f>IFERROR(__xludf.DUMMYFUNCTION("TRIM(REGEXREPLACE(D294, ""[0-9]+[a-f]?\."", """"))"),"Consommation - Mensuelle")</f>
        <v>Consommation - Mensuelle</v>
      </c>
      <c r="I294" s="113" t="str">
        <f>IFERROR(__xludf.DUMMYFUNCTION("TRIM(REGEXREPLACE(E294, ""[0-9]+[a-f]?\."", """"))"),"Cimaka - kowane wata")</f>
        <v>Cimaka - kowane wata</v>
      </c>
      <c r="J294" s="113" t="s">
        <v>1503</v>
      </c>
      <c r="K294" s="113" t="s">
        <v>1505</v>
      </c>
      <c r="L294" s="113" t="s">
        <v>1506</v>
      </c>
    </row>
    <row r="295" hidden="1">
      <c r="A295" s="131" t="s">
        <v>115</v>
      </c>
      <c r="B295" s="132" t="s">
        <v>1507</v>
      </c>
      <c r="C295" s="133" t="s">
        <v>1508</v>
      </c>
      <c r="D295" s="133" t="s">
        <v>1510</v>
      </c>
      <c r="E295" s="133" t="s">
        <v>1511</v>
      </c>
      <c r="F295" s="110">
        <v>184.0</v>
      </c>
      <c r="G295" s="113" t="str">
        <f>IFERROR(__xludf.DUMMYFUNCTION("TRIM(REGEXREPLACE(C295, ""[0-9]+[a-f]?\."", """"))"),"item")</f>
        <v>item</v>
      </c>
      <c r="H295" s="113" t="str">
        <f>IFERROR(__xludf.DUMMYFUNCTION("TRIM(REGEXREPLACE(D295, ""[0-9]+[a-f]?\."", """"))"),"article")</f>
        <v>article</v>
      </c>
      <c r="I295" s="113" t="str">
        <f>IFERROR(__xludf.DUMMYFUNCTION("TRIM(REGEXREPLACE(E295, ""[0-9]+[a-f]?\."", """"))"),"kaya")</f>
        <v>kaya</v>
      </c>
      <c r="J295" s="113" t="s">
        <v>1514</v>
      </c>
      <c r="K295" s="113" t="s">
        <v>1515</v>
      </c>
      <c r="L295" s="113" t="s">
        <v>1517</v>
      </c>
    </row>
    <row r="296">
      <c r="A296" s="170" t="s">
        <v>238</v>
      </c>
      <c r="B296" s="171" t="s">
        <v>1518</v>
      </c>
      <c r="C296" s="76" t="s">
        <v>843</v>
      </c>
      <c r="D296" s="76" t="s">
        <v>844</v>
      </c>
      <c r="E296" s="76" t="s">
        <v>845</v>
      </c>
      <c r="F296" s="110">
        <v>102.0</v>
      </c>
      <c r="G296" s="113" t="str">
        <f>IFERROR(__xludf.DUMMYFUNCTION("TRIM(REGEXREPLACE(C296, ""[0-9]+[a-f]?\."", """"))"),"How much did your household spend on ${w_item} in the past month (in CFA)?")</f>
        <v>How much did your household spend on ${w_item} in the past month (in CFA)?</v>
      </c>
      <c r="H296" s="113" t="str">
        <f>IFERROR(__xludf.DUMMYFUNCTION("TRIM(REGEXREPLACE(D296, ""[0-9]+[a-f]?\."", """"))"),"Combien votre ménage a-t-il dépensé pour ${w_item} au cours du dernier mois (en CFA) ?")</f>
        <v>Combien votre ménage a-t-il dépensé pour ${w_item} au cours du dernier mois (en CFA) ?</v>
      </c>
      <c r="I296" s="113" t="str">
        <f>IFERROR(__xludf.DUMMYFUNCTION("TRIM(REGEXREPLACE(E296, ""[0-9]+[a-f]?\."", """"))"),"Nawa ne (a CFA) gidanku ya kashe akan ${w_item} cikin watan da ya gabata ?")</f>
        <v>Nawa ne (a CFA) gidanku ya kashe akan ${w_item} cikin watan da ya gabata ?</v>
      </c>
      <c r="J296" s="113" t="str">
        <f>F296 &amp; ". " &amp;G296</f>
        <v>102. How much did your household spend on ${w_item} in the past month (in CFA)?</v>
      </c>
      <c r="K296" s="113" t="str">
        <f>F296 &amp; ". " &amp;H296</f>
        <v>102. Combien votre ménage a-t-il dépensé pour ${w_item} au cours du dernier mois (en CFA) ?</v>
      </c>
      <c r="L296" s="113" t="str">
        <f>F296 &amp; ". " &amp;I296</f>
        <v>102. Nawa ne (a CFA) gidanku ya kashe akan ${w_item} cikin watan da ya gabata ?</v>
      </c>
    </row>
    <row r="297" hidden="1">
      <c r="B297" s="119"/>
      <c r="C297" s="119"/>
      <c r="D297" s="119"/>
      <c r="E297" s="119"/>
      <c r="F297" s="110">
        <v>190.0</v>
      </c>
      <c r="G297" s="113" t="str">
        <f>IFERROR(__xludf.DUMMYFUNCTION("TRIM(REGEXREPLACE(C297, ""[0-9]+[a-f]?\."", """"))"),"")</f>
        <v/>
      </c>
      <c r="H297" s="113" t="str">
        <f>IFERROR(__xludf.DUMMYFUNCTION("TRIM(REGEXREPLACE(D297, ""[0-9]+[a-f]?\."", """"))"),"")</f>
        <v/>
      </c>
      <c r="I297" s="113" t="str">
        <f>IFERROR(__xludf.DUMMYFUNCTION("TRIM(REGEXREPLACE(E297, ""[0-9]+[a-f]?\."", """"))"),"")</f>
        <v/>
      </c>
      <c r="J297" s="113" t="s">
        <v>1533</v>
      </c>
      <c r="K297" s="113" t="s">
        <v>1535</v>
      </c>
      <c r="L297" s="113" t="s">
        <v>1536</v>
      </c>
    </row>
    <row r="298" hidden="1">
      <c r="B298" s="119"/>
      <c r="C298" s="119"/>
      <c r="D298" s="119"/>
      <c r="E298" s="119"/>
      <c r="F298" s="110">
        <v>191.0</v>
      </c>
      <c r="G298" s="113" t="str">
        <f>IFERROR(__xludf.DUMMYFUNCTION("TRIM(REGEXREPLACE(C298, ""[0-9]+[a-f]?\."", """"))"),"")</f>
        <v/>
      </c>
      <c r="H298" s="113" t="str">
        <f>IFERROR(__xludf.DUMMYFUNCTION("TRIM(REGEXREPLACE(D298, ""[0-9]+[a-f]?\."", """"))"),"")</f>
        <v/>
      </c>
      <c r="I298" s="113" t="str">
        <f>IFERROR(__xludf.DUMMYFUNCTION("TRIM(REGEXREPLACE(E298, ""[0-9]+[a-f]?\."", """"))"),"")</f>
        <v/>
      </c>
      <c r="J298" s="113" t="s">
        <v>1539</v>
      </c>
      <c r="K298" s="113" t="s">
        <v>1541</v>
      </c>
      <c r="L298" s="113" t="s">
        <v>1542</v>
      </c>
    </row>
    <row r="299" hidden="1">
      <c r="A299" s="167" t="s">
        <v>842</v>
      </c>
      <c r="B299" s="169" t="s">
        <v>1495</v>
      </c>
      <c r="C299" s="169" t="s">
        <v>1497</v>
      </c>
      <c r="D299" s="169" t="s">
        <v>1499</v>
      </c>
      <c r="E299" s="169" t="s">
        <v>1500</v>
      </c>
      <c r="F299" s="110">
        <v>186.0</v>
      </c>
      <c r="G299" s="113" t="str">
        <f>IFERROR(__xludf.DUMMYFUNCTION("TRIM(REGEXREPLACE(C299, ""[0-9]+[a-f]?\."", """"))"),"Consumption - Monthly")</f>
        <v>Consumption - Monthly</v>
      </c>
      <c r="H299" s="113" t="str">
        <f>IFERROR(__xludf.DUMMYFUNCTION("TRIM(REGEXREPLACE(D299, ""[0-9]+[a-f]?\."", """"))"),"Consommation - Mensuelle")</f>
        <v>Consommation - Mensuelle</v>
      </c>
      <c r="I299" s="113" t="str">
        <f>IFERROR(__xludf.DUMMYFUNCTION("TRIM(REGEXREPLACE(E299, ""[0-9]+[a-f]?\."", """"))"),"Cimaka - kowane wata")</f>
        <v>Cimaka - kowane wata</v>
      </c>
      <c r="J299" s="113" t="s">
        <v>1546</v>
      </c>
      <c r="K299" s="113" t="s">
        <v>1548</v>
      </c>
      <c r="L299" s="113" t="s">
        <v>1550</v>
      </c>
    </row>
    <row r="300">
      <c r="A300" s="114" t="s">
        <v>1552</v>
      </c>
      <c r="B300" s="165" t="s">
        <v>1553</v>
      </c>
      <c r="C300" s="76" t="s">
        <v>852</v>
      </c>
      <c r="D300" s="76" t="s">
        <v>853</v>
      </c>
      <c r="E300" s="76" t="s">
        <v>1556</v>
      </c>
      <c r="F300" s="110">
        <v>103.0</v>
      </c>
      <c r="G300" s="113" t="str">
        <f>IFERROR(__xludf.DUMMYFUNCTION("TRIM(REGEXREPLACE(C300, ""[0-9]+[a-f]?\."", """"))"),"Has your household spent money on the following types of expenses in the past week?")</f>
        <v>Has your household spent money on the following types of expenses in the past week?</v>
      </c>
      <c r="H300" s="113" t="str">
        <f>IFERROR(__xludf.DUMMYFUNCTION("TRIM(REGEXREPLACE(D300, ""[0-9]+[a-f]?\."", """"))"),"Votre ménage a-t-il dépensé de l'argent pour les types de dépenses suivants au cours de la semaine dernière ?")</f>
        <v>Votre ménage a-t-il dépensé de l'argent pour les types de dépenses suivants au cours de la semaine dernière ?</v>
      </c>
      <c r="I300" s="113" t="str">
        <f>IFERROR(__xludf.DUMMYFUNCTION("TRIM(REGEXREPLACE(E300, ""[0-9]+[a-f]?\."", """"))"),"Ko a gidanku an kashe kuɗi akan ire iren waɗannan abubuwan a cikin satin da ya gabata?")</f>
        <v>Ko a gidanku an kashe kuɗi akan ire iren waɗannan abubuwan a cikin satin da ya gabata?</v>
      </c>
      <c r="J300" s="113" t="str">
        <f>F300 &amp; ". " &amp;G300</f>
        <v>103. Has your household spent money on the following types of expenses in the past week?</v>
      </c>
      <c r="K300" s="113" t="str">
        <f>F300 &amp; ". " &amp;H300</f>
        <v>103. Votre ménage a-t-il dépensé de l'argent pour les types de dépenses suivants au cours de la semaine dernière ?</v>
      </c>
      <c r="L300" s="113" t="str">
        <f>F300 &amp; ". " &amp;I300</f>
        <v>103. Ko a gidanku an kashe kuɗi akan ire iren waɗannan abubuwan a cikin satin da ya gabata?</v>
      </c>
    </row>
    <row r="301" hidden="1">
      <c r="A301" s="167" t="s">
        <v>807</v>
      </c>
      <c r="B301" s="168" t="s">
        <v>1566</v>
      </c>
      <c r="C301" s="168" t="s">
        <v>1568</v>
      </c>
      <c r="D301" s="168" t="s">
        <v>1569</v>
      </c>
      <c r="E301" s="168" t="s">
        <v>1571</v>
      </c>
      <c r="F301" s="110">
        <v>188.0</v>
      </c>
      <c r="G301" s="113" t="str">
        <f>IFERROR(__xludf.DUMMYFUNCTION("TRIM(REGEXREPLACE(C301, ""[0-9]+[a-f]?\."", """"))"),"Consumption - Weekly")</f>
        <v>Consumption - Weekly</v>
      </c>
      <c r="H301" s="113" t="str">
        <f>IFERROR(__xludf.DUMMYFUNCTION("TRIM(REGEXREPLACE(D301, ""[0-9]+[a-f]?\."", """"))"),"Consommation - Hebdomadaire")</f>
        <v>Consommation - Hebdomadaire</v>
      </c>
      <c r="I301" s="113" t="str">
        <f>IFERROR(__xludf.DUMMYFUNCTION("TRIM(REGEXREPLACE(E301, ""[0-9]+[a-f]?\."", """"))"),"Cimakar - sati-sati")</f>
        <v>Cimakar - sati-sati</v>
      </c>
      <c r="J301" s="113" t="s">
        <v>1575</v>
      </c>
      <c r="K301" s="113" t="s">
        <v>1576</v>
      </c>
      <c r="L301" s="113" t="s">
        <v>1577</v>
      </c>
    </row>
    <row r="302" hidden="1">
      <c r="A302" s="131" t="s">
        <v>115</v>
      </c>
      <c r="B302" s="132" t="s">
        <v>1578</v>
      </c>
      <c r="C302" s="133" t="s">
        <v>1579</v>
      </c>
      <c r="D302" s="133" t="s">
        <v>1580</v>
      </c>
      <c r="E302" s="133" t="s">
        <v>1581</v>
      </c>
      <c r="F302" s="110">
        <v>189.0</v>
      </c>
      <c r="G302" s="113" t="str">
        <f>IFERROR(__xludf.DUMMYFUNCTION("TRIM(REGEXREPLACE(C302, ""[0-9]+[a-f]?\."", """"))"),"item weekly")</f>
        <v>item weekly</v>
      </c>
      <c r="H302" s="113" t="str">
        <f>IFERROR(__xludf.DUMMYFUNCTION("TRIM(REGEXREPLACE(D302, ""[0-9]+[a-f]?\."", """"))"),"article hebdomadaire")</f>
        <v>article hebdomadaire</v>
      </c>
      <c r="I302" s="113" t="str">
        <f>IFERROR(__xludf.DUMMYFUNCTION("TRIM(REGEXREPLACE(E302, ""[0-9]+[a-f]?\."", """"))"),"kayan sati-sati")</f>
        <v>kayan sati-sati</v>
      </c>
      <c r="J302" s="113" t="s">
        <v>1585</v>
      </c>
      <c r="K302" s="113" t="s">
        <v>1587</v>
      </c>
      <c r="L302" s="113" t="s">
        <v>1589</v>
      </c>
    </row>
    <row r="303">
      <c r="A303" s="170" t="s">
        <v>238</v>
      </c>
      <c r="B303" s="171" t="s">
        <v>1590</v>
      </c>
      <c r="C303" s="76" t="s">
        <v>864</v>
      </c>
      <c r="D303" s="76" t="s">
        <v>865</v>
      </c>
      <c r="E303" s="76" t="s">
        <v>866</v>
      </c>
      <c r="F303" s="110">
        <v>104.0</v>
      </c>
      <c r="G303" s="113" t="str">
        <f>IFERROR(__xludf.DUMMYFUNCTION("TRIM(REGEXREPLACE(C303, ""[0-9]+[a-f]?\."", """"))"),"How much did your household spend on ${w_item_week} in the past week (in CFA)?")</f>
        <v>How much did your household spend on ${w_item_week} in the past week (in CFA)?</v>
      </c>
      <c r="H303" s="113" t="str">
        <f>IFERROR(__xludf.DUMMYFUNCTION("TRIM(REGEXREPLACE(D303, ""[0-9]+[a-f]?\."", """"))"),"Combien votre ménage a-t-il dépensé en ${w_item_week} la semaine dernière (en CFA) ?")</f>
        <v>Combien votre ménage a-t-il dépensé en ${w_item_week} la semaine dernière (en CFA) ?</v>
      </c>
      <c r="I303" s="113" t="str">
        <f>IFERROR(__xludf.DUMMYFUNCTION("TRIM(REGEXREPLACE(E303, ""[0-9]+[a-f]?\."", """"))"),"Nawa ne gidan ku ya kashe (a CFA) a ${w_item_week} satin da ya gabata ?")</f>
        <v>Nawa ne gidan ku ya kashe (a CFA) a ${w_item_week} satin da ya gabata ?</v>
      </c>
      <c r="J303" s="113" t="str">
        <f>F303 &amp; ". " &amp;G303</f>
        <v>104. How much did your household spend on ${w_item_week} in the past week (in CFA)?</v>
      </c>
      <c r="K303" s="113" t="str">
        <f>F303 &amp; ". " &amp;H303</f>
        <v>104. Combien votre ménage a-t-il dépensé en ${w_item_week} la semaine dernière (en CFA) ?</v>
      </c>
      <c r="L303" s="113" t="str">
        <f>F303 &amp; ". " &amp;I303</f>
        <v>104. Nawa ne gidan ku ya kashe (a CFA) a ${w_item_week} satin da ya gabata ?</v>
      </c>
    </row>
    <row r="304" hidden="1">
      <c r="A304" s="167" t="s">
        <v>842</v>
      </c>
      <c r="B304" s="169" t="s">
        <v>1566</v>
      </c>
      <c r="C304" s="169" t="s">
        <v>1568</v>
      </c>
      <c r="D304" s="169" t="s">
        <v>1569</v>
      </c>
      <c r="E304" s="169" t="s">
        <v>1571</v>
      </c>
      <c r="F304" s="110">
        <v>191.0</v>
      </c>
      <c r="G304" s="113" t="str">
        <f>IFERROR(__xludf.DUMMYFUNCTION("TRIM(REGEXREPLACE(C304, ""[0-9]+[a-f]?\."", """"))"),"Consumption - Weekly")</f>
        <v>Consumption - Weekly</v>
      </c>
      <c r="H304" s="113" t="str">
        <f>IFERROR(__xludf.DUMMYFUNCTION("TRIM(REGEXREPLACE(D304, ""[0-9]+[a-f]?\."", """"))"),"Consommation - Hebdomadaire")</f>
        <v>Consommation - Hebdomadaire</v>
      </c>
      <c r="I304" s="113" t="str">
        <f>IFERROR(__xludf.DUMMYFUNCTION("TRIM(REGEXREPLACE(E304, ""[0-9]+[a-f]?\."", """"))"),"Cimakar - sati-sati")</f>
        <v>Cimakar - sati-sati</v>
      </c>
      <c r="J304" s="113" t="s">
        <v>1593</v>
      </c>
      <c r="K304" s="113" t="s">
        <v>1594</v>
      </c>
      <c r="L304" s="113" t="s">
        <v>1596</v>
      </c>
    </row>
    <row r="305" hidden="1">
      <c r="A305" s="150" t="s">
        <v>161</v>
      </c>
      <c r="B305" s="81" t="s">
        <v>1598</v>
      </c>
      <c r="C305" s="82"/>
      <c r="D305" s="83"/>
      <c r="E305" s="83"/>
      <c r="F305" s="110">
        <v>192.0</v>
      </c>
      <c r="G305" s="113" t="str">
        <f>IFERROR(__xludf.DUMMYFUNCTION("TRIM(REGEXREPLACE(C305, ""[0-9]+[a-f]?\."", """"))"),"")</f>
        <v/>
      </c>
      <c r="H305" s="113" t="str">
        <f>IFERROR(__xludf.DUMMYFUNCTION("TRIM(REGEXREPLACE(D305, ""[0-9]+[a-f]?\."", """"))"),"")</f>
        <v/>
      </c>
      <c r="I305" s="113" t="str">
        <f>IFERROR(__xludf.DUMMYFUNCTION("TRIM(REGEXREPLACE(E305, ""[0-9]+[a-f]?\."", """"))"),"")</f>
        <v/>
      </c>
      <c r="J305" s="113" t="s">
        <v>1599</v>
      </c>
      <c r="K305" s="113" t="s">
        <v>1600</v>
      </c>
      <c r="L305" s="113" t="s">
        <v>1601</v>
      </c>
    </row>
    <row r="306">
      <c r="A306" s="114" t="s">
        <v>680</v>
      </c>
      <c r="B306" s="157" t="s">
        <v>1602</v>
      </c>
      <c r="C306" s="76" t="s">
        <v>1603</v>
      </c>
      <c r="D306" s="76" t="s">
        <v>1604</v>
      </c>
      <c r="E306" s="76" t="s">
        <v>1605</v>
      </c>
      <c r="F306" s="110">
        <v>105.0</v>
      </c>
      <c r="G306" s="113" t="str">
        <f>IFERROR(__xludf.DUMMYFUNCTION("TRIM(REGEXREPLACE(C306, ""[0-9]+[a-f]?\."", """"))"),"For Ramadan, did your household purchase any of the following?")</f>
        <v>For Ramadan, did your household purchase any of the following?</v>
      </c>
      <c r="H306" s="113" t="str">
        <f>IFERROR(__xludf.DUMMYFUNCTION("TRIM(REGEXREPLACE(D306, ""[0-9]+[a-f]?\."", """"))"),"Pour le Ramadan, votre ménage a-t-il acheté l'un des produits suivants ?")</f>
        <v>Pour le Ramadan, votre ménage a-t-il acheté l'un des produits suivants ?</v>
      </c>
      <c r="I306" s="113" t="str">
        <f>IFERROR(__xludf.DUMMYFUNCTION("TRIM(REGEXREPLACE(E306, ""[0-9]+[a-f]?\."", """"))"),"Ga sallar azumi, gidanku ya sayi ɗaya daga cikin wadannan?")</f>
        <v>Ga sallar azumi, gidanku ya sayi ɗaya daga cikin wadannan?</v>
      </c>
      <c r="J306" s="113" t="str">
        <f t="shared" ref="J306:J309" si="70">F306 &amp; ". " &amp;G306</f>
        <v>105. For Ramadan, did your household purchase any of the following?</v>
      </c>
      <c r="K306" s="113" t="str">
        <f t="shared" ref="K306:K309" si="71">F306 &amp; ". " &amp;H306</f>
        <v>105. Pour le Ramadan, votre ménage a-t-il acheté l'un des produits suivants ?</v>
      </c>
      <c r="L306" s="113" t="str">
        <f t="shared" ref="L306:L309" si="72">F306 &amp; ". " &amp;I306</f>
        <v>105. Ga sallar azumi, gidanku ya sayi ɗaya daga cikin wadannan?</v>
      </c>
    </row>
    <row r="307">
      <c r="A307" s="114" t="s">
        <v>680</v>
      </c>
      <c r="B307" s="157" t="s">
        <v>1612</v>
      </c>
      <c r="C307" s="76" t="s">
        <v>878</v>
      </c>
      <c r="D307" s="76" t="s">
        <v>879</v>
      </c>
      <c r="E307" s="76" t="s">
        <v>880</v>
      </c>
      <c r="F307" s="110">
        <v>106.0</v>
      </c>
      <c r="G307" s="113" t="str">
        <f>IFERROR(__xludf.DUMMYFUNCTION("TRIM(REGEXREPLACE(C307, ""[0-9]+[a-f]?\."", """"))"),"Clothing")</f>
        <v>Clothing</v>
      </c>
      <c r="H307" s="113" t="str">
        <f>IFERROR(__xludf.DUMMYFUNCTION("TRIM(REGEXREPLACE(D307, ""[0-9]+[a-f]?\."", """"))"),"Vêtements")</f>
        <v>Vêtements</v>
      </c>
      <c r="I307" s="113" t="str">
        <f>IFERROR(__xludf.DUMMYFUNCTION("TRIM(REGEXREPLACE(E307, ""[0-9]+[a-f]?\."", """"))"),"Tufafi")</f>
        <v>Tufafi</v>
      </c>
      <c r="J307" s="113" t="str">
        <f t="shared" si="70"/>
        <v>106. Clothing</v>
      </c>
      <c r="K307" s="113" t="str">
        <f t="shared" si="71"/>
        <v>106. Vêtements</v>
      </c>
      <c r="L307" s="113" t="str">
        <f t="shared" si="72"/>
        <v>106. Tufafi</v>
      </c>
    </row>
    <row r="308">
      <c r="A308" s="114" t="s">
        <v>680</v>
      </c>
      <c r="B308" s="157" t="s">
        <v>1620</v>
      </c>
      <c r="C308" s="76" t="s">
        <v>886</v>
      </c>
      <c r="D308" s="76" t="s">
        <v>887</v>
      </c>
      <c r="E308" s="76" t="s">
        <v>888</v>
      </c>
      <c r="F308" s="110">
        <v>107.0</v>
      </c>
      <c r="G308" s="113" t="str">
        <f>IFERROR(__xludf.DUMMYFUNCTION("TRIM(REGEXREPLACE(C308, ""[0-9]+[a-f]?\."", """"))"),"Sheep")</f>
        <v>Sheep</v>
      </c>
      <c r="H308" s="113" t="str">
        <f>IFERROR(__xludf.DUMMYFUNCTION("TRIM(REGEXREPLACE(D308, ""[0-9]+[a-f]?\."", """"))"),"Mouton")</f>
        <v>Mouton</v>
      </c>
      <c r="I308" s="113" t="str">
        <f>IFERROR(__xludf.DUMMYFUNCTION("TRIM(REGEXREPLACE(E308, ""[0-9]+[a-f]?\."", """"))"),"Rago")</f>
        <v>Rago</v>
      </c>
      <c r="J308" s="113" t="str">
        <f t="shared" si="70"/>
        <v>107. Sheep</v>
      </c>
      <c r="K308" s="113" t="str">
        <f t="shared" si="71"/>
        <v>107. Mouton</v>
      </c>
      <c r="L308" s="113" t="str">
        <f t="shared" si="72"/>
        <v>107. Rago</v>
      </c>
    </row>
    <row r="309">
      <c r="A309" s="114" t="s">
        <v>680</v>
      </c>
      <c r="B309" s="157" t="s">
        <v>1621</v>
      </c>
      <c r="C309" s="76" t="s">
        <v>1622</v>
      </c>
      <c r="D309" s="76" t="s">
        <v>1623</v>
      </c>
      <c r="E309" s="76" t="s">
        <v>1624</v>
      </c>
      <c r="F309" s="110">
        <v>108.0</v>
      </c>
      <c r="G309" s="113" t="str">
        <f>IFERROR(__xludf.DUMMYFUNCTION("TRIM(REGEXREPLACE(C309, ""[0-9]+[a-f]?\."", """"))"),"Goat")</f>
        <v>Goat</v>
      </c>
      <c r="H309" s="113" t="str">
        <f>IFERROR(__xludf.DUMMYFUNCTION("TRIM(REGEXREPLACE(D309, ""[0-9]+[a-f]?\."", """"))"),"Chèvre")</f>
        <v>Chèvre</v>
      </c>
      <c r="I309" s="113" t="str">
        <f>IFERROR(__xludf.DUMMYFUNCTION("TRIM(REGEXREPLACE(E309, ""[0-9]+[a-f]?\."", """"))"),"Akuya")</f>
        <v>Akuya</v>
      </c>
      <c r="J309" s="113" t="str">
        <f t="shared" si="70"/>
        <v>108. Goat</v>
      </c>
      <c r="K309" s="113" t="str">
        <f t="shared" si="71"/>
        <v>108. Chèvre</v>
      </c>
      <c r="L309" s="113" t="str">
        <f t="shared" si="72"/>
        <v>108. Akuya</v>
      </c>
    </row>
    <row r="310" hidden="1">
      <c r="B310" s="119"/>
      <c r="C310" s="119"/>
      <c r="D310" s="119"/>
      <c r="E310" s="119"/>
      <c r="F310" s="110">
        <v>153.0</v>
      </c>
      <c r="G310" s="113" t="str">
        <f>IFERROR(__xludf.DUMMYFUNCTION("TRIM(REGEXREPLACE(C310, ""[0-9]+[a-f]?\."", """"))"),"")</f>
        <v/>
      </c>
      <c r="H310" s="113" t="str">
        <f>IFERROR(__xludf.DUMMYFUNCTION("TRIM(REGEXREPLACE(D310, ""[0-9]+[a-f]?\."", """"))"),"")</f>
        <v/>
      </c>
      <c r="I310" s="113" t="str">
        <f>IFERROR(__xludf.DUMMYFUNCTION("TRIM(REGEXREPLACE(E310, ""[0-9]+[a-f]?\."", """"))"),"")</f>
        <v/>
      </c>
      <c r="J310" s="113" t="s">
        <v>1626</v>
      </c>
      <c r="K310" s="113" t="s">
        <v>1627</v>
      </c>
      <c r="L310" s="113" t="s">
        <v>1628</v>
      </c>
    </row>
    <row r="311" hidden="1">
      <c r="B311" s="119"/>
      <c r="C311" s="119"/>
      <c r="D311" s="119"/>
      <c r="E311" s="119"/>
      <c r="F311" s="110">
        <v>154.0</v>
      </c>
      <c r="G311" s="113" t="str">
        <f>IFERROR(__xludf.DUMMYFUNCTION("TRIM(REGEXREPLACE(C311, ""[0-9]+[a-f]?\."", """"))"),"")</f>
        <v/>
      </c>
      <c r="H311" s="113" t="str">
        <f>IFERROR(__xludf.DUMMYFUNCTION("TRIM(REGEXREPLACE(D311, ""[0-9]+[a-f]?\."", """"))"),"")</f>
        <v/>
      </c>
      <c r="I311" s="113" t="str">
        <f>IFERROR(__xludf.DUMMYFUNCTION("TRIM(REGEXREPLACE(E311, ""[0-9]+[a-f]?\."", """"))"),"")</f>
        <v/>
      </c>
      <c r="J311" s="113" t="s">
        <v>1629</v>
      </c>
      <c r="K311" s="113" t="s">
        <v>1630</v>
      </c>
      <c r="L311" s="113" t="s">
        <v>1631</v>
      </c>
    </row>
    <row r="312">
      <c r="A312" s="114" t="s">
        <v>680</v>
      </c>
      <c r="B312" s="157" t="s">
        <v>1632</v>
      </c>
      <c r="C312" s="76" t="s">
        <v>1633</v>
      </c>
      <c r="D312" s="76" t="s">
        <v>1635</v>
      </c>
      <c r="E312" s="76" t="s">
        <v>1637</v>
      </c>
      <c r="F312" s="110">
        <v>109.0</v>
      </c>
      <c r="G312" s="113" t="str">
        <f>IFERROR(__xludf.DUMMYFUNCTION("TRIM(REGEXREPLACE(C312, ""[0-9]+[a-f]?\."", """"))"),"Poultry")</f>
        <v>Poultry</v>
      </c>
      <c r="H312" s="113" t="str">
        <f>IFERROR(__xludf.DUMMYFUNCTION("TRIM(REGEXREPLACE(D312, ""[0-9]+[a-f]?\."", """"))"),"Volaille")</f>
        <v>Volaille</v>
      </c>
      <c r="I312" s="113" t="str">
        <f>IFERROR(__xludf.DUMMYFUNCTION("TRIM(REGEXREPLACE(E312, ""[0-9]+[a-f]?\."", """"))"),"Kaji/zabi")</f>
        <v>Kaji/zabi</v>
      </c>
      <c r="J312" s="113" t="str">
        <f>F312 &amp; ". " &amp;G312</f>
        <v>109. Poultry</v>
      </c>
      <c r="K312" s="113" t="str">
        <f>F312 &amp; ". " &amp;H312</f>
        <v>109. Volaille</v>
      </c>
      <c r="L312" s="113" t="str">
        <f>F312 &amp; ". " &amp;I312</f>
        <v>109. Kaji/zabi</v>
      </c>
    </row>
    <row r="313" hidden="1">
      <c r="B313" s="119"/>
      <c r="C313" s="119"/>
      <c r="D313" s="119"/>
      <c r="E313" s="119"/>
      <c r="F313" s="110">
        <v>155.0</v>
      </c>
      <c r="G313" s="113" t="str">
        <f>IFERROR(__xludf.DUMMYFUNCTION("TRIM(REGEXREPLACE(C313, ""[0-9]+[a-f]?\."", """"))"),"")</f>
        <v/>
      </c>
      <c r="H313" s="113" t="str">
        <f>IFERROR(__xludf.DUMMYFUNCTION("TRIM(REGEXREPLACE(D313, ""[0-9]+[a-f]?\."", """"))"),"")</f>
        <v/>
      </c>
      <c r="I313" s="113" t="str">
        <f>IFERROR(__xludf.DUMMYFUNCTION("TRIM(REGEXREPLACE(E313, ""[0-9]+[a-f]?\."", """"))"),"")</f>
        <v/>
      </c>
      <c r="J313" s="113" t="s">
        <v>1642</v>
      </c>
      <c r="K313" s="113" t="s">
        <v>1643</v>
      </c>
      <c r="L313" s="113" t="s">
        <v>1644</v>
      </c>
    </row>
    <row r="314" hidden="1">
      <c r="B314" s="119"/>
      <c r="C314" s="119"/>
      <c r="D314" s="119"/>
      <c r="E314" s="119"/>
      <c r="F314" s="110">
        <v>156.0</v>
      </c>
      <c r="G314" s="113" t="str">
        <f>IFERROR(__xludf.DUMMYFUNCTION("TRIM(REGEXREPLACE(C314, ""[0-9]+[a-f]?\."", """"))"),"")</f>
        <v/>
      </c>
      <c r="H314" s="113" t="str">
        <f>IFERROR(__xludf.DUMMYFUNCTION("TRIM(REGEXREPLACE(D314, ""[0-9]+[a-f]?\."", """"))"),"")</f>
        <v/>
      </c>
      <c r="I314" s="113" t="str">
        <f>IFERROR(__xludf.DUMMYFUNCTION("TRIM(REGEXREPLACE(E314, ""[0-9]+[a-f]?\."", """"))"),"")</f>
        <v/>
      </c>
      <c r="J314" s="113" t="s">
        <v>1652</v>
      </c>
      <c r="K314" s="113" t="s">
        <v>1653</v>
      </c>
      <c r="L314" s="113" t="s">
        <v>1654</v>
      </c>
    </row>
    <row r="315" hidden="1">
      <c r="B315" s="119"/>
      <c r="C315" s="119"/>
      <c r="D315" s="119"/>
      <c r="E315" s="119"/>
      <c r="F315" s="110">
        <v>157.0</v>
      </c>
      <c r="G315" s="113" t="str">
        <f>IFERROR(__xludf.DUMMYFUNCTION("TRIM(REGEXREPLACE(C315, ""[0-9]+[a-f]?\."", """"))"),"")</f>
        <v/>
      </c>
      <c r="H315" s="113" t="str">
        <f>IFERROR(__xludf.DUMMYFUNCTION("TRIM(REGEXREPLACE(D315, ""[0-9]+[a-f]?\."", """"))"),"")</f>
        <v/>
      </c>
      <c r="I315" s="113" t="str">
        <f>IFERROR(__xludf.DUMMYFUNCTION("TRIM(REGEXREPLACE(E315, ""[0-9]+[a-f]?\."", """"))"),"")</f>
        <v/>
      </c>
      <c r="J315" s="113" t="s">
        <v>1661</v>
      </c>
      <c r="K315" s="113" t="s">
        <v>1662</v>
      </c>
      <c r="L315" s="113" t="s">
        <v>1663</v>
      </c>
    </row>
    <row r="316" hidden="1">
      <c r="B316" s="119"/>
      <c r="C316" s="119"/>
      <c r="D316" s="119"/>
      <c r="E316" s="119"/>
      <c r="F316" s="110">
        <v>158.0</v>
      </c>
      <c r="G316" s="113" t="str">
        <f>IFERROR(__xludf.DUMMYFUNCTION("TRIM(REGEXREPLACE(C316, ""[0-9]+[a-f]?\."", """"))"),"")</f>
        <v/>
      </c>
      <c r="H316" s="113" t="str">
        <f>IFERROR(__xludf.DUMMYFUNCTION("TRIM(REGEXREPLACE(D316, ""[0-9]+[a-f]?\."", """"))"),"")</f>
        <v/>
      </c>
      <c r="I316" s="113" t="str">
        <f>IFERROR(__xludf.DUMMYFUNCTION("TRIM(REGEXREPLACE(E316, ""[0-9]+[a-f]?\."", """"))"),"")</f>
        <v/>
      </c>
      <c r="J316" s="113" t="s">
        <v>1664</v>
      </c>
      <c r="K316" s="113" t="s">
        <v>1665</v>
      </c>
      <c r="L316" s="113" t="s">
        <v>1666</v>
      </c>
    </row>
    <row r="317" hidden="1">
      <c r="B317" s="119"/>
      <c r="C317" s="119"/>
      <c r="D317" s="119"/>
      <c r="E317" s="119"/>
      <c r="F317" s="110">
        <v>159.0</v>
      </c>
      <c r="G317" s="113" t="str">
        <f>IFERROR(__xludf.DUMMYFUNCTION("TRIM(REGEXREPLACE(C317, ""[0-9]+[a-f]?\."", """"))"),"")</f>
        <v/>
      </c>
      <c r="H317" s="113" t="str">
        <f>IFERROR(__xludf.DUMMYFUNCTION("TRIM(REGEXREPLACE(D317, ""[0-9]+[a-f]?\."", """"))"),"")</f>
        <v/>
      </c>
      <c r="I317" s="113" t="str">
        <f>IFERROR(__xludf.DUMMYFUNCTION("TRIM(REGEXREPLACE(E317, ""[0-9]+[a-f]?\."", """"))"),"")</f>
        <v/>
      </c>
      <c r="J317" s="113" t="s">
        <v>1673</v>
      </c>
      <c r="K317" s="113" t="s">
        <v>1674</v>
      </c>
      <c r="L317" s="113" t="s">
        <v>1675</v>
      </c>
    </row>
    <row r="318" hidden="1">
      <c r="B318" s="119"/>
      <c r="C318" s="119"/>
      <c r="D318" s="119"/>
      <c r="E318" s="119"/>
      <c r="F318" s="110">
        <v>195.0</v>
      </c>
      <c r="G318" s="113" t="str">
        <f>IFERROR(__xludf.DUMMYFUNCTION("TRIM(REGEXREPLACE(C318, ""[0-9]+[a-f]?\."", """"))"),"")</f>
        <v/>
      </c>
      <c r="H318" s="113" t="str">
        <f>IFERROR(__xludf.DUMMYFUNCTION("TRIM(REGEXREPLACE(D318, ""[0-9]+[a-f]?\."", """"))"),"")</f>
        <v/>
      </c>
      <c r="I318" s="113" t="str">
        <f>IFERROR(__xludf.DUMMYFUNCTION("TRIM(REGEXREPLACE(E318, ""[0-9]+[a-f]?\."", """"))"),"")</f>
        <v/>
      </c>
    </row>
    <row r="319" hidden="1">
      <c r="B319" s="119"/>
      <c r="C319" s="119"/>
      <c r="D319" s="119"/>
      <c r="E319" s="119"/>
      <c r="F319" s="110">
        <v>196.0</v>
      </c>
      <c r="G319" s="113" t="str">
        <f>IFERROR(__xludf.DUMMYFUNCTION("TRIM(REGEXREPLACE(C319, ""[0-9]+[a-f]?\."", """"))"),"")</f>
        <v/>
      </c>
      <c r="H319" s="113" t="str">
        <f>IFERROR(__xludf.DUMMYFUNCTION("TRIM(REGEXREPLACE(D319, ""[0-9]+[a-f]?\."", """"))"),"")</f>
        <v/>
      </c>
      <c r="I319" s="113" t="str">
        <f>IFERROR(__xludf.DUMMYFUNCTION("TRIM(REGEXREPLACE(E319, ""[0-9]+[a-f]?\."", """"))"),"")</f>
        <v/>
      </c>
    </row>
    <row r="320" hidden="1">
      <c r="A320" s="150" t="s">
        <v>343</v>
      </c>
      <c r="B320" s="81" t="s">
        <v>1598</v>
      </c>
      <c r="C320" s="83"/>
      <c r="D320" s="83"/>
      <c r="E320" s="83"/>
      <c r="F320" s="110">
        <v>198.0</v>
      </c>
      <c r="G320" s="113" t="str">
        <f>IFERROR(__xludf.DUMMYFUNCTION("TRIM(REGEXREPLACE(C320, ""[0-9]+[a-f]?\."", """"))"),"")</f>
        <v/>
      </c>
      <c r="H320" s="113" t="str">
        <f>IFERROR(__xludf.DUMMYFUNCTION("TRIM(REGEXREPLACE(D320, ""[0-9]+[a-f]?\."", """"))"),"")</f>
        <v/>
      </c>
      <c r="I320" s="113" t="str">
        <f>IFERROR(__xludf.DUMMYFUNCTION("TRIM(REGEXREPLACE(E320, ""[0-9]+[a-f]?\."", """"))"),"")</f>
        <v/>
      </c>
      <c r="J320" s="113" t="s">
        <v>1685</v>
      </c>
      <c r="K320" s="113" t="s">
        <v>1687</v>
      </c>
      <c r="L320" s="113" t="s">
        <v>1687</v>
      </c>
    </row>
    <row r="321" hidden="1">
      <c r="B321" s="119"/>
      <c r="C321" s="119"/>
      <c r="D321" s="119"/>
      <c r="E321" s="119"/>
      <c r="F321" s="110">
        <v>162.0</v>
      </c>
      <c r="G321" s="113" t="str">
        <f>IFERROR(__xludf.DUMMYFUNCTION("TRIM(REGEXREPLACE(C321, ""[0-9]+[a-f]?\."", """"))"),"")</f>
        <v/>
      </c>
      <c r="H321" s="113" t="str">
        <f>IFERROR(__xludf.DUMMYFUNCTION("TRIM(REGEXREPLACE(D321, ""[0-9]+[a-f]?\."", """"))"),"")</f>
        <v/>
      </c>
      <c r="I321" s="113" t="str">
        <f>IFERROR(__xludf.DUMMYFUNCTION("TRIM(REGEXREPLACE(E321, ""[0-9]+[a-f]?\."", """"))"),"")</f>
        <v/>
      </c>
      <c r="J321" s="113" t="s">
        <v>1693</v>
      </c>
      <c r="K321" s="113" t="s">
        <v>1694</v>
      </c>
      <c r="L321" s="113" t="s">
        <v>1695</v>
      </c>
    </row>
    <row r="322" hidden="1">
      <c r="B322" s="119"/>
      <c r="C322" s="119"/>
      <c r="D322" s="119"/>
      <c r="E322" s="119"/>
      <c r="F322" s="110">
        <v>197.0</v>
      </c>
      <c r="G322" s="113" t="str">
        <f>IFERROR(__xludf.DUMMYFUNCTION("TRIM(REGEXREPLACE(C322, ""[0-9]+[a-f]?\."", """"))"),"")</f>
        <v/>
      </c>
      <c r="H322" s="113" t="str">
        <f>IFERROR(__xludf.DUMMYFUNCTION("TRIM(REGEXREPLACE(D322, ""[0-9]+[a-f]?\."", """"))"),"")</f>
        <v/>
      </c>
      <c r="I322" s="113" t="str">
        <f>IFERROR(__xludf.DUMMYFUNCTION("TRIM(REGEXREPLACE(E322, ""[0-9]+[a-f]?\."", """"))"),"")</f>
        <v/>
      </c>
      <c r="J322" s="113" t="s">
        <v>1699</v>
      </c>
      <c r="K322" s="113" t="s">
        <v>1703</v>
      </c>
      <c r="L322" s="113" t="s">
        <v>1707</v>
      </c>
    </row>
    <row r="323" hidden="1">
      <c r="B323" s="119"/>
      <c r="C323" s="119"/>
      <c r="D323" s="119"/>
      <c r="E323" s="119"/>
      <c r="F323" s="110">
        <v>198.0</v>
      </c>
      <c r="G323" s="113" t="str">
        <f>IFERROR(__xludf.DUMMYFUNCTION("TRIM(REGEXREPLACE(C323, ""[0-9]+[a-f]?\."", """"))"),"")</f>
        <v/>
      </c>
      <c r="H323" s="113" t="str">
        <f>IFERROR(__xludf.DUMMYFUNCTION("TRIM(REGEXREPLACE(D323, ""[0-9]+[a-f]?\."", """"))"),"")</f>
        <v/>
      </c>
      <c r="I323" s="113" t="str">
        <f>IFERROR(__xludf.DUMMYFUNCTION("TRIM(REGEXREPLACE(E323, ""[0-9]+[a-f]?\."", """"))"),"")</f>
        <v/>
      </c>
      <c r="J323" s="113" t="s">
        <v>1715</v>
      </c>
      <c r="K323" s="113" t="s">
        <v>1716</v>
      </c>
      <c r="L323" s="113" t="s">
        <v>1717</v>
      </c>
    </row>
    <row r="324" hidden="1">
      <c r="B324" s="119"/>
      <c r="C324" s="119"/>
      <c r="D324" s="119"/>
      <c r="E324" s="119"/>
      <c r="F324" s="110">
        <v>199.0</v>
      </c>
      <c r="G324" s="113" t="str">
        <f>IFERROR(__xludf.DUMMYFUNCTION("TRIM(REGEXREPLACE(C324, ""[0-9]+[a-f]?\."", """"))"),"")</f>
        <v/>
      </c>
      <c r="H324" s="113" t="str">
        <f>IFERROR(__xludf.DUMMYFUNCTION("TRIM(REGEXREPLACE(D324, ""[0-9]+[a-f]?\."", """"))"),"")</f>
        <v/>
      </c>
      <c r="I324" s="113" t="str">
        <f>IFERROR(__xludf.DUMMYFUNCTION("TRIM(REGEXREPLACE(E324, ""[0-9]+[a-f]?\."", """"))"),"")</f>
        <v/>
      </c>
      <c r="J324" s="113" t="s">
        <v>1725</v>
      </c>
      <c r="K324" s="113" t="s">
        <v>1726</v>
      </c>
      <c r="L324" s="113" t="s">
        <v>1727</v>
      </c>
    </row>
    <row r="325" hidden="1">
      <c r="B325" s="119"/>
      <c r="C325" s="119"/>
      <c r="D325" s="119"/>
      <c r="E325" s="119"/>
      <c r="F325" s="110">
        <v>166.0</v>
      </c>
      <c r="G325" s="113" t="str">
        <f>IFERROR(__xludf.DUMMYFUNCTION("TRIM(REGEXREPLACE(C325, ""[0-9]+[a-f]?\."", """"))"),"")</f>
        <v/>
      </c>
      <c r="H325" s="113" t="str">
        <f>IFERROR(__xludf.DUMMYFUNCTION("TRIM(REGEXREPLACE(D325, ""[0-9]+[a-f]?\."", """"))"),"")</f>
        <v/>
      </c>
      <c r="I325" s="113" t="str">
        <f>IFERROR(__xludf.DUMMYFUNCTION("TRIM(REGEXREPLACE(E325, ""[0-9]+[a-f]?\."", """"))"),"")</f>
        <v/>
      </c>
      <c r="J325" s="113" t="s">
        <v>1734</v>
      </c>
      <c r="K325" s="113" t="s">
        <v>1735</v>
      </c>
      <c r="L325" s="113" t="s">
        <v>1736</v>
      </c>
    </row>
    <row r="326" hidden="1">
      <c r="B326" s="119"/>
      <c r="C326" s="119"/>
      <c r="D326" s="119"/>
      <c r="E326" s="119"/>
      <c r="F326" s="110">
        <v>167.0</v>
      </c>
      <c r="G326" s="113" t="str">
        <f>IFERROR(__xludf.DUMMYFUNCTION("TRIM(REGEXREPLACE(C326, ""[0-9]+[a-f]?\."", """"))"),"")</f>
        <v/>
      </c>
      <c r="H326" s="113" t="str">
        <f>IFERROR(__xludf.DUMMYFUNCTION("TRIM(REGEXREPLACE(D326, ""[0-9]+[a-f]?\."", """"))"),"")</f>
        <v/>
      </c>
      <c r="I326" s="113" t="str">
        <f>IFERROR(__xludf.DUMMYFUNCTION("TRIM(REGEXREPLACE(E326, ""[0-9]+[a-f]?\."", """"))"),"")</f>
        <v/>
      </c>
      <c r="J326" s="113" t="s">
        <v>1737</v>
      </c>
      <c r="K326" s="113" t="s">
        <v>1738</v>
      </c>
      <c r="L326" s="113" t="s">
        <v>1739</v>
      </c>
    </row>
    <row r="327" hidden="1">
      <c r="B327" s="119"/>
      <c r="C327" s="119"/>
      <c r="D327" s="119"/>
      <c r="E327" s="119"/>
      <c r="F327" s="110">
        <v>168.0</v>
      </c>
      <c r="G327" s="113" t="str">
        <f>IFERROR(__xludf.DUMMYFUNCTION("TRIM(REGEXREPLACE(C327, ""[0-9]+[a-f]?\."", """"))"),"")</f>
        <v/>
      </c>
      <c r="H327" s="113" t="str">
        <f>IFERROR(__xludf.DUMMYFUNCTION("TRIM(REGEXREPLACE(D327, ""[0-9]+[a-f]?\."", """"))"),"")</f>
        <v/>
      </c>
      <c r="I327" s="113" t="str">
        <f>IFERROR(__xludf.DUMMYFUNCTION("TRIM(REGEXREPLACE(E327, ""[0-9]+[a-f]?\."", """"))"),"")</f>
        <v/>
      </c>
      <c r="J327" s="113" t="s">
        <v>1750</v>
      </c>
      <c r="K327" s="113" t="s">
        <v>1751</v>
      </c>
      <c r="L327" s="113" t="s">
        <v>1752</v>
      </c>
    </row>
    <row r="328" hidden="1">
      <c r="B328" s="119"/>
      <c r="C328" s="119"/>
      <c r="D328" s="119"/>
      <c r="E328" s="119"/>
      <c r="F328" s="110">
        <v>198.0</v>
      </c>
      <c r="G328" s="113" t="str">
        <f>IFERROR(__xludf.DUMMYFUNCTION("TRIM(REGEXREPLACE(C328, ""[0-9]+[a-f]?\."", """"))"),"")</f>
        <v/>
      </c>
      <c r="H328" s="113" t="str">
        <f>IFERROR(__xludf.DUMMYFUNCTION("TRIM(REGEXREPLACE(D328, ""[0-9]+[a-f]?\."", """"))"),"")</f>
        <v/>
      </c>
      <c r="I328" s="113" t="str">
        <f>IFERROR(__xludf.DUMMYFUNCTION("TRIM(REGEXREPLACE(E328, ""[0-9]+[a-f]?\."", """"))"),"")</f>
        <v/>
      </c>
    </row>
    <row r="329" hidden="1">
      <c r="B329" s="119"/>
      <c r="C329" s="119"/>
      <c r="D329" s="119"/>
      <c r="E329" s="119"/>
      <c r="F329" s="110">
        <v>199.0</v>
      </c>
      <c r="G329" s="113" t="str">
        <f>IFERROR(__xludf.DUMMYFUNCTION("TRIM(REGEXREPLACE(C329, ""[0-9]+[a-f]?\."", """"))"),"")</f>
        <v/>
      </c>
      <c r="H329" s="113" t="str">
        <f>IFERROR(__xludf.DUMMYFUNCTION("TRIM(REGEXREPLACE(D329, ""[0-9]+[a-f]?\."", """"))"),"")</f>
        <v/>
      </c>
      <c r="I329" s="113" t="str">
        <f>IFERROR(__xludf.DUMMYFUNCTION("TRIM(REGEXREPLACE(E329, ""[0-9]+[a-f]?\."", """"))"),"")</f>
        <v/>
      </c>
    </row>
    <row r="330" hidden="1">
      <c r="A330" s="150" t="s">
        <v>343</v>
      </c>
      <c r="B330" s="208" t="s">
        <v>1455</v>
      </c>
      <c r="C330" s="83"/>
      <c r="D330" s="83"/>
      <c r="E330" s="83"/>
      <c r="F330" s="110">
        <v>199.0</v>
      </c>
      <c r="G330" s="113" t="str">
        <f>IFERROR(__xludf.DUMMYFUNCTION("TRIM(REGEXREPLACE(C330, ""[0-9]+[a-f]?\."", """"))"),"")</f>
        <v/>
      </c>
      <c r="H330" s="113" t="str">
        <f>IFERROR(__xludf.DUMMYFUNCTION("TRIM(REGEXREPLACE(D330, ""[0-9]+[a-f]?\."", """"))"),"")</f>
        <v/>
      </c>
      <c r="I330" s="113" t="str">
        <f>IFERROR(__xludf.DUMMYFUNCTION("TRIM(REGEXREPLACE(E330, ""[0-9]+[a-f]?\."", """"))"),"")</f>
        <v/>
      </c>
      <c r="J330" s="113" t="s">
        <v>1763</v>
      </c>
      <c r="K330" s="113" t="s">
        <v>1764</v>
      </c>
      <c r="L330" s="113" t="s">
        <v>1766</v>
      </c>
    </row>
    <row r="331" hidden="1">
      <c r="A331" s="187"/>
      <c r="B331" s="188"/>
      <c r="C331" s="188"/>
      <c r="D331" s="188"/>
      <c r="E331" s="188"/>
      <c r="F331" s="110">
        <v>200.0</v>
      </c>
      <c r="G331" s="113" t="str">
        <f>IFERROR(__xludf.DUMMYFUNCTION("TRIM(REGEXREPLACE(C331, ""[0-9]+[a-f]?\."", """"))"),"")</f>
        <v/>
      </c>
      <c r="H331" s="113" t="str">
        <f>IFERROR(__xludf.DUMMYFUNCTION("TRIM(REGEXREPLACE(D331, ""[0-9]+[a-f]?\."", """"))"),"")</f>
        <v/>
      </c>
      <c r="I331" s="113" t="str">
        <f>IFERROR(__xludf.DUMMYFUNCTION("TRIM(REGEXREPLACE(E331, ""[0-9]+[a-f]?\."", """"))"),"")</f>
        <v/>
      </c>
      <c r="J331" s="113" t="s">
        <v>1772</v>
      </c>
      <c r="K331" s="113" t="s">
        <v>1773</v>
      </c>
      <c r="L331" s="113" t="s">
        <v>1774</v>
      </c>
    </row>
    <row r="332">
      <c r="A332" s="114" t="s">
        <v>1777</v>
      </c>
      <c r="B332" s="165" t="s">
        <v>1779</v>
      </c>
      <c r="C332" s="76" t="s">
        <v>1780</v>
      </c>
      <c r="D332" s="76" t="s">
        <v>1781</v>
      </c>
      <c r="E332" s="76" t="s">
        <v>1782</v>
      </c>
      <c r="F332" s="110">
        <v>110.0</v>
      </c>
      <c r="G332" s="113" t="str">
        <f>IFERROR(__xludf.DUMMYFUNCTION("TRIM(REGEXREPLACE(C332, ""[0-9]+[a-f]?\."", """"))"),"During ${period}, was your household negatively affected by any of the following types of events?")</f>
        <v>During ${period}, was your household negatively affected by any of the following types of events?</v>
      </c>
      <c r="H332" s="113" t="str">
        <f>IFERROR(__xludf.DUMMYFUNCTION("TRIM(REGEXREPLACE(D332, ""[0-9]+[a-f]?\."", """"))"),"Au cours de ${period_french}, votre ménage a-t-il été affecté négativement par l'un des types d'événements suivants ?")</f>
        <v>Au cours de ${period_french}, votre ménage a-t-il été affecté négativement par l'un des types d'événements suivants ?</v>
      </c>
      <c r="I332" s="113" t="str">
        <f>IFERROR(__xludf.DUMMYFUNCTION("TRIM(REGEXREPLACE(E332, ""[0-9]+[a-f]?\."", """"))"),"A lokacin ${period_hausa}, ko gidanku ya fuskanci wani daga cikin matsaloli nan masu zuwa? Zaɓi duk abin da ya dace")</f>
        <v>A lokacin ${period_hausa}, ko gidanku ya fuskanci wani daga cikin matsaloli nan masu zuwa? Zaɓi duk abin da ya dace</v>
      </c>
      <c r="J332" s="113" t="str">
        <f>F332 &amp; ". " &amp;G332</f>
        <v>110. During ${period}, was your household negatively affected by any of the following types of events?</v>
      </c>
      <c r="K332" s="113" t="str">
        <f>F332 &amp; ". " &amp;H332</f>
        <v>110. Au cours de ${period_french}, votre ménage a-t-il été affecté négativement par l'un des types d'événements suivants ?</v>
      </c>
      <c r="L332" s="113" t="str">
        <f>F332 &amp; ". " &amp;I332</f>
        <v>110. A lokacin ${period_hausa}, ko gidanku ya fuskanci wani daga cikin matsaloli nan masu zuwa? Zaɓi duk abin da ya dace</v>
      </c>
    </row>
    <row r="333" hidden="1">
      <c r="B333" s="119"/>
      <c r="C333" s="119"/>
      <c r="D333" s="119"/>
      <c r="E333" s="119"/>
      <c r="F333" s="110">
        <v>201.0</v>
      </c>
      <c r="G333" s="113" t="str">
        <f>IFERROR(__xludf.DUMMYFUNCTION("TRIM(REGEXREPLACE(C333, ""[0-9]+[a-f]?\."", """"))"),"")</f>
        <v/>
      </c>
      <c r="H333" s="113" t="str">
        <f>IFERROR(__xludf.DUMMYFUNCTION("TRIM(REGEXREPLACE(D333, ""[0-9]+[a-f]?\."", """"))"),"")</f>
        <v/>
      </c>
      <c r="I333" s="113" t="str">
        <f>IFERROR(__xludf.DUMMYFUNCTION("TRIM(REGEXREPLACE(E333, ""[0-9]+[a-f]?\."", """"))"),"")</f>
        <v/>
      </c>
      <c r="J333" s="113" t="s">
        <v>1796</v>
      </c>
      <c r="K333" s="113" t="s">
        <v>1797</v>
      </c>
      <c r="L333" s="113" t="s">
        <v>1798</v>
      </c>
    </row>
    <row r="334" hidden="1">
      <c r="B334" s="119"/>
      <c r="C334" s="119"/>
      <c r="D334" s="119"/>
      <c r="E334" s="119"/>
      <c r="F334" s="110">
        <v>202.0</v>
      </c>
      <c r="G334" s="113" t="str">
        <f>IFERROR(__xludf.DUMMYFUNCTION("TRIM(REGEXREPLACE(C334, ""[0-9]+[a-f]?\."", """"))"),"")</f>
        <v/>
      </c>
      <c r="H334" s="113" t="str">
        <f>IFERROR(__xludf.DUMMYFUNCTION("TRIM(REGEXREPLACE(D334, ""[0-9]+[a-f]?\."", """"))"),"")</f>
        <v/>
      </c>
      <c r="I334" s="113" t="str">
        <f>IFERROR(__xludf.DUMMYFUNCTION("TRIM(REGEXREPLACE(E334, ""[0-9]+[a-f]?\."", """"))"),"")</f>
        <v/>
      </c>
    </row>
    <row r="335" hidden="1">
      <c r="B335" s="119"/>
      <c r="C335" s="119"/>
      <c r="D335" s="119"/>
      <c r="E335" s="119"/>
      <c r="F335" s="110">
        <v>174.0</v>
      </c>
      <c r="G335" s="113" t="str">
        <f>IFERROR(__xludf.DUMMYFUNCTION("TRIM(REGEXREPLACE(C335, ""[0-9]+[a-f]?\."", """"))"),"")</f>
        <v/>
      </c>
      <c r="H335" s="113" t="str">
        <f>IFERROR(__xludf.DUMMYFUNCTION("TRIM(REGEXREPLACE(D335, ""[0-9]+[a-f]?\."", """"))"),"")</f>
        <v/>
      </c>
      <c r="I335" s="113" t="str">
        <f>IFERROR(__xludf.DUMMYFUNCTION("TRIM(REGEXREPLACE(E335, ""[0-9]+[a-f]?\."", """"))"),"")</f>
        <v/>
      </c>
      <c r="J335" s="113" t="s">
        <v>1799</v>
      </c>
      <c r="K335" s="113" t="s">
        <v>1800</v>
      </c>
      <c r="L335" s="113" t="s">
        <v>1801</v>
      </c>
    </row>
    <row r="336" hidden="1">
      <c r="B336" s="119"/>
      <c r="C336" s="119"/>
      <c r="D336" s="119"/>
      <c r="E336" s="119"/>
      <c r="F336" s="110">
        <v>202.0</v>
      </c>
      <c r="G336" s="113" t="str">
        <f>IFERROR(__xludf.DUMMYFUNCTION("TRIM(REGEXREPLACE(C336, ""[0-9]+[a-f]?\."", """"))"),"")</f>
        <v/>
      </c>
      <c r="H336" s="113" t="str">
        <f>IFERROR(__xludf.DUMMYFUNCTION("TRIM(REGEXREPLACE(D336, ""[0-9]+[a-f]?\."", """"))"),"")</f>
        <v/>
      </c>
      <c r="I336" s="113" t="str">
        <f>IFERROR(__xludf.DUMMYFUNCTION("TRIM(REGEXREPLACE(E336, ""[0-9]+[a-f]?\."", """"))"),"")</f>
        <v/>
      </c>
      <c r="J336" s="113" t="s">
        <v>1802</v>
      </c>
      <c r="K336" s="113" t="s">
        <v>1803</v>
      </c>
      <c r="L336" s="113" t="s">
        <v>1804</v>
      </c>
    </row>
    <row r="337" hidden="1">
      <c r="B337" s="119"/>
      <c r="C337" s="119"/>
      <c r="D337" s="119"/>
      <c r="E337" s="119"/>
      <c r="F337" s="110">
        <v>203.0</v>
      </c>
      <c r="G337" s="113" t="str">
        <f>IFERROR(__xludf.DUMMYFUNCTION("TRIM(REGEXREPLACE(C337, ""[0-9]+[a-f]?\."", """"))"),"")</f>
        <v/>
      </c>
      <c r="H337" s="113" t="str">
        <f>IFERROR(__xludf.DUMMYFUNCTION("TRIM(REGEXREPLACE(D337, ""[0-9]+[a-f]?\."", """"))"),"")</f>
        <v/>
      </c>
      <c r="I337" s="113" t="str">
        <f>IFERROR(__xludf.DUMMYFUNCTION("TRIM(REGEXREPLACE(E337, ""[0-9]+[a-f]?\."", """"))"),"")</f>
        <v/>
      </c>
      <c r="J337" s="113" t="s">
        <v>1806</v>
      </c>
      <c r="K337" s="113" t="s">
        <v>1807</v>
      </c>
      <c r="L337" s="113" t="s">
        <v>1812</v>
      </c>
    </row>
    <row r="338" hidden="1">
      <c r="B338" s="119"/>
      <c r="C338" s="119"/>
      <c r="D338" s="119"/>
      <c r="E338" s="119"/>
      <c r="F338" s="110">
        <v>204.0</v>
      </c>
      <c r="G338" s="113" t="str">
        <f>IFERROR(__xludf.DUMMYFUNCTION("TRIM(REGEXREPLACE(C338, ""[0-9]+[a-f]?\."", """"))"),"")</f>
        <v/>
      </c>
      <c r="H338" s="113" t="str">
        <f>IFERROR(__xludf.DUMMYFUNCTION("TRIM(REGEXREPLACE(D338, ""[0-9]+[a-f]?\."", """"))"),"")</f>
        <v/>
      </c>
      <c r="I338" s="113" t="str">
        <f>IFERROR(__xludf.DUMMYFUNCTION("TRIM(REGEXREPLACE(E338, ""[0-9]+[a-f]?\."", """"))"),"")</f>
        <v/>
      </c>
      <c r="J338" s="113" t="s">
        <v>1813</v>
      </c>
      <c r="K338" s="113" t="s">
        <v>1814</v>
      </c>
      <c r="L338" s="113" t="s">
        <v>1815</v>
      </c>
    </row>
    <row r="339" hidden="1">
      <c r="B339" s="119"/>
      <c r="C339" s="119"/>
      <c r="D339" s="119"/>
      <c r="E339" s="119"/>
      <c r="F339" s="110">
        <v>182.0</v>
      </c>
      <c r="G339" s="113" t="str">
        <f>IFERROR(__xludf.DUMMYFUNCTION("TRIM(REGEXREPLACE(C339, ""[0-9]+[a-f]?\."", """"))"),"")</f>
        <v/>
      </c>
      <c r="H339" s="113" t="str">
        <f>IFERROR(__xludf.DUMMYFUNCTION("TRIM(REGEXREPLACE(D339, ""[0-9]+[a-f]?\."", """"))"),"")</f>
        <v/>
      </c>
      <c r="I339" s="113" t="str">
        <f>IFERROR(__xludf.DUMMYFUNCTION("TRIM(REGEXREPLACE(E339, ""[0-9]+[a-f]?\."", """"))"),"")</f>
        <v/>
      </c>
      <c r="J339" s="113" t="s">
        <v>1819</v>
      </c>
      <c r="K339" s="113" t="s">
        <v>1820</v>
      </c>
      <c r="L339" s="113" t="s">
        <v>1822</v>
      </c>
    </row>
    <row r="340">
      <c r="A340" s="162" t="s">
        <v>217</v>
      </c>
      <c r="B340" s="166" t="s">
        <v>1825</v>
      </c>
      <c r="C340" s="76" t="s">
        <v>1826</v>
      </c>
      <c r="D340" s="76" t="s">
        <v>1827</v>
      </c>
      <c r="E340" s="76" t="s">
        <v>1828</v>
      </c>
      <c r="F340" s="110">
        <v>111.0</v>
      </c>
      <c r="G340" s="113" t="str">
        <f>IFERROR(__xludf.DUMMYFUNCTION("TRIM(REGEXREPLACE(C340, ""[0-9]+[a-f]?\."", """"))"),"Please briefly describe the event(s) that negatveily affected your household")</f>
        <v>Please briefly describe the event(s) that negatveily affected your household</v>
      </c>
      <c r="H340" s="113" t="str">
        <f>IFERROR(__xludf.DUMMYFUNCTION("TRIM(REGEXREPLACE(D340, ""[0-9]+[a-f]?\."", """"))"),"Veuillez décrire brièvement le/les événement(s) qui ont eu des effets négatifs sur votre ménage au cours des 3 derniers mois")</f>
        <v>Veuillez décrire brièvement le/les événement(s) qui ont eu des effets négatifs sur votre ménage au cours des 3 derniers mois</v>
      </c>
      <c r="I340" s="113" t="str">
        <f>IFERROR(__xludf.DUMMYFUNCTION("TRIM(REGEXREPLACE(E340, ""[0-9]+[a-f]?\."", """"))"),"Da fatan za ku yi taƙaitaccen bayani a kan abin da ya shafi gidan ku")</f>
        <v>Da fatan za ku yi taƙaitaccen bayani a kan abin da ya shafi gidan ku</v>
      </c>
      <c r="J340" s="113" t="str">
        <f>F340 &amp; ". " &amp;G340</f>
        <v>111. Please briefly describe the event(s) that negatveily affected your household</v>
      </c>
      <c r="K340" s="113" t="str">
        <f>F340 &amp; ". " &amp;H340</f>
        <v>111. Veuillez décrire brièvement le/les événement(s) qui ont eu des effets négatifs sur votre ménage au cours des 3 derniers mois</v>
      </c>
      <c r="L340" s="113" t="str">
        <f>F340 &amp; ". " &amp;I340</f>
        <v>111. Da fatan za ku yi taƙaitaccen bayani a kan abin da ya shafi gidan ku</v>
      </c>
    </row>
    <row r="341" hidden="1">
      <c r="A341" s="167" t="s">
        <v>807</v>
      </c>
      <c r="B341" s="168" t="s">
        <v>1838</v>
      </c>
      <c r="C341" s="168" t="s">
        <v>1839</v>
      </c>
      <c r="D341" s="168"/>
      <c r="E341" s="168"/>
      <c r="F341" s="110">
        <v>203.0</v>
      </c>
      <c r="G341" s="113" t="str">
        <f>IFERROR(__xludf.DUMMYFUNCTION("TRIM(REGEXREPLACE(C341, ""[0-9]+[a-f]?\."", """"))"),"Emergency response")</f>
        <v>Emergency response</v>
      </c>
      <c r="H341" s="113" t="str">
        <f>IFERROR(__xludf.DUMMYFUNCTION("TRIM(REGEXREPLACE(D341, ""[0-9]+[a-f]?\."", """"))"),"")</f>
        <v/>
      </c>
      <c r="I341" s="113" t="str">
        <f>IFERROR(__xludf.DUMMYFUNCTION("TRIM(REGEXREPLACE(E341, ""[0-9]+[a-f]?\."", """"))"),"")</f>
        <v/>
      </c>
      <c r="J341" s="113" t="s">
        <v>1846</v>
      </c>
      <c r="K341" s="113" t="s">
        <v>1847</v>
      </c>
      <c r="L341" s="113" t="s">
        <v>1848</v>
      </c>
    </row>
    <row r="342" hidden="1">
      <c r="B342" s="119"/>
      <c r="C342" s="119"/>
      <c r="D342" s="119"/>
      <c r="E342" s="119"/>
      <c r="F342" s="110">
        <v>176.0</v>
      </c>
      <c r="G342" s="113" t="str">
        <f>IFERROR(__xludf.DUMMYFUNCTION("TRIM(REGEXREPLACE(C342, ""[0-9]+[a-f]?\."", """"))"),"")</f>
        <v/>
      </c>
      <c r="H342" s="113" t="str">
        <f>IFERROR(__xludf.DUMMYFUNCTION("TRIM(REGEXREPLACE(D342, ""[0-9]+[a-f]?\."", """"))"),"")</f>
        <v/>
      </c>
      <c r="I342" s="113" t="str">
        <f>IFERROR(__xludf.DUMMYFUNCTION("TRIM(REGEXREPLACE(E342, ""[0-9]+[a-f]?\."", """"))"),"")</f>
        <v/>
      </c>
      <c r="J342" s="113" t="s">
        <v>1852</v>
      </c>
      <c r="K342" s="113" t="s">
        <v>1853</v>
      </c>
      <c r="L342" s="113" t="s">
        <v>1854</v>
      </c>
    </row>
    <row r="343" hidden="1">
      <c r="B343" s="119"/>
      <c r="C343" s="119"/>
      <c r="D343" s="119"/>
      <c r="E343" s="119"/>
      <c r="F343" s="110">
        <v>177.0</v>
      </c>
      <c r="G343" s="113" t="str">
        <f>IFERROR(__xludf.DUMMYFUNCTION("TRIM(REGEXREPLACE(C343, ""[0-9]+[a-f]?\."", """"))"),"")</f>
        <v/>
      </c>
      <c r="H343" s="113" t="str">
        <f>IFERROR(__xludf.DUMMYFUNCTION("TRIM(REGEXREPLACE(D343, ""[0-9]+[a-f]?\."", """"))"),"")</f>
        <v/>
      </c>
      <c r="I343" s="113" t="str">
        <f>IFERROR(__xludf.DUMMYFUNCTION("TRIM(REGEXREPLACE(E343, ""[0-9]+[a-f]?\."", """"))"),"")</f>
        <v/>
      </c>
      <c r="J343" s="113" t="s">
        <v>1858</v>
      </c>
      <c r="K343" s="113" t="s">
        <v>1859</v>
      </c>
      <c r="L343" s="113" t="s">
        <v>1860</v>
      </c>
    </row>
    <row r="344" hidden="1">
      <c r="A344" s="131" t="s">
        <v>115</v>
      </c>
      <c r="B344" s="132" t="s">
        <v>1863</v>
      </c>
      <c r="C344" s="133" t="s">
        <v>1864</v>
      </c>
      <c r="D344" s="133"/>
      <c r="E344" s="133"/>
      <c r="F344" s="110">
        <v>204.0</v>
      </c>
      <c r="G344" s="113" t="str">
        <f>IFERROR(__xludf.DUMMYFUNCTION("TRIM(REGEXREPLACE(C344, ""[0-9]+[a-f]?\."", """"))"),"Emergency Name")</f>
        <v>Emergency Name</v>
      </c>
      <c r="H344" s="113" t="str">
        <f>IFERROR(__xludf.DUMMYFUNCTION("TRIM(REGEXREPLACE(D344, ""[0-9]+[a-f]?\."", """"))"),"")</f>
        <v/>
      </c>
      <c r="I344" s="113" t="str">
        <f>IFERROR(__xludf.DUMMYFUNCTION("TRIM(REGEXREPLACE(E344, ""[0-9]+[a-f]?\."", """"))"),"")</f>
        <v/>
      </c>
      <c r="J344" s="113" t="s">
        <v>1868</v>
      </c>
      <c r="K344" s="113" t="s">
        <v>1869</v>
      </c>
      <c r="L344" s="113" t="s">
        <v>1870</v>
      </c>
    </row>
    <row r="345" hidden="1">
      <c r="A345" s="150" t="s">
        <v>161</v>
      </c>
      <c r="B345" s="82" t="s">
        <v>1871</v>
      </c>
      <c r="C345" s="82"/>
      <c r="D345" s="82"/>
      <c r="E345" s="82"/>
      <c r="F345" s="110">
        <v>205.0</v>
      </c>
      <c r="G345" s="113" t="str">
        <f>IFERROR(__xludf.DUMMYFUNCTION("TRIM(REGEXREPLACE(C345, ""[0-9]+[a-f]?\."", """"))"),"")</f>
        <v/>
      </c>
      <c r="H345" s="113" t="str">
        <f>IFERROR(__xludf.DUMMYFUNCTION("TRIM(REGEXREPLACE(D345, ""[0-9]+[a-f]?\."", """"))"),"")</f>
        <v/>
      </c>
      <c r="I345" s="113" t="str">
        <f>IFERROR(__xludf.DUMMYFUNCTION("TRIM(REGEXREPLACE(E345, ""[0-9]+[a-f]?\."", """"))"),"")</f>
        <v/>
      </c>
      <c r="J345" s="113" t="s">
        <v>1872</v>
      </c>
      <c r="K345" s="113" t="s">
        <v>1873</v>
      </c>
      <c r="L345" s="113" t="s">
        <v>1874</v>
      </c>
    </row>
    <row r="346">
      <c r="A346" s="114" t="s">
        <v>680</v>
      </c>
      <c r="B346" s="165" t="s">
        <v>1877</v>
      </c>
      <c r="C346" s="76" t="s">
        <v>1879</v>
      </c>
      <c r="D346" s="76" t="s">
        <v>1881</v>
      </c>
      <c r="E346" s="76" t="s">
        <v>1883</v>
      </c>
      <c r="F346" s="110">
        <v>112.0</v>
      </c>
      <c r="G346" s="113" t="str">
        <f>IFERROR(__xludf.DUMMYFUNCTION("TRIM(REGEXREPLACE(C346, ""[0-9]+[a-f]?\."", """"))"),"In response to ${w_emergency_name}, did you or your household take the following actions?")</f>
        <v>In response to ${w_emergency_name}, did you or your household take the following actions?</v>
      </c>
      <c r="H346" s="113" t="str">
        <f>IFERROR(__xludf.DUMMYFUNCTION("TRIM(REGEXREPLACE(D346, ""[0-9]+[a-f]?\."", """"))"),"En réponse à ${w_emergency_name}, avez-vous vous ou votre ménage pris les mesures suivantes ??")</f>
        <v>En réponse à ${w_emergency_name}, avez-vous vous ou votre ménage pris les mesures suivantes ??</v>
      </c>
      <c r="I346" s="113" t="str">
        <f>IFERROR(__xludf.DUMMYFUNCTION("TRIM(REGEXREPLACE(E346, ""[0-9]+[a-f]?\."", """"))"),"Dangance da ${w_emergency_name}, ku ko ƴan gindanku kun ɗauki waɗannan matakai?")</f>
        <v>Dangance da ${w_emergency_name}, ku ko ƴan gindanku kun ɗauki waɗannan matakai?</v>
      </c>
      <c r="J346" s="113" t="str">
        <f>F346 &amp; ". " &amp;G346</f>
        <v>112. In response to ${w_emergency_name}, did you or your household take the following actions?</v>
      </c>
      <c r="K346" s="113" t="str">
        <f>F346 &amp; ". " &amp;H346</f>
        <v>112. En réponse à ${w_emergency_name}, avez-vous vous ou votre ménage pris les mesures suivantes ??</v>
      </c>
      <c r="L346" s="113" t="str">
        <f>F346 &amp; ". " &amp;I346</f>
        <v>112. Dangance da ${w_emergency_name}, ku ko ƴan gindanku kun ɗauki waɗannan matakai?</v>
      </c>
    </row>
    <row r="347" hidden="1">
      <c r="B347" s="119"/>
      <c r="C347" s="119"/>
      <c r="D347" s="119"/>
      <c r="E347" s="119"/>
      <c r="F347" s="110">
        <v>190.0</v>
      </c>
      <c r="G347" s="113" t="str">
        <f>IFERROR(__xludf.DUMMYFUNCTION("TRIM(REGEXREPLACE(C347, ""[0-9]+[a-f]?\."", """"))"),"")</f>
        <v/>
      </c>
      <c r="H347" s="113" t="str">
        <f>IFERROR(__xludf.DUMMYFUNCTION("TRIM(REGEXREPLACE(D347, ""[0-9]+[a-f]?\."", """"))"),"")</f>
        <v/>
      </c>
      <c r="I347" s="113" t="str">
        <f>IFERROR(__xludf.DUMMYFUNCTION("TRIM(REGEXREPLACE(E347, ""[0-9]+[a-f]?\."", """"))"),"")</f>
        <v/>
      </c>
      <c r="J347" s="113" t="s">
        <v>1894</v>
      </c>
      <c r="K347" s="113" t="s">
        <v>1895</v>
      </c>
      <c r="L347" s="113" t="s">
        <v>1896</v>
      </c>
    </row>
    <row r="348" hidden="1">
      <c r="B348" s="119"/>
      <c r="C348" s="119"/>
      <c r="D348" s="119"/>
      <c r="E348" s="119"/>
      <c r="F348" s="110">
        <v>191.0</v>
      </c>
      <c r="G348" s="113" t="str">
        <f>IFERROR(__xludf.DUMMYFUNCTION("TRIM(REGEXREPLACE(C348, ""[0-9]+[a-f]?\."", """"))"),"")</f>
        <v/>
      </c>
      <c r="H348" s="113" t="str">
        <f>IFERROR(__xludf.DUMMYFUNCTION("TRIM(REGEXREPLACE(D348, ""[0-9]+[a-f]?\."", """"))"),"")</f>
        <v/>
      </c>
      <c r="I348" s="113" t="str">
        <f>IFERROR(__xludf.DUMMYFUNCTION("TRIM(REGEXREPLACE(E348, ""[0-9]+[a-f]?\."", """"))"),"")</f>
        <v/>
      </c>
      <c r="J348" s="113" t="s">
        <v>1897</v>
      </c>
      <c r="K348" s="113" t="s">
        <v>1898</v>
      </c>
      <c r="L348" s="113" t="s">
        <v>1899</v>
      </c>
    </row>
    <row r="349" hidden="1">
      <c r="B349" s="119"/>
      <c r="C349" s="119"/>
      <c r="D349" s="119"/>
      <c r="E349" s="119"/>
      <c r="F349" s="110">
        <v>192.0</v>
      </c>
      <c r="G349" s="113" t="str">
        <f>IFERROR(__xludf.DUMMYFUNCTION("TRIM(REGEXREPLACE(C349, ""[0-9]+[a-f]?\."", """"))"),"")</f>
        <v/>
      </c>
      <c r="H349" s="113" t="str">
        <f>IFERROR(__xludf.DUMMYFUNCTION("TRIM(REGEXREPLACE(D349, ""[0-9]+[a-f]?\."", """"))"),"")</f>
        <v/>
      </c>
      <c r="I349" s="113" t="str">
        <f>IFERROR(__xludf.DUMMYFUNCTION("TRIM(REGEXREPLACE(E349, ""[0-9]+[a-f]?\."", """"))"),"")</f>
        <v/>
      </c>
      <c r="J349" s="113" t="s">
        <v>1903</v>
      </c>
      <c r="K349" s="113" t="s">
        <v>1904</v>
      </c>
      <c r="L349" s="113" t="s">
        <v>1905</v>
      </c>
    </row>
    <row r="350" hidden="1">
      <c r="B350" s="119"/>
      <c r="C350" s="119"/>
      <c r="D350" s="119"/>
      <c r="E350" s="119"/>
      <c r="F350" s="110">
        <v>180.0</v>
      </c>
      <c r="G350" s="113" t="str">
        <f>IFERROR(__xludf.DUMMYFUNCTION("TRIM(REGEXREPLACE(C350, ""[0-9]+[a-f]?\."", """"))"),"")</f>
        <v/>
      </c>
      <c r="H350" s="113" t="str">
        <f>IFERROR(__xludf.DUMMYFUNCTION("TRIM(REGEXREPLACE(D350, ""[0-9]+[a-f]?\."", """"))"),"")</f>
        <v/>
      </c>
      <c r="I350" s="113" t="str">
        <f>IFERROR(__xludf.DUMMYFUNCTION("TRIM(REGEXREPLACE(E350, ""[0-9]+[a-f]?\."", """"))"),"")</f>
        <v/>
      </c>
      <c r="J350" s="113" t="s">
        <v>1907</v>
      </c>
      <c r="K350" s="113" t="s">
        <v>1909</v>
      </c>
      <c r="L350" s="113" t="s">
        <v>1911</v>
      </c>
    </row>
    <row r="351" hidden="1">
      <c r="B351" s="119"/>
      <c r="C351" s="119"/>
      <c r="D351" s="119"/>
      <c r="E351" s="119"/>
      <c r="F351" s="110">
        <v>181.0</v>
      </c>
      <c r="G351" s="113" t="str">
        <f>IFERROR(__xludf.DUMMYFUNCTION("TRIM(REGEXREPLACE(C351, ""[0-9]+[a-f]?\."", """"))"),"")</f>
        <v/>
      </c>
      <c r="H351" s="113" t="str">
        <f>IFERROR(__xludf.DUMMYFUNCTION("TRIM(REGEXREPLACE(D351, ""[0-9]+[a-f]?\."", """"))"),"")</f>
        <v/>
      </c>
      <c r="I351" s="113" t="str">
        <f>IFERROR(__xludf.DUMMYFUNCTION("TRIM(REGEXREPLACE(E351, ""[0-9]+[a-f]?\."", """"))"),"")</f>
        <v/>
      </c>
      <c r="J351" s="113" t="s">
        <v>1912</v>
      </c>
      <c r="K351" s="113" t="s">
        <v>1913</v>
      </c>
      <c r="L351" s="113" t="s">
        <v>1914</v>
      </c>
    </row>
    <row r="352">
      <c r="A352" s="114" t="s">
        <v>680</v>
      </c>
      <c r="B352" s="165" t="s">
        <v>1915</v>
      </c>
      <c r="C352" s="76" t="s">
        <v>1916</v>
      </c>
      <c r="D352" s="76" t="s">
        <v>1917</v>
      </c>
      <c r="E352" s="76" t="s">
        <v>1918</v>
      </c>
      <c r="F352" s="110">
        <v>113.0</v>
      </c>
      <c r="G352" s="113" t="str">
        <f>IFERROR(__xludf.DUMMYFUNCTION("TRIM(REGEXREPLACE(C352, ""[0-9]+[a-f]?\."", """"))"),"Sell assets?")</f>
        <v>Sell assets?</v>
      </c>
      <c r="H352" s="113" t="str">
        <f>IFERROR(__xludf.DUMMYFUNCTION("TRIM(REGEXREPLACE(D352, ""[0-9]+[a-f]?\."", """"))"),"Vendre des actifs")</f>
        <v>Vendre des actifs</v>
      </c>
      <c r="I352" s="113" t="str">
        <f>IFERROR(__xludf.DUMMYFUNCTION("TRIM(REGEXREPLACE(E352, ""[0-9]+[a-f]?\."", """"))"),"Saida kadarori")</f>
        <v>Saida kadarori</v>
      </c>
      <c r="J352" s="113" t="str">
        <f>F352 &amp; ". " &amp;G352</f>
        <v>113. Sell assets?</v>
      </c>
      <c r="K352" s="113" t="str">
        <f>F352 &amp; ". " &amp;H352</f>
        <v>113. Vendre des actifs</v>
      </c>
      <c r="L352" s="113" t="str">
        <f>F352 &amp; ". " &amp;I352</f>
        <v>113. Saida kadarori</v>
      </c>
    </row>
    <row r="353" hidden="1">
      <c r="B353" s="119"/>
      <c r="C353" s="119"/>
      <c r="D353" s="119"/>
      <c r="E353" s="119"/>
      <c r="F353" s="110">
        <v>196.0</v>
      </c>
      <c r="G353" s="113" t="str">
        <f>IFERROR(__xludf.DUMMYFUNCTION("TRIM(REGEXREPLACE(C353, ""[0-9]+[a-f]?\."", """"))"),"")</f>
        <v/>
      </c>
      <c r="H353" s="113" t="str">
        <f>IFERROR(__xludf.DUMMYFUNCTION("TRIM(REGEXREPLACE(D353, ""[0-9]+[a-f]?\."", """"))"),"")</f>
        <v/>
      </c>
      <c r="I353" s="113" t="str">
        <f>IFERROR(__xludf.DUMMYFUNCTION("TRIM(REGEXREPLACE(E353, ""[0-9]+[a-f]?\."", """"))"),"")</f>
        <v/>
      </c>
      <c r="J353" s="113" t="s">
        <v>1926</v>
      </c>
      <c r="K353" s="113" t="s">
        <v>1927</v>
      </c>
      <c r="L353" s="113" t="s">
        <v>1928</v>
      </c>
    </row>
    <row r="354" hidden="1">
      <c r="B354" s="119"/>
      <c r="C354" s="119"/>
      <c r="D354" s="119"/>
      <c r="E354" s="119"/>
      <c r="F354" s="110">
        <v>204.0</v>
      </c>
      <c r="G354" s="113" t="str">
        <f>IFERROR(__xludf.DUMMYFUNCTION("TRIM(REGEXREPLACE(C354, ""[0-9]+[a-f]?\."", """"))"),"")</f>
        <v/>
      </c>
      <c r="H354" s="113" t="str">
        <f>IFERROR(__xludf.DUMMYFUNCTION("TRIM(REGEXREPLACE(D354, ""[0-9]+[a-f]?\."", """"))"),"")</f>
        <v/>
      </c>
      <c r="I354" s="113" t="str">
        <f>IFERROR(__xludf.DUMMYFUNCTION("TRIM(REGEXREPLACE(E354, ""[0-9]+[a-f]?\."", """"))"),"")</f>
        <v/>
      </c>
    </row>
    <row r="355" hidden="1">
      <c r="B355" s="119"/>
      <c r="C355" s="119"/>
      <c r="D355" s="119"/>
      <c r="E355" s="119"/>
      <c r="F355" s="110">
        <v>205.0</v>
      </c>
      <c r="G355" s="113" t="str">
        <f>IFERROR(__xludf.DUMMYFUNCTION("TRIM(REGEXREPLACE(C355, ""[0-9]+[a-f]?\."", """"))"),"")</f>
        <v/>
      </c>
      <c r="H355" s="113" t="str">
        <f>IFERROR(__xludf.DUMMYFUNCTION("TRIM(REGEXREPLACE(D355, ""[0-9]+[a-f]?\."", """"))"),"")</f>
        <v/>
      </c>
      <c r="I355" s="113" t="str">
        <f>IFERROR(__xludf.DUMMYFUNCTION("TRIM(REGEXREPLACE(E355, ""[0-9]+[a-f]?\."", """"))"),"")</f>
        <v/>
      </c>
    </row>
    <row r="356" hidden="1">
      <c r="B356" s="119"/>
      <c r="C356" s="119"/>
      <c r="D356" s="119"/>
      <c r="E356" s="119"/>
      <c r="F356" s="110">
        <v>206.0</v>
      </c>
      <c r="G356" s="113" t="str">
        <f>IFERROR(__xludf.DUMMYFUNCTION("TRIM(REGEXREPLACE(C356, ""[0-9]+[a-f]?\."", """"))"),"")</f>
        <v/>
      </c>
      <c r="H356" s="113" t="str">
        <f>IFERROR(__xludf.DUMMYFUNCTION("TRIM(REGEXREPLACE(D356, ""[0-9]+[a-f]?\."", """"))"),"")</f>
        <v/>
      </c>
      <c r="I356" s="113" t="str">
        <f>IFERROR(__xludf.DUMMYFUNCTION("TRIM(REGEXREPLACE(E356, ""[0-9]+[a-f]?\."", """"))"),"")</f>
        <v/>
      </c>
    </row>
    <row r="357" hidden="1">
      <c r="B357" s="119"/>
      <c r="C357" s="119"/>
      <c r="D357" s="119"/>
      <c r="E357" s="119"/>
      <c r="F357" s="110">
        <v>207.0</v>
      </c>
      <c r="G357" s="113" t="str">
        <f>IFERROR(__xludf.DUMMYFUNCTION("TRIM(REGEXREPLACE(C357, ""[0-9]+[a-f]?\."", """"))"),"")</f>
        <v/>
      </c>
      <c r="H357" s="113" t="str">
        <f>IFERROR(__xludf.DUMMYFUNCTION("TRIM(REGEXREPLACE(D357, ""[0-9]+[a-f]?\."", """"))"),"")</f>
        <v/>
      </c>
      <c r="I357" s="113" t="str">
        <f>IFERROR(__xludf.DUMMYFUNCTION("TRIM(REGEXREPLACE(E357, ""[0-9]+[a-f]?\."", """"))"),"")</f>
        <v/>
      </c>
    </row>
    <row r="358" hidden="1">
      <c r="B358" s="119"/>
      <c r="C358" s="119"/>
      <c r="D358" s="119"/>
      <c r="E358" s="119"/>
      <c r="F358" s="110">
        <v>206.0</v>
      </c>
      <c r="G358" s="113" t="str">
        <f>IFERROR(__xludf.DUMMYFUNCTION("TRIM(REGEXREPLACE(C358, ""[0-9]+[a-f]?\."", """"))"),"")</f>
        <v/>
      </c>
      <c r="H358" s="113" t="str">
        <f>IFERROR(__xludf.DUMMYFUNCTION("TRIM(REGEXREPLACE(D358, ""[0-9]+[a-f]?\."", """"))"),"")</f>
        <v/>
      </c>
      <c r="I358" s="113" t="str">
        <f>IFERROR(__xludf.DUMMYFUNCTION("TRIM(REGEXREPLACE(E358, ""[0-9]+[a-f]?\."", """"))"),"")</f>
        <v/>
      </c>
      <c r="J358" s="113" t="s">
        <v>1935</v>
      </c>
      <c r="K358" s="113" t="s">
        <v>1935</v>
      </c>
      <c r="L358" s="113" t="s">
        <v>1935</v>
      </c>
    </row>
    <row r="359" hidden="1">
      <c r="B359" s="119"/>
      <c r="C359" s="119"/>
      <c r="D359" s="119"/>
      <c r="E359" s="119"/>
      <c r="F359" s="110">
        <v>207.0</v>
      </c>
      <c r="G359" s="113" t="str">
        <f>IFERROR(__xludf.DUMMYFUNCTION("TRIM(REGEXREPLACE(C359, ""[0-9]+[a-f]?\."", """"))"),"")</f>
        <v/>
      </c>
      <c r="H359" s="113" t="str">
        <f>IFERROR(__xludf.DUMMYFUNCTION("TRIM(REGEXREPLACE(D359, ""[0-9]+[a-f]?\."", """"))"),"")</f>
        <v/>
      </c>
      <c r="I359" s="113" t="str">
        <f>IFERROR(__xludf.DUMMYFUNCTION("TRIM(REGEXREPLACE(E359, ""[0-9]+[a-f]?\."", """"))"),"")</f>
        <v/>
      </c>
      <c r="J359" s="113" t="s">
        <v>1939</v>
      </c>
      <c r="K359" s="113" t="s">
        <v>1940</v>
      </c>
      <c r="L359" s="113" t="s">
        <v>1941</v>
      </c>
    </row>
    <row r="360" hidden="1">
      <c r="B360" s="119"/>
      <c r="C360" s="119"/>
      <c r="D360" s="119"/>
      <c r="E360" s="119"/>
      <c r="F360" s="110">
        <v>208.0</v>
      </c>
      <c r="G360" s="113" t="str">
        <f>IFERROR(__xludf.DUMMYFUNCTION("TRIM(REGEXREPLACE(C360, ""[0-9]+[a-f]?\."", """"))"),"")</f>
        <v/>
      </c>
      <c r="H360" s="113" t="str">
        <f>IFERROR(__xludf.DUMMYFUNCTION("TRIM(REGEXREPLACE(D360, ""[0-9]+[a-f]?\."", """"))"),"")</f>
        <v/>
      </c>
      <c r="I360" s="113" t="str">
        <f>IFERROR(__xludf.DUMMYFUNCTION("TRIM(REGEXREPLACE(E360, ""[0-9]+[a-f]?\."", """"))"),"")</f>
        <v/>
      </c>
      <c r="J360" s="113" t="s">
        <v>1945</v>
      </c>
      <c r="K360" s="113" t="s">
        <v>1946</v>
      </c>
      <c r="L360" s="113" t="s">
        <v>1946</v>
      </c>
    </row>
    <row r="361" hidden="1">
      <c r="B361" s="119"/>
      <c r="C361" s="119"/>
      <c r="D361" s="119"/>
      <c r="E361" s="119"/>
      <c r="F361" s="110">
        <v>209.0</v>
      </c>
      <c r="G361" s="113" t="str">
        <f>IFERROR(__xludf.DUMMYFUNCTION("TRIM(REGEXREPLACE(C361, ""[0-9]+[a-f]?\."", """"))"),"")</f>
        <v/>
      </c>
      <c r="H361" s="113" t="str">
        <f>IFERROR(__xludf.DUMMYFUNCTION("TRIM(REGEXREPLACE(D361, ""[0-9]+[a-f]?\."", """"))"),"")</f>
        <v/>
      </c>
      <c r="I361" s="113" t="str">
        <f>IFERROR(__xludf.DUMMYFUNCTION("TRIM(REGEXREPLACE(E361, ""[0-9]+[a-f]?\."", """"))"),"")</f>
        <v/>
      </c>
      <c r="J361" s="113" t="s">
        <v>1949</v>
      </c>
      <c r="K361" s="113" t="s">
        <v>1951</v>
      </c>
      <c r="L361" s="113" t="s">
        <v>1951</v>
      </c>
    </row>
    <row r="362" hidden="1">
      <c r="B362" s="119"/>
      <c r="C362" s="119"/>
      <c r="D362" s="119"/>
      <c r="E362" s="119"/>
      <c r="F362" s="110">
        <v>210.0</v>
      </c>
      <c r="G362" s="113" t="str">
        <f>IFERROR(__xludf.DUMMYFUNCTION("TRIM(REGEXREPLACE(C362, ""[0-9]+[a-f]?\."", """"))"),"")</f>
        <v/>
      </c>
      <c r="H362" s="113" t="str">
        <f>IFERROR(__xludf.DUMMYFUNCTION("TRIM(REGEXREPLACE(D362, ""[0-9]+[a-f]?\."", """"))"),"")</f>
        <v/>
      </c>
      <c r="I362" s="113" t="str">
        <f>IFERROR(__xludf.DUMMYFUNCTION("TRIM(REGEXREPLACE(E362, ""[0-9]+[a-f]?\."", """"))"),"")</f>
        <v/>
      </c>
      <c r="J362" s="113" t="s">
        <v>1952</v>
      </c>
      <c r="K362" s="113" t="s">
        <v>1953</v>
      </c>
      <c r="L362" s="113" t="s">
        <v>1954</v>
      </c>
    </row>
    <row r="363" hidden="1">
      <c r="B363" s="119"/>
      <c r="C363" s="119"/>
      <c r="D363" s="119"/>
      <c r="E363" s="119"/>
      <c r="F363" s="110">
        <v>211.0</v>
      </c>
      <c r="G363" s="113" t="str">
        <f>IFERROR(__xludf.DUMMYFUNCTION("TRIM(REGEXREPLACE(C363, ""[0-9]+[a-f]?\."", """"))"),"")</f>
        <v/>
      </c>
      <c r="H363" s="113" t="str">
        <f>IFERROR(__xludf.DUMMYFUNCTION("TRIM(REGEXREPLACE(D363, ""[0-9]+[a-f]?\."", """"))"),"")</f>
        <v/>
      </c>
      <c r="I363" s="113" t="str">
        <f>IFERROR(__xludf.DUMMYFUNCTION("TRIM(REGEXREPLACE(E363, ""[0-9]+[a-f]?\."", """"))"),"")</f>
        <v/>
      </c>
      <c r="J363" s="113" t="s">
        <v>1955</v>
      </c>
      <c r="K363" s="113" t="s">
        <v>1956</v>
      </c>
      <c r="L363" s="113" t="s">
        <v>1957</v>
      </c>
    </row>
    <row r="364" hidden="1">
      <c r="B364" s="119"/>
      <c r="C364" s="119"/>
      <c r="D364" s="119"/>
      <c r="E364" s="119"/>
      <c r="F364" s="110">
        <v>212.0</v>
      </c>
      <c r="G364" s="113" t="str">
        <f>IFERROR(__xludf.DUMMYFUNCTION("TRIM(REGEXREPLACE(C364, ""[0-9]+[a-f]?\."", """"))"),"")</f>
        <v/>
      </c>
      <c r="H364" s="113" t="str">
        <f>IFERROR(__xludf.DUMMYFUNCTION("TRIM(REGEXREPLACE(D364, ""[0-9]+[a-f]?\."", """"))"),"")</f>
        <v/>
      </c>
      <c r="I364" s="113" t="str">
        <f>IFERROR(__xludf.DUMMYFUNCTION("TRIM(REGEXREPLACE(E364, ""[0-9]+[a-f]?\."", """"))"),"")</f>
        <v/>
      </c>
      <c r="J364" s="113" t="s">
        <v>1959</v>
      </c>
      <c r="K364" s="113" t="s">
        <v>1960</v>
      </c>
      <c r="L364" s="113" t="s">
        <v>1961</v>
      </c>
    </row>
    <row r="365" hidden="1">
      <c r="B365" s="119"/>
      <c r="C365" s="119"/>
      <c r="D365" s="119"/>
      <c r="E365" s="119"/>
      <c r="F365" s="110">
        <v>213.0</v>
      </c>
      <c r="G365" s="113" t="str">
        <f>IFERROR(__xludf.DUMMYFUNCTION("TRIM(REGEXREPLACE(C365, ""[0-9]+[a-f]?\."", """"))"),"")</f>
        <v/>
      </c>
      <c r="H365" s="113" t="str">
        <f>IFERROR(__xludf.DUMMYFUNCTION("TRIM(REGEXREPLACE(D365, ""[0-9]+[a-f]?\."", """"))"),"")</f>
        <v/>
      </c>
      <c r="I365" s="113" t="str">
        <f>IFERROR(__xludf.DUMMYFUNCTION("TRIM(REGEXREPLACE(E365, ""[0-9]+[a-f]?\."", """"))"),"")</f>
        <v/>
      </c>
      <c r="J365" s="113" t="s">
        <v>1967</v>
      </c>
      <c r="K365" s="113" t="s">
        <v>1968</v>
      </c>
      <c r="L365" s="113" t="s">
        <v>1968</v>
      </c>
    </row>
    <row r="366">
      <c r="A366" s="114" t="s">
        <v>680</v>
      </c>
      <c r="B366" s="165" t="s">
        <v>1969</v>
      </c>
      <c r="C366" s="76" t="s">
        <v>1970</v>
      </c>
      <c r="D366" s="76" t="s">
        <v>1971</v>
      </c>
      <c r="E366" s="76" t="s">
        <v>1972</v>
      </c>
      <c r="F366" s="110">
        <v>114.0</v>
      </c>
      <c r="G366" s="113" t="str">
        <f>IFERROR(__xludf.DUMMYFUNCTION("TRIM(REGEXREPLACE(C366, ""[0-9]+[a-f]?\."", """"))"),"Borrow money?")</f>
        <v>Borrow money?</v>
      </c>
      <c r="H366" s="113" t="str">
        <f>IFERROR(__xludf.DUMMYFUNCTION("TRIM(REGEXREPLACE(D366, ""[0-9]+[a-f]?\."", """"))"),"Emprunter de l'argent")</f>
        <v>Emprunter de l'argent</v>
      </c>
      <c r="I366" s="113" t="str">
        <f>IFERROR(__xludf.DUMMYFUNCTION("TRIM(REGEXREPLACE(E366, ""[0-9]+[a-f]?\."", """"))"),"Bashin kuɗi")</f>
        <v>Bashin kuɗi</v>
      </c>
      <c r="J366" s="113" t="str">
        <f t="shared" ref="J366:J368" si="73">F366 &amp; ". " &amp;G366</f>
        <v>114. Borrow money?</v>
      </c>
      <c r="K366" s="113" t="str">
        <f t="shared" ref="K366:K368" si="74">F366 &amp; ". " &amp;H366</f>
        <v>114. Emprunter de l'argent</v>
      </c>
      <c r="L366" s="113" t="str">
        <f t="shared" ref="L366:L368" si="75">F366 &amp; ". " &amp;I366</f>
        <v>114. Bashin kuɗi</v>
      </c>
    </row>
    <row r="367">
      <c r="A367" s="114" t="s">
        <v>680</v>
      </c>
      <c r="B367" s="165" t="s">
        <v>1979</v>
      </c>
      <c r="C367" s="76" t="s">
        <v>1980</v>
      </c>
      <c r="D367" s="76" t="s">
        <v>1981</v>
      </c>
      <c r="E367" s="76" t="s">
        <v>1982</v>
      </c>
      <c r="F367" s="110">
        <v>115.0</v>
      </c>
      <c r="G367" s="113" t="str">
        <f>IFERROR(__xludf.DUMMYFUNCTION("TRIM(REGEXREPLACE(C367, ""[0-9]+[a-f]?\."", """"))"),"Spend your savings?")</f>
        <v>Spend your savings?</v>
      </c>
      <c r="H367" s="113" t="str">
        <f>IFERROR(__xludf.DUMMYFUNCTION("TRIM(REGEXREPLACE(D367, ""[0-9]+[a-f]?\."", """"))"),"Utiliser votre épargne")</f>
        <v>Utiliser votre épargne</v>
      </c>
      <c r="I367" s="113" t="str">
        <f>IFERROR(__xludf.DUMMYFUNCTION("TRIM(REGEXREPLACE(E367, ""[0-9]+[a-f]?\."", """"))"),"Kashe kuɗin ajiyar ku")</f>
        <v>Kashe kuɗin ajiyar ku</v>
      </c>
      <c r="J367" s="113" t="str">
        <f t="shared" si="73"/>
        <v>115. Spend your savings?</v>
      </c>
      <c r="K367" s="113" t="str">
        <f t="shared" si="74"/>
        <v>115. Utiliser votre épargne</v>
      </c>
      <c r="L367" s="113" t="str">
        <f t="shared" si="75"/>
        <v>115. Kashe kuɗin ajiyar ku</v>
      </c>
    </row>
    <row r="368">
      <c r="A368" s="114" t="s">
        <v>680</v>
      </c>
      <c r="B368" s="165" t="s">
        <v>1983</v>
      </c>
      <c r="C368" s="76" t="s">
        <v>1984</v>
      </c>
      <c r="D368" s="76" t="s">
        <v>1985</v>
      </c>
      <c r="E368" s="76" t="s">
        <v>1986</v>
      </c>
      <c r="F368" s="110">
        <v>116.0</v>
      </c>
      <c r="G368" s="113" t="str">
        <f>IFERROR(__xludf.DUMMYFUNCTION("TRIM(REGEXREPLACE(C368, ""[0-9]+[a-f]?\."", """"))"),"Reduce spending on food or change your food consumption?")</f>
        <v>Reduce spending on food or change your food consumption?</v>
      </c>
      <c r="H368" s="113" t="str">
        <f>IFERROR(__xludf.DUMMYFUNCTION("TRIM(REGEXREPLACE(D368, ""[0-9]+[a-f]?\."", """"))"),"Réduire les dépenses alimentaires ou changé des habitudes de consommation ?")</f>
        <v>Réduire les dépenses alimentaires ou changé des habitudes de consommation ?</v>
      </c>
      <c r="I368" s="113" t="str">
        <f>IFERROR(__xludf.DUMMYFUNCTION("TRIM(REGEXREPLACE(E368, ""[0-9]+[a-f]?\."", """"))"),"Rage kashe kuɗi akan abinci ko canza abincin da ku ka saba ci?")</f>
        <v>Rage kashe kuɗi akan abinci ko canza abincin da ku ka saba ci?</v>
      </c>
      <c r="J368" s="113" t="str">
        <f t="shared" si="73"/>
        <v>116. Reduce spending on food or change your food consumption?</v>
      </c>
      <c r="K368" s="113" t="str">
        <f t="shared" si="74"/>
        <v>116. Réduire les dépenses alimentaires ou changé des habitudes de consommation ?</v>
      </c>
      <c r="L368" s="113" t="str">
        <f t="shared" si="75"/>
        <v>116. Rage kashe kuɗi akan abinci ko canza abincin da ku ka saba ci?</v>
      </c>
    </row>
    <row r="369" hidden="1">
      <c r="A369" s="150" t="s">
        <v>343</v>
      </c>
      <c r="B369" s="83" t="s">
        <v>1871</v>
      </c>
      <c r="C369" s="83"/>
      <c r="D369" s="83"/>
      <c r="E369" s="83"/>
      <c r="F369" s="110">
        <v>211.0</v>
      </c>
      <c r="G369" s="113" t="str">
        <f>IFERROR(__xludf.DUMMYFUNCTION("TRIM(REGEXREPLACE(C369, ""[0-9]+[a-f]?\."", """"))"),"")</f>
        <v/>
      </c>
      <c r="H369" s="113" t="str">
        <f>IFERROR(__xludf.DUMMYFUNCTION("TRIM(REGEXREPLACE(D369, ""[0-9]+[a-f]?\."", """"))"),"")</f>
        <v/>
      </c>
      <c r="I369" s="113" t="str">
        <f>IFERROR(__xludf.DUMMYFUNCTION("TRIM(REGEXREPLACE(E369, ""[0-9]+[a-f]?\."", """"))"),"")</f>
        <v/>
      </c>
      <c r="J369" s="113" t="s">
        <v>1987</v>
      </c>
      <c r="K369" s="113" t="s">
        <v>1988</v>
      </c>
      <c r="L369" s="113" t="s">
        <v>1989</v>
      </c>
    </row>
    <row r="370" hidden="1">
      <c r="A370" s="150" t="s">
        <v>161</v>
      </c>
      <c r="B370" s="82" t="s">
        <v>1990</v>
      </c>
      <c r="C370" s="82"/>
      <c r="D370" s="82"/>
      <c r="E370" s="82"/>
      <c r="F370" s="110">
        <v>212.0</v>
      </c>
      <c r="G370" s="113" t="str">
        <f>IFERROR(__xludf.DUMMYFUNCTION("TRIM(REGEXREPLACE(C370, ""[0-9]+[a-f]?\."", """"))"),"")</f>
        <v/>
      </c>
      <c r="H370" s="113" t="str">
        <f>IFERROR(__xludf.DUMMYFUNCTION("TRIM(REGEXREPLACE(D370, ""[0-9]+[a-f]?\."", """"))"),"")</f>
        <v/>
      </c>
      <c r="I370" s="113" t="str">
        <f>IFERROR(__xludf.DUMMYFUNCTION("TRIM(REGEXREPLACE(E370, ""[0-9]+[a-f]?\."", """"))"),"")</f>
        <v/>
      </c>
      <c r="J370" s="113" t="s">
        <v>1991</v>
      </c>
      <c r="K370" s="113" t="s">
        <v>1992</v>
      </c>
      <c r="L370" s="113" t="s">
        <v>1993</v>
      </c>
    </row>
    <row r="371">
      <c r="A371" s="152" t="s">
        <v>44</v>
      </c>
      <c r="B371" s="77" t="s">
        <v>1994</v>
      </c>
      <c r="C371" s="76" t="s">
        <v>1995</v>
      </c>
      <c r="D371" s="76" t="s">
        <v>1996</v>
      </c>
      <c r="E371" s="76" t="s">
        <v>1997</v>
      </c>
      <c r="F371" s="110">
        <v>117.0</v>
      </c>
      <c r="G371" s="113" t="str">
        <f>IFERROR(__xludf.DUMMYFUNCTION("TRIM(REGEXREPLACE(C371, ""[0-9]+[a-f]?\."", """"))"),"For ${w_emergency_name}
 What was the value of the following in CFA?")</f>
        <v>For ${w_emergency_name}
 What was the value of the following in CFA?</v>
      </c>
      <c r="H371" s="113" t="str">
        <f>IFERROR(__xludf.DUMMYFUNCTION("TRIM(REGEXREPLACE(D371, ""[0-9]+[a-f]?\."", """"))"),"Par rapport à ${w_emergency_name}
 Quelle était la valeur des éléments suivantes en CFA?")</f>
        <v>Par rapport à ${w_emergency_name}
 Quelle était la valeur des éléments suivantes en CFA?</v>
      </c>
      <c r="I371" s="113" t="str">
        <f>IFERROR(__xludf.DUMMYFUNCTION("TRIM(REGEXREPLACE(E371, ""[0-9]+[a-f]?\."", """"))"),"Game da ${w_emergency_name}
 Nawa ne kimar waɗannan abubuwan a kuɗin CFA?")</f>
        <v>Game da ${w_emergency_name}
 Nawa ne kimar waɗannan abubuwan a kuɗin CFA?</v>
      </c>
      <c r="J371" s="113" t="str">
        <f t="shared" ref="J371:J374" si="76">F371 &amp; ". " &amp;G371</f>
        <v>117. For ${w_emergency_name}
 What was the value of the following in CFA?</v>
      </c>
      <c r="K371" s="113" t="str">
        <f t="shared" ref="K371:K374" si="77">F371 &amp; ". " &amp;H371</f>
        <v>117. Par rapport à ${w_emergency_name}
 Quelle était la valeur des éléments suivantes en CFA?</v>
      </c>
      <c r="L371" s="113" t="str">
        <f t="shared" ref="L371:L374" si="78">F371 &amp; ". " &amp;I371</f>
        <v>117. Game da ${w_emergency_name}
 Nawa ne kimar waɗannan abubuwan a kuɗin CFA?</v>
      </c>
    </row>
    <row r="372">
      <c r="A372" s="170" t="s">
        <v>238</v>
      </c>
      <c r="B372" s="171" t="s">
        <v>2008</v>
      </c>
      <c r="C372" s="76" t="s">
        <v>2009</v>
      </c>
      <c r="D372" s="76" t="s">
        <v>2010</v>
      </c>
      <c r="E372" s="76" t="s">
        <v>2011</v>
      </c>
      <c r="F372" s="110">
        <v>118.0</v>
      </c>
      <c r="G372" s="113" t="str">
        <f>IFERROR(__xludf.DUMMYFUNCTION("TRIM(REGEXREPLACE(C372, ""[0-9]+[a-f]?\."", """"))"),"Assets you sold")</f>
        <v>Assets you sold</v>
      </c>
      <c r="H372" s="113" t="str">
        <f>IFERROR(__xludf.DUMMYFUNCTION("TRIM(REGEXREPLACE(D372, ""[0-9]+[a-f]?\."", """"))"),"Les actifs que vous avez vendus")</f>
        <v>Les actifs que vous avez vendus</v>
      </c>
      <c r="I372" s="113" t="str">
        <f>IFERROR(__xludf.DUMMYFUNCTION("TRIM(REGEXREPLACE(E372, ""[0-9]+[a-f]?\."", """"))"),"Kadarorin da kuka saida")</f>
        <v>Kadarorin da kuka saida</v>
      </c>
      <c r="J372" s="113" t="str">
        <f t="shared" si="76"/>
        <v>118. Assets you sold</v>
      </c>
      <c r="K372" s="113" t="str">
        <f t="shared" si="77"/>
        <v>118. Les actifs que vous avez vendus</v>
      </c>
      <c r="L372" s="113" t="str">
        <f t="shared" si="78"/>
        <v>118. Kadarorin da kuka saida</v>
      </c>
    </row>
    <row r="373">
      <c r="A373" s="170" t="s">
        <v>238</v>
      </c>
      <c r="B373" s="171" t="s">
        <v>2012</v>
      </c>
      <c r="C373" s="76" t="s">
        <v>957</v>
      </c>
      <c r="D373" s="76" t="s">
        <v>958</v>
      </c>
      <c r="E373" s="76" t="s">
        <v>959</v>
      </c>
      <c r="F373" s="110">
        <v>119.0</v>
      </c>
      <c r="G373" s="113" t="str">
        <f>IFERROR(__xludf.DUMMYFUNCTION("TRIM(REGEXREPLACE(C373, ""[0-9]+[a-f]?\."", """"))"),"Loan(s) you took")</f>
        <v>Loan(s) you took</v>
      </c>
      <c r="H373" s="113" t="str">
        <f>IFERROR(__xludf.DUMMYFUNCTION("TRIM(REGEXREPLACE(D373, ""[0-9]+[a-f]?\."", """"))"),"Les prêt(s) que vous avez contracté")</f>
        <v>Les prêt(s) que vous avez contracté</v>
      </c>
      <c r="I373" s="113" t="str">
        <f>IFERROR(__xludf.DUMMYFUNCTION("TRIM(REGEXREPLACE(E373, ""[0-9]+[a-f]?\."", """"))"),"Bashin da kuka ɗauka")</f>
        <v>Bashin da kuka ɗauka</v>
      </c>
      <c r="J373" s="113" t="str">
        <f t="shared" si="76"/>
        <v>119. Loan(s) you took</v>
      </c>
      <c r="K373" s="113" t="str">
        <f t="shared" si="77"/>
        <v>119. Les prêt(s) que vous avez contracté</v>
      </c>
      <c r="L373" s="113" t="str">
        <f t="shared" si="78"/>
        <v>119. Bashin da kuka ɗauka</v>
      </c>
    </row>
    <row r="374">
      <c r="A374" s="170" t="s">
        <v>238</v>
      </c>
      <c r="B374" s="171" t="s">
        <v>2016</v>
      </c>
      <c r="C374" s="76" t="s">
        <v>965</v>
      </c>
      <c r="D374" s="76" t="s">
        <v>966</v>
      </c>
      <c r="E374" s="76" t="s">
        <v>967</v>
      </c>
      <c r="F374" s="110">
        <v>120.0</v>
      </c>
      <c r="G374" s="113" t="str">
        <f>IFERROR(__xludf.DUMMYFUNCTION("TRIM(REGEXREPLACE(C374, ""[0-9]+[a-f]?\."", """"))"),"Savings you spent?")</f>
        <v>Savings you spent?</v>
      </c>
      <c r="H374" s="113" t="str">
        <f>IFERROR(__xludf.DUMMYFUNCTION("TRIM(REGEXREPLACE(D374, ""[0-9]+[a-f]?\."", """"))"),"L'épargne que vous avez utilisé")</f>
        <v>L'épargne que vous avez utilisé</v>
      </c>
      <c r="I374" s="113" t="str">
        <f>IFERROR(__xludf.DUMMYFUNCTION("TRIM(REGEXREPLACE(E374, ""[0-9]+[a-f]?\."", """"))"),"Ajiyar da kuka kashe")</f>
        <v>Ajiyar da kuka kashe</v>
      </c>
      <c r="J374" s="113" t="str">
        <f t="shared" si="76"/>
        <v>120. Savings you spent?</v>
      </c>
      <c r="K374" s="113" t="str">
        <f t="shared" si="77"/>
        <v>120. L'épargne que vous avez utilisé</v>
      </c>
      <c r="L374" s="113" t="str">
        <f t="shared" si="78"/>
        <v>120. Ajiyar da kuka kashe</v>
      </c>
    </row>
    <row r="375" hidden="1">
      <c r="A375" s="150" t="s">
        <v>343</v>
      </c>
      <c r="B375" s="83" t="s">
        <v>1990</v>
      </c>
      <c r="C375" s="83"/>
      <c r="D375" s="83"/>
      <c r="E375" s="83"/>
      <c r="F375" s="110">
        <v>217.0</v>
      </c>
      <c r="G375" s="113" t="str">
        <f>IFERROR(__xludf.DUMMYFUNCTION("TRIM(REGEXREPLACE(C375, ""[0-9]+[a-f]?\."", """"))"),"")</f>
        <v/>
      </c>
      <c r="H375" s="113" t="str">
        <f>IFERROR(__xludf.DUMMYFUNCTION("TRIM(REGEXREPLACE(D375, ""[0-9]+[a-f]?\."", """"))"),"")</f>
        <v/>
      </c>
      <c r="I375" s="113" t="str">
        <f>IFERROR(__xludf.DUMMYFUNCTION("TRIM(REGEXREPLACE(E375, ""[0-9]+[a-f]?\."", """"))"),"")</f>
        <v/>
      </c>
      <c r="J375" s="113" t="s">
        <v>2020</v>
      </c>
      <c r="K375" s="113" t="s">
        <v>2021</v>
      </c>
      <c r="L375" s="113" t="s">
        <v>2022</v>
      </c>
    </row>
    <row r="376" hidden="1">
      <c r="A376" s="167" t="s">
        <v>842</v>
      </c>
      <c r="B376" s="169" t="s">
        <v>1838</v>
      </c>
      <c r="C376" s="169" t="s">
        <v>1839</v>
      </c>
      <c r="D376" s="169"/>
      <c r="E376" s="169"/>
      <c r="F376" s="110">
        <v>218.0</v>
      </c>
      <c r="G376" s="113" t="str">
        <f>IFERROR(__xludf.DUMMYFUNCTION("TRIM(REGEXREPLACE(C376, ""[0-9]+[a-f]?\."", """"))"),"Emergency response")</f>
        <v>Emergency response</v>
      </c>
      <c r="H376" s="113" t="str">
        <f>IFERROR(__xludf.DUMMYFUNCTION("TRIM(REGEXREPLACE(D376, ""[0-9]+[a-f]?\."", """"))"),"")</f>
        <v/>
      </c>
      <c r="I376" s="113" t="str">
        <f>IFERROR(__xludf.DUMMYFUNCTION("TRIM(REGEXREPLACE(E376, ""[0-9]+[a-f]?\."", """"))"),"")</f>
        <v/>
      </c>
      <c r="J376" s="113" t="s">
        <v>2023</v>
      </c>
      <c r="K376" s="113" t="s">
        <v>2024</v>
      </c>
      <c r="L376" s="113" t="s">
        <v>2025</v>
      </c>
    </row>
    <row r="377" hidden="1">
      <c r="A377" s="150"/>
      <c r="B377" s="82"/>
      <c r="C377" s="82"/>
      <c r="D377" s="83"/>
      <c r="E377" s="83"/>
      <c r="F377" s="110">
        <v>219.0</v>
      </c>
      <c r="G377" s="113" t="str">
        <f>IFERROR(__xludf.DUMMYFUNCTION("TRIM(REGEXREPLACE(C377, ""[0-9]+[a-f]?\."", """"))"),"")</f>
        <v/>
      </c>
      <c r="H377" s="113" t="str">
        <f>IFERROR(__xludf.DUMMYFUNCTION("TRIM(REGEXREPLACE(D377, ""[0-9]+[a-f]?\."", """"))"),"")</f>
        <v/>
      </c>
      <c r="I377" s="113" t="str">
        <f>IFERROR(__xludf.DUMMYFUNCTION("TRIM(REGEXREPLACE(E377, ""[0-9]+[a-f]?\."", """"))"),"")</f>
        <v/>
      </c>
      <c r="J377" s="113" t="s">
        <v>2029</v>
      </c>
      <c r="K377" s="113" t="s">
        <v>2030</v>
      </c>
      <c r="L377" s="113" t="s">
        <v>2031</v>
      </c>
    </row>
    <row r="378">
      <c r="A378" s="152" t="s">
        <v>44</v>
      </c>
      <c r="B378" s="77" t="s">
        <v>2033</v>
      </c>
      <c r="C378" s="76" t="s">
        <v>2035</v>
      </c>
      <c r="D378" s="76" t="s">
        <v>2037</v>
      </c>
      <c r="E378" s="76" t="s">
        <v>2038</v>
      </c>
      <c r="F378" s="110">
        <v>121.0</v>
      </c>
      <c r="G378" s="113" t="str">
        <f>IFERROR(__xludf.DUMMYFUNCTION("TRIM(REGEXREPLACE(C378,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378" s="113" t="str">
        <f>IFERROR(__xludf.DUMMYFUNCTION("TRIM(REGEXREPLACE(D378,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378" s="113" t="str">
        <f>IFERROR(__xludf.DUMMYFUNCTION("TRIM(REGEXREPLACE(E378,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378" s="113" t="str">
        <f>F378 &amp; ". " &amp;G378</f>
        <v>121. I would like to ask your opinion about a several different topics. There are no right answers to these questions, we just want to understand what you think.</v>
      </c>
      <c r="K378" s="113" t="str">
        <f>F378 &amp; ". " &amp;H378</f>
        <v>121. J'aimerais vous demander votre avis sur plusieurs sujets différents. Il n'y a pas de bonnes réponses à ces questions, nous voulons juste comprendre ce que vous pensez.</v>
      </c>
      <c r="L378" s="113" t="str">
        <f>F378 &amp; ". " &amp;I378</f>
        <v>121. Ina so in tambayi ra'ayin ku game bisa batutuwa daban-daban. Babu amsoshin da suka dace ga waɗannan tambayoyin, muna son mu fafimci ra'ayinki ne kawai.</v>
      </c>
    </row>
    <row r="379" hidden="1">
      <c r="A379" s="150" t="s">
        <v>161</v>
      </c>
      <c r="B379" s="82" t="s">
        <v>2042</v>
      </c>
      <c r="C379" s="82"/>
      <c r="D379" s="83"/>
      <c r="E379" s="83"/>
      <c r="F379" s="110">
        <v>221.0</v>
      </c>
      <c r="G379" s="113" t="str">
        <f>IFERROR(__xludf.DUMMYFUNCTION("TRIM(REGEXREPLACE(C379, ""[0-9]+[a-f]?\."", """"))"),"")</f>
        <v/>
      </c>
      <c r="H379" s="113" t="str">
        <f>IFERROR(__xludf.DUMMYFUNCTION("TRIM(REGEXREPLACE(D379, ""[0-9]+[a-f]?\."", """"))"),"")</f>
        <v/>
      </c>
      <c r="I379" s="113" t="str">
        <f>IFERROR(__xludf.DUMMYFUNCTION("TRIM(REGEXREPLACE(E379, ""[0-9]+[a-f]?\."", """"))"),"")</f>
        <v/>
      </c>
      <c r="J379" s="113" t="s">
        <v>2045</v>
      </c>
      <c r="K379" s="113" t="s">
        <v>2047</v>
      </c>
      <c r="L379" s="113" t="s">
        <v>2048</v>
      </c>
    </row>
    <row r="380">
      <c r="A380" s="114" t="s">
        <v>2049</v>
      </c>
      <c r="B380" s="165" t="s">
        <v>2050</v>
      </c>
      <c r="C380" s="76" t="s">
        <v>2051</v>
      </c>
      <c r="D380" s="76" t="s">
        <v>2052</v>
      </c>
      <c r="E380" s="76" t="s">
        <v>2053</v>
      </c>
      <c r="F380" s="110">
        <v>122.0</v>
      </c>
      <c r="G380" s="113" t="str">
        <f>IFERROR(__xludf.DUMMYFUNCTION("TRIM(REGEXREPLACE(C380,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380" s="113" t="str">
        <f>IFERROR(__xludf.DUMMYFUNCTION("TRIM(REGEXREPLACE(D380,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380" s="113" t="str">
        <f>IFERROR(__xludf.DUMMYFUNCTION("TRIM(REGEXREPLACE(E380,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380" s="113" t="str">
        <f>F380 &amp; ". " &amp;G380</f>
        <v>122. I would like to ask you about how decisions are made in your household. Please tell me to what degree does your opinion matter in decisions related to the following topics:</v>
      </c>
      <c r="K380" s="113" t="str">
        <f>F380 &amp; ". " &amp;H380</f>
        <v>122. Je voudrais vous poser quelques quetions sur la prise de décision dans votre ménage, dans quelle mesure votre opinion compte-t-elle dans les décisions liées aux sujets suivants :</v>
      </c>
      <c r="L380" s="113" t="str">
        <f>F380 &amp; ". " &amp;I380</f>
        <v>122. Ina son in tambaye ku yadda ake yanke hukunci a gidanku. Da fatan za ku gaya mani matsayin ra'ayinku a yanke shawara bisa abubuwa masu zuwa:</v>
      </c>
    </row>
    <row r="381" hidden="1">
      <c r="B381" s="119"/>
      <c r="C381" s="119"/>
      <c r="D381" s="119"/>
      <c r="E381" s="119"/>
      <c r="F381" s="110">
        <v>228.0</v>
      </c>
      <c r="G381" s="113" t="str">
        <f>IFERROR(__xludf.DUMMYFUNCTION("TRIM(REGEXREPLACE(C381, ""[0-9]+[a-f]?\."", """"))"),"")</f>
        <v/>
      </c>
      <c r="H381" s="113" t="str">
        <f>IFERROR(__xludf.DUMMYFUNCTION("TRIM(REGEXREPLACE(D381, ""[0-9]+[a-f]?\."", """"))"),"")</f>
        <v/>
      </c>
      <c r="I381" s="113" t="str">
        <f>IFERROR(__xludf.DUMMYFUNCTION("TRIM(REGEXREPLACE(E381, ""[0-9]+[a-f]?\."", """"))"),"")</f>
        <v/>
      </c>
      <c r="J381" s="113" t="s">
        <v>2060</v>
      </c>
      <c r="K381" s="113" t="s">
        <v>2062</v>
      </c>
      <c r="L381" s="113" t="s">
        <v>2063</v>
      </c>
    </row>
    <row r="382">
      <c r="A382" s="114" t="s">
        <v>2049</v>
      </c>
      <c r="B382" s="165" t="s">
        <v>2066</v>
      </c>
      <c r="C382" s="76" t="s">
        <v>2067</v>
      </c>
      <c r="D382" s="76" t="s">
        <v>2068</v>
      </c>
      <c r="E382" s="76" t="s">
        <v>2069</v>
      </c>
      <c r="F382" s="110">
        <v>123.0</v>
      </c>
      <c r="G382" s="113" t="str">
        <f>IFERROR(__xludf.DUMMYFUNCTION("TRIM(REGEXREPLACE(C382, ""[0-9]+[a-f]?\."", """"))"),"How to use money that you earn")</f>
        <v>How to use money that you earn</v>
      </c>
      <c r="H382" s="113" t="str">
        <f>IFERROR(__xludf.DUMMYFUNCTION("TRIM(REGEXREPLACE(D382, ""[0-9]+[a-f]?\."", """"))"),"Comment utiliser l'argent que vous gagnez")</f>
        <v>Comment utiliser l'argent que vous gagnez</v>
      </c>
      <c r="I382" s="113" t="str">
        <f>IFERROR(__xludf.DUMMYFUNCTION("TRIM(REGEXREPLACE(E382, ""[0-9]+[a-f]?\."", """"))"),"Yadda ake amfani da kuɗin da kuke samu")</f>
        <v>Yadda ake amfani da kuɗin da kuke samu</v>
      </c>
      <c r="J382" s="113" t="str">
        <f t="shared" ref="J382:J387" si="79">F382 &amp; ". " &amp;G382</f>
        <v>123. How to use money that you earn</v>
      </c>
      <c r="K382" s="113" t="str">
        <f t="shared" ref="K382:K387" si="80">F382 &amp; ". " &amp;H382</f>
        <v>123. Comment utiliser l'argent que vous gagnez</v>
      </c>
      <c r="L382" s="113" t="str">
        <f t="shared" ref="L382:L387" si="81">F382 &amp; ". " &amp;I382</f>
        <v>123. Yadda ake amfani da kuɗin da kuke samu</v>
      </c>
    </row>
    <row r="383">
      <c r="A383" s="114" t="s">
        <v>2049</v>
      </c>
      <c r="B383" s="165" t="s">
        <v>2077</v>
      </c>
      <c r="C383" s="76" t="s">
        <v>2079</v>
      </c>
      <c r="D383" s="76" t="s">
        <v>2080</v>
      </c>
      <c r="E383" s="76" t="s">
        <v>2081</v>
      </c>
      <c r="F383" s="110">
        <v>124.0</v>
      </c>
      <c r="G383" s="113" t="str">
        <f>IFERROR(__xludf.DUMMYFUNCTION("TRIM(REGEXREPLACE(C383, ""[0-9]+[a-f]?\."", """"))"),"Daily household expenses (Less than 500 CFA)")</f>
        <v>Daily household expenses (Less than 500 CFA)</v>
      </c>
      <c r="H383" s="113" t="str">
        <f>IFERROR(__xludf.DUMMYFUNCTION("TRIM(REGEXREPLACE(D383, ""[0-9]+[a-f]?\."", """"))"),"Dépenses quotidiennes du ménage (Moins de 500 CFA)")</f>
        <v>Dépenses quotidiennes du ménage (Moins de 500 CFA)</v>
      </c>
      <c r="I383" s="113" t="str">
        <f>IFERROR(__xludf.DUMMYFUNCTION("TRIM(REGEXREPLACE(E383, ""[0-9]+[a-f]?\."", """"))"),"Kashe Kuɗin gidan na yau da kullum ( Kasa da dala ɗari CFA 500)")</f>
        <v>Kashe Kuɗin gidan na yau da kullum ( Kasa da dala ɗari CFA 500)</v>
      </c>
      <c r="J383" s="113" t="str">
        <f t="shared" si="79"/>
        <v>124. Daily household expenses (Less than 500 CFA)</v>
      </c>
      <c r="K383" s="113" t="str">
        <f t="shared" si="80"/>
        <v>124. Dépenses quotidiennes du ménage (Moins de 500 CFA)</v>
      </c>
      <c r="L383" s="113" t="str">
        <f t="shared" si="81"/>
        <v>124. Kashe Kuɗin gidan na yau da kullum ( Kasa da dala ɗari CFA 500)</v>
      </c>
    </row>
    <row r="384">
      <c r="A384" s="114" t="s">
        <v>2049</v>
      </c>
      <c r="B384" s="165" t="s">
        <v>2084</v>
      </c>
      <c r="C384" s="76" t="s">
        <v>2086</v>
      </c>
      <c r="D384" s="76" t="s">
        <v>2087</v>
      </c>
      <c r="E384" s="76" t="s">
        <v>2088</v>
      </c>
      <c r="F384" s="110">
        <v>125.0</v>
      </c>
      <c r="G384" s="113" t="str">
        <f>IFERROR(__xludf.DUMMYFUNCTION("TRIM(REGEXREPLACE(C384, ""[0-9]+[a-f]?\."", """"))"),"Household purchases (over 500 CFA)")</f>
        <v>Household purchases (over 500 CFA)</v>
      </c>
      <c r="H384" s="113" t="str">
        <f>IFERROR(__xludf.DUMMYFUNCTION("TRIM(REGEXREPLACE(D384, ""[0-9]+[a-f]?\."", """"))"),"Achats du ménage (plus de 500 CFA)")</f>
        <v>Achats du ménage (plus de 500 CFA)</v>
      </c>
      <c r="I384" s="113" t="str">
        <f>IFERROR(__xludf.DUMMYFUNCTION("TRIM(REGEXREPLACE(E384, ""[0-9]+[a-f]?\."", """"))"),"Sayayya na gida (sama da dala ɗari CFA 500)")</f>
        <v>Sayayya na gida (sama da dala ɗari CFA 500)</v>
      </c>
      <c r="J384" s="113" t="str">
        <f t="shared" si="79"/>
        <v>125. Household purchases (over 500 CFA)</v>
      </c>
      <c r="K384" s="113" t="str">
        <f t="shared" si="80"/>
        <v>125. Achats du ménage (plus de 500 CFA)</v>
      </c>
      <c r="L384" s="113" t="str">
        <f t="shared" si="81"/>
        <v>125. Sayayya na gida (sama da dala ɗari CFA 500)</v>
      </c>
    </row>
    <row r="385">
      <c r="A385" s="114" t="s">
        <v>2049</v>
      </c>
      <c r="B385" s="165" t="s">
        <v>2089</v>
      </c>
      <c r="C385" s="76" t="s">
        <v>2090</v>
      </c>
      <c r="D385" s="76" t="s">
        <v>2091</v>
      </c>
      <c r="E385" s="76" t="s">
        <v>2092</v>
      </c>
      <c r="F385" s="110">
        <v>126.0</v>
      </c>
      <c r="G385" s="113" t="str">
        <f>IFERROR(__xludf.DUMMYFUNCTION("TRIM(REGEXREPLACE(C385, ""[0-9]+[a-f]?\."", """"))"),"What to do if someone in your household falls ill")</f>
        <v>What to do if someone in your household falls ill</v>
      </c>
      <c r="H385" s="113" t="str">
        <f>IFERROR(__xludf.DUMMYFUNCTION("TRIM(REGEXREPLACE(D385, ""[0-9]+[a-f]?\."", """"))"),"Que faire si un membre de votre ménage tombe malade")</f>
        <v>Que faire si un membre de votre ménage tombe malade</v>
      </c>
      <c r="I385" s="113" t="str">
        <f>IFERROR(__xludf.DUMMYFUNCTION("TRIM(REGEXREPLACE(E385, ""[0-9]+[a-f]?\."", """"))"),"Abin da za'a yi idan wani a cikin gidanku ya kamu da rashin lafiya")</f>
        <v>Abin da za'a yi idan wani a cikin gidanku ya kamu da rashin lafiya</v>
      </c>
      <c r="J385" s="113" t="str">
        <f t="shared" si="79"/>
        <v>126. What to do if someone in your household falls ill</v>
      </c>
      <c r="K385" s="113" t="str">
        <f t="shared" si="80"/>
        <v>126. Que faire si un membre de votre ménage tombe malade</v>
      </c>
      <c r="L385" s="113" t="str">
        <f t="shared" si="81"/>
        <v>126. Abin da za'a yi idan wani a cikin gidanku ya kamu da rashin lafiya</v>
      </c>
    </row>
    <row r="386">
      <c r="A386" s="114" t="s">
        <v>2049</v>
      </c>
      <c r="B386" s="165" t="s">
        <v>2099</v>
      </c>
      <c r="C386" s="76" t="s">
        <v>2100</v>
      </c>
      <c r="D386" s="76" t="s">
        <v>2101</v>
      </c>
      <c r="E386" s="76" t="s">
        <v>2102</v>
      </c>
      <c r="F386" s="110">
        <v>127.0</v>
      </c>
      <c r="G386" s="113" t="str">
        <f>IFERROR(__xludf.DUMMYFUNCTION("TRIM(REGEXREPLACE(C386, ""[0-9]+[a-f]?\."", """"))"),"Whether children attend school or not")</f>
        <v>Whether children attend school or not</v>
      </c>
      <c r="H386" s="113" t="str">
        <f>IFERROR(__xludf.DUMMYFUNCTION("TRIM(REGEXREPLACE(D386, ""[0-9]+[a-f]?\."", """"))"),"Que les enfants soient scolarisés ou non")</f>
        <v>Que les enfants soient scolarisés ou non</v>
      </c>
      <c r="I386" s="113" t="str">
        <f>IFERROR(__xludf.DUMMYFUNCTION("TRIM(REGEXREPLACE(E386, ""[0-9]+[a-f]?\."", """"))"),"Ko za'a rubuta yara makaranta ko a'a")</f>
        <v>Ko za'a rubuta yara makaranta ko a'a</v>
      </c>
      <c r="J386" s="113" t="str">
        <f t="shared" si="79"/>
        <v>127. Whether children attend school or not</v>
      </c>
      <c r="K386" s="113" t="str">
        <f t="shared" si="80"/>
        <v>127. Que les enfants soient scolarisés ou non</v>
      </c>
      <c r="L386" s="113" t="str">
        <f t="shared" si="81"/>
        <v>127. Ko za'a rubuta yara makaranta ko a'a</v>
      </c>
    </row>
    <row r="387">
      <c r="A387" s="114" t="s">
        <v>2049</v>
      </c>
      <c r="B387" s="165" t="s">
        <v>2106</v>
      </c>
      <c r="C387" s="76" t="s">
        <v>2107</v>
      </c>
      <c r="D387" s="76" t="s">
        <v>2108</v>
      </c>
      <c r="E387" s="76" t="s">
        <v>2109</v>
      </c>
      <c r="F387" s="110">
        <v>128.0</v>
      </c>
      <c r="G387" s="113" t="str">
        <f>IFERROR(__xludf.DUMMYFUNCTION("TRIM(REGEXREPLACE(C387, ""[0-9]+[a-f]?\."", """"))"),"Whether you will migrate to find work or stay at home")</f>
        <v>Whether you will migrate to find work or stay at home</v>
      </c>
      <c r="H387" s="113" t="str">
        <f>IFERROR(__xludf.DUMMYFUNCTION("TRIM(REGEXREPLACE(D387, ""[0-9]+[a-f]?\."", """"))"),"Si vous migrez pour trouver du travail ou rester à la maison")</f>
        <v>Si vous migrez pour trouver du travail ou rester à la maison</v>
      </c>
      <c r="I387" s="113" t="str">
        <f>IFERROR(__xludf.DUMMYFUNCTION("TRIM(REGEXREPLACE(E387, ""[0-9]+[a-f]?\."", """"))"),"Ko za ku yi tahiya wurin biɗa ko za ku zauna a gida")</f>
        <v>Ko za ku yi tahiya wurin biɗa ko za ku zauna a gida</v>
      </c>
      <c r="J387" s="113" t="str">
        <f t="shared" si="79"/>
        <v>128. Whether you will migrate to find work or stay at home</v>
      </c>
      <c r="K387" s="113" t="str">
        <f t="shared" si="80"/>
        <v>128. Si vous migrez pour trouver du travail ou rester à la maison</v>
      </c>
      <c r="L387" s="113" t="str">
        <f t="shared" si="81"/>
        <v>128. Ko za ku yi tahiya wurin biɗa ko za ku zauna a gida</v>
      </c>
    </row>
    <row r="388" hidden="1">
      <c r="A388" s="150" t="s">
        <v>343</v>
      </c>
      <c r="B388" s="83" t="s">
        <v>2042</v>
      </c>
      <c r="C388" s="83"/>
      <c r="D388" s="83"/>
      <c r="E388" s="83"/>
      <c r="F388" s="110">
        <v>229.0</v>
      </c>
      <c r="G388" s="113" t="str">
        <f>IFERROR(__xludf.DUMMYFUNCTION("TRIM(REGEXREPLACE(C388, ""[0-9]+[a-f]?\."", """"))"),"")</f>
        <v/>
      </c>
      <c r="H388" s="113" t="str">
        <f>IFERROR(__xludf.DUMMYFUNCTION("TRIM(REGEXREPLACE(D388, ""[0-9]+[a-f]?\."", """"))"),"")</f>
        <v/>
      </c>
      <c r="I388" s="113" t="str">
        <f>IFERROR(__xludf.DUMMYFUNCTION("TRIM(REGEXREPLACE(E388, ""[0-9]+[a-f]?\."", """"))"),"")</f>
        <v/>
      </c>
      <c r="J388" s="113" t="s">
        <v>2114</v>
      </c>
      <c r="K388" s="113" t="s">
        <v>2115</v>
      </c>
      <c r="L388" s="113" t="s">
        <v>2116</v>
      </c>
    </row>
    <row r="389">
      <c r="A389" s="152" t="s">
        <v>44</v>
      </c>
      <c r="B389" s="77" t="s">
        <v>2118</v>
      </c>
      <c r="C389" s="76" t="s">
        <v>1034</v>
      </c>
      <c r="D389" s="76" t="s">
        <v>1035</v>
      </c>
      <c r="E389" s="76" t="s">
        <v>1036</v>
      </c>
      <c r="F389" s="110">
        <v>129.0</v>
      </c>
      <c r="G389" s="113" t="str">
        <f>IFERROR(__xludf.DUMMYFUNCTION("TRIM(REGEXREPLACE(C389, ""[0-9]+[a-f]?\."", """"))"),"Can you make your own decisions, without the input of anyone else if you want to regarding:")</f>
        <v>Can you make your own decisions, without the input of anyone else if you want to regarding:</v>
      </c>
      <c r="H389" s="113" t="str">
        <f>IFERROR(__xludf.DUMMYFUNCTION("TRIM(REGEXREPLACE(D389, ""[0-9]+[a-f]?\."", """"))"),"Pouvez-vous prendre vos propres décisions, sans l'intervention de quelqu'un d'autre, si vous le souhaitez concernant :")</f>
        <v>Pouvez-vous prendre vos propres décisions, sans l'intervention de quelqu'un d'autre, si vous le souhaitez concernant :</v>
      </c>
      <c r="I389" s="113" t="str">
        <f>IFERROR(__xludf.DUMMYFUNCTION("TRIM(REGEXREPLACE(E389, ""[0-9]+[a-f]?\."", """"))"),"Za ku iya yanke shawara da kanku, ba tare da sa bakin wani ba idan kuna so dangance da:")</f>
        <v>Za ku iya yanke shawara da kanku, ba tare da sa bakin wani ba idan kuna so dangance da:</v>
      </c>
      <c r="J389" s="113" t="str">
        <f t="shared" ref="J389:J394" si="82">F389 &amp; ". " &amp;G389</f>
        <v>129. Can you make your own decisions, without the input of anyone else if you want to regarding:</v>
      </c>
      <c r="K389" s="113" t="str">
        <f t="shared" ref="K389:K394" si="83">F389 &amp; ". " &amp;H389</f>
        <v>129. Pouvez-vous prendre vos propres décisions, sans l'intervention de quelqu'un d'autre, si vous le souhaitez concernant :</v>
      </c>
      <c r="L389" s="113" t="str">
        <f t="shared" ref="L389:L394" si="84">F389 &amp; ". " &amp;I389</f>
        <v>129. Za ku iya yanke shawara da kanku, ba tare da sa bakin wani ba idan kuna so dangance da:</v>
      </c>
    </row>
    <row r="390">
      <c r="A390" s="114" t="s">
        <v>979</v>
      </c>
      <c r="B390" s="165" t="s">
        <v>2125</v>
      </c>
      <c r="C390" s="76" t="s">
        <v>1038</v>
      </c>
      <c r="D390" s="76" t="s">
        <v>1039</v>
      </c>
      <c r="E390" s="76" t="s">
        <v>1040</v>
      </c>
      <c r="F390" s="110">
        <v>130.0</v>
      </c>
      <c r="G390" s="113" t="str">
        <f>IFERROR(__xludf.DUMMYFUNCTION("TRIM(REGEXREPLACE(C390, ""[0-9]+[a-f]?\."", """"))"),"How to use money that you earn")</f>
        <v>How to use money that you earn</v>
      </c>
      <c r="H390" s="113" t="str">
        <f>IFERROR(__xludf.DUMMYFUNCTION("TRIM(REGEXREPLACE(D390, ""[0-9]+[a-f]?\."", """"))"),"Comment utiliser l'argent que vous gagnez")</f>
        <v>Comment utiliser l'argent que vous gagnez</v>
      </c>
      <c r="I390" s="113" t="str">
        <f>IFERROR(__xludf.DUMMYFUNCTION("TRIM(REGEXREPLACE(E390, ""[0-9]+[a-f]?\."", """"))"),"Yadda ake amfani da kuɗin da kuke samu")</f>
        <v>Yadda ake amfani da kuɗin da kuke samu</v>
      </c>
      <c r="J390" s="113" t="str">
        <f t="shared" si="82"/>
        <v>130. How to use money that you earn</v>
      </c>
      <c r="K390" s="113" t="str">
        <f t="shared" si="83"/>
        <v>130. Comment utiliser l'argent que vous gagnez</v>
      </c>
      <c r="L390" s="113" t="str">
        <f t="shared" si="84"/>
        <v>130. Yadda ake amfani da kuɗin da kuke samu</v>
      </c>
    </row>
    <row r="391">
      <c r="A391" s="114" t="s">
        <v>979</v>
      </c>
      <c r="B391" s="165" t="s">
        <v>2132</v>
      </c>
      <c r="C391" s="76" t="s">
        <v>2133</v>
      </c>
      <c r="D391" s="76" t="s">
        <v>2134</v>
      </c>
      <c r="E391" s="76" t="s">
        <v>2135</v>
      </c>
      <c r="F391" s="110">
        <v>131.0</v>
      </c>
      <c r="G391" s="113" t="str">
        <f>IFERROR(__xludf.DUMMYFUNCTION("TRIM(REGEXREPLACE(C391, ""[0-9]+[a-f]?\."", """"))"),"Daily household expenses (less than 500 CFA)")</f>
        <v>Daily household expenses (less than 500 CFA)</v>
      </c>
      <c r="H391" s="113" t="str">
        <f>IFERROR(__xludf.DUMMYFUNCTION("TRIM(REGEXREPLACE(D391, ""[0-9]+[a-f]?\."", """"))"),"Dépenses quotidiennes du ménage (moins de 500 CFA)")</f>
        <v>Dépenses quotidiennes du ménage (moins de 500 CFA)</v>
      </c>
      <c r="I391" s="113" t="str">
        <f>IFERROR(__xludf.DUMMYFUNCTION("TRIM(REGEXREPLACE(E391, ""[0-9]+[a-f]?\."", """"))"),"Kashe Kuɗin gida na yau da kullum ( Kasa da dala ɗari CFA 500)")</f>
        <v>Kashe Kuɗin gida na yau da kullum ( Kasa da dala ɗari CFA 500)</v>
      </c>
      <c r="J391" s="113" t="str">
        <f t="shared" si="82"/>
        <v>131. Daily household expenses (less than 500 CFA)</v>
      </c>
      <c r="K391" s="113" t="str">
        <f t="shared" si="83"/>
        <v>131. Dépenses quotidiennes du ménage (moins de 500 CFA)</v>
      </c>
      <c r="L391" s="113" t="str">
        <f t="shared" si="84"/>
        <v>131. Kashe Kuɗin gida na yau da kullum ( Kasa da dala ɗari CFA 500)</v>
      </c>
    </row>
    <row r="392">
      <c r="A392" s="114" t="s">
        <v>979</v>
      </c>
      <c r="B392" s="165" t="s">
        <v>2139</v>
      </c>
      <c r="C392" s="76" t="s">
        <v>2140</v>
      </c>
      <c r="D392" s="76" t="s">
        <v>2141</v>
      </c>
      <c r="E392" s="76" t="s">
        <v>2142</v>
      </c>
      <c r="F392" s="110">
        <v>132.0</v>
      </c>
      <c r="G392" s="113" t="str">
        <f>IFERROR(__xludf.DUMMYFUNCTION("TRIM(REGEXREPLACE(C392, ""[0-9]+[a-f]?\."", """"))"),"Household purchases (over 500 CFA)")</f>
        <v>Household purchases (over 500 CFA)</v>
      </c>
      <c r="H392" s="113" t="str">
        <f>IFERROR(__xludf.DUMMYFUNCTION("TRIM(REGEXREPLACE(D392, ""[0-9]+[a-f]?\."", """"))"),"Achats du ménage (plus de 500 CFA)")</f>
        <v>Achats du ménage (plus de 500 CFA)</v>
      </c>
      <c r="I392" s="113" t="str">
        <f>IFERROR(__xludf.DUMMYFUNCTION("TRIM(REGEXREPLACE(E392, ""[0-9]+[a-f]?\."", """"))"),"Sayayya na gida (sama da dala ɗari CFA 500)")</f>
        <v>Sayayya na gida (sama da dala ɗari CFA 500)</v>
      </c>
      <c r="J392" s="113" t="str">
        <f t="shared" si="82"/>
        <v>132. Household purchases (over 500 CFA)</v>
      </c>
      <c r="K392" s="113" t="str">
        <f t="shared" si="83"/>
        <v>132. Achats du ménage (plus de 500 CFA)</v>
      </c>
      <c r="L392" s="113" t="str">
        <f t="shared" si="84"/>
        <v>132. Sayayya na gida (sama da dala ɗari CFA 500)</v>
      </c>
    </row>
    <row r="393">
      <c r="A393" s="114" t="s">
        <v>979</v>
      </c>
      <c r="B393" s="165" t="s">
        <v>2149</v>
      </c>
      <c r="C393" s="76" t="s">
        <v>2150</v>
      </c>
      <c r="D393" s="76" t="s">
        <v>2152</v>
      </c>
      <c r="E393" s="76" t="s">
        <v>2153</v>
      </c>
      <c r="F393" s="110">
        <v>133.0</v>
      </c>
      <c r="G393" s="113" t="str">
        <f>IFERROR(__xludf.DUMMYFUNCTION("TRIM(REGEXREPLACE(C393, ""[0-9]+[a-f]?\."", """"))"),"What job you do")</f>
        <v>What job you do</v>
      </c>
      <c r="H393" s="113" t="str">
        <f>IFERROR(__xludf.DUMMYFUNCTION("TRIM(REGEXREPLACE(D393, ""[0-9]+[a-f]?\."", """"))"),"Quel travail tu fais")</f>
        <v>Quel travail tu fais</v>
      </c>
      <c r="I393" s="113" t="str">
        <f>IFERROR(__xludf.DUMMYFUNCTION("TRIM(REGEXREPLACE(E393, ""[0-9]+[a-f]?\."", """"))"),"Wane aiki kuke yi")</f>
        <v>Wane aiki kuke yi</v>
      </c>
      <c r="J393" s="113" t="str">
        <f t="shared" si="82"/>
        <v>133. What job you do</v>
      </c>
      <c r="K393" s="113" t="str">
        <f t="shared" si="83"/>
        <v>133. Quel travail tu fais</v>
      </c>
      <c r="L393" s="113" t="str">
        <f t="shared" si="84"/>
        <v>133. Wane aiki kuke yi</v>
      </c>
    </row>
    <row r="394">
      <c r="A394" s="114" t="s">
        <v>979</v>
      </c>
      <c r="B394" s="165" t="s">
        <v>2156</v>
      </c>
      <c r="C394" s="76" t="s">
        <v>1064</v>
      </c>
      <c r="D394" s="76" t="s">
        <v>1065</v>
      </c>
      <c r="E394" s="76" t="s">
        <v>1066</v>
      </c>
      <c r="F394" s="110">
        <v>134.0</v>
      </c>
      <c r="G394" s="113" t="str">
        <f>IFERROR(__xludf.DUMMYFUNCTION("TRIM(REGEXREPLACE(C394, ""[0-9]+[a-f]?\."", """"))"),"Whether you will migrate to find work")</f>
        <v>Whether you will migrate to find work</v>
      </c>
      <c r="H394" s="113" t="str">
        <f>IFERROR(__xludf.DUMMYFUNCTION("TRIM(REGEXREPLACE(D394, ""[0-9]+[a-f]?\."", """"))"),"Si vous migrez pour trouver du travail")</f>
        <v>Si vous migrez pour trouver du travail</v>
      </c>
      <c r="I394" s="113" t="str">
        <f>IFERROR(__xludf.DUMMYFUNCTION("TRIM(REGEXREPLACE(E394, ""[0-9]+[a-f]?\."", """"))"),"Ko za ku yi tahiya don neman aiki")</f>
        <v>Ko za ku yi tahiya don neman aiki</v>
      </c>
      <c r="J394" s="113" t="str">
        <f t="shared" si="82"/>
        <v>134. Whether you will migrate to find work</v>
      </c>
      <c r="K394" s="113" t="str">
        <f t="shared" si="83"/>
        <v>134. Si vous migrez pour trouver du travail</v>
      </c>
      <c r="L394" s="113" t="str">
        <f t="shared" si="84"/>
        <v>134. Ko za ku yi tahiya don neman aiki</v>
      </c>
    </row>
    <row r="395" hidden="1"/>
    <row r="396" hidden="1">
      <c r="B396" s="119"/>
      <c r="C396" s="119"/>
      <c r="D396" s="119"/>
      <c r="E396" s="119"/>
      <c r="F396" s="110">
        <v>220.0</v>
      </c>
      <c r="G396" s="113" t="str">
        <f>IFERROR(__xludf.DUMMYFUNCTION("TRIM(REGEXREPLACE(C396, ""[0-9]+[a-f]?\."", """"))"),"")</f>
        <v/>
      </c>
      <c r="H396" s="113" t="str">
        <f>IFERROR(__xludf.DUMMYFUNCTION("TRIM(REGEXREPLACE(D396, ""[0-9]+[a-f]?\."", """"))"),"")</f>
        <v/>
      </c>
      <c r="I396" s="113" t="str">
        <f>IFERROR(__xludf.DUMMYFUNCTION("TRIM(REGEXREPLACE(E396, ""[0-9]+[a-f]?\."", """"))"),"")</f>
        <v/>
      </c>
      <c r="J396" s="113" t="s">
        <v>2164</v>
      </c>
      <c r="K396" s="113" t="s">
        <v>2165</v>
      </c>
      <c r="L396" s="113" t="s">
        <v>2166</v>
      </c>
    </row>
    <row r="397" hidden="1">
      <c r="B397" s="119"/>
      <c r="C397" s="119"/>
      <c r="D397" s="119"/>
      <c r="E397" s="119"/>
      <c r="F397" s="110">
        <v>221.0</v>
      </c>
      <c r="G397" s="113" t="str">
        <f>IFERROR(__xludf.DUMMYFUNCTION("TRIM(REGEXREPLACE(C397, ""[0-9]+[a-f]?\."", """"))"),"")</f>
        <v/>
      </c>
      <c r="H397" s="113" t="str">
        <f>IFERROR(__xludf.DUMMYFUNCTION("TRIM(REGEXREPLACE(D397, ""[0-9]+[a-f]?\."", """"))"),"")</f>
        <v/>
      </c>
      <c r="I397" s="113" t="str">
        <f>IFERROR(__xludf.DUMMYFUNCTION("TRIM(REGEXREPLACE(E397, ""[0-9]+[a-f]?\."", """"))"),"")</f>
        <v/>
      </c>
      <c r="J397" s="113" t="s">
        <v>2170</v>
      </c>
      <c r="K397" s="113" t="s">
        <v>2171</v>
      </c>
      <c r="L397" s="113" t="s">
        <v>2172</v>
      </c>
    </row>
    <row r="398">
      <c r="A398" s="114" t="s">
        <v>541</v>
      </c>
      <c r="B398" s="165" t="s">
        <v>2173</v>
      </c>
      <c r="C398" s="76" t="s">
        <v>2174</v>
      </c>
      <c r="D398" s="76" t="s">
        <v>2175</v>
      </c>
      <c r="E398" s="76" t="s">
        <v>2176</v>
      </c>
      <c r="F398" s="110">
        <v>135.0</v>
      </c>
      <c r="G398" s="113" t="str">
        <f>IFERROR(__xludf.DUMMYFUNCTION("TRIM(REGEXREPLACE(C398, ""[0-9]+[a-f]?\."", """"))"),"The next set of questions are for married women only. Are you married?")</f>
        <v>The next set of questions are for married women only. Are you married?</v>
      </c>
      <c r="H398" s="113" t="str">
        <f>IFERROR(__xludf.DUMMYFUNCTION("TRIM(REGEXREPLACE(D398, ""[0-9]+[a-f]?\."", """"))"),"La série de questions suivante s'adresse uniquement aux femmes mariées. Es-tu marié?")</f>
        <v>La série de questions suivante s'adresse uniquement aux femmes mariées. Es-tu marié?</v>
      </c>
      <c r="I398" s="113" t="str">
        <f>IFERROR(__xludf.DUMMYFUNCTION("TRIM(REGEXREPLACE(E398, ""[0-9]+[a-f]?\."", """"))"),"Tambayoyi na gaba na matan aure ne kawai. Ko ki na da aure?")</f>
        <v>Tambayoyi na gaba na matan aure ne kawai. Ko ki na da aure?</v>
      </c>
      <c r="J398" s="113" t="str">
        <f t="shared" ref="J398:J401" si="85">F398 &amp; ". " &amp;G398</f>
        <v>135. The next set of questions are for married women only. Are you married?</v>
      </c>
      <c r="K398" s="113" t="str">
        <f t="shared" ref="K398:K401" si="86">F398 &amp; ". " &amp;H398</f>
        <v>135. La série de questions suivante s'adresse uniquement aux femmes mariées. Es-tu marié?</v>
      </c>
      <c r="L398" s="113" t="str">
        <f t="shared" ref="L398:L401" si="87">F398 &amp; ". " &amp;I398</f>
        <v>135. Tambayoyi na gaba na matan aure ne kawai. Ko ki na da aure?</v>
      </c>
    </row>
    <row r="399">
      <c r="A399" s="152" t="s">
        <v>44</v>
      </c>
      <c r="B399" s="77" t="s">
        <v>2184</v>
      </c>
      <c r="C399" s="76" t="s">
        <v>1076</v>
      </c>
      <c r="D399" s="76" t="s">
        <v>1077</v>
      </c>
      <c r="E399" s="76" t="s">
        <v>1078</v>
      </c>
      <c r="F399" s="110">
        <v>136.0</v>
      </c>
      <c r="G399" s="113" t="str">
        <f>IFERROR(__xludf.DUMMYFUNCTION("TRIM(REGEXREPLACE(C399,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399" s="113" t="str">
        <f>IFERROR(__xludf.DUMMYFUNCTION("TRIM(REGEXREPLACE(D399,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399" s="113" t="str">
        <f>IFERROR(__xludf.DUMMYFUNCTION("TRIM(REGEXREPLACE(E399,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399" s="113" t="str">
        <f t="shared" si="85"/>
        <v>136. I am now going to mention some things that husband and wives sometimes speak about. Please tell me if you and your spouse talk about these things</v>
      </c>
      <c r="K399" s="113" t="str">
        <f t="shared" si="86"/>
        <v>136. Je vais maintenant mentionner certaines choses dont les maris et les femmes parlent parfois. Veuillez me dire si vous et votre conjoint parlez de ces choses</v>
      </c>
      <c r="L399" s="113" t="str">
        <f t="shared" si="87"/>
        <v>136. Yanzu zan ambaci wasu abubuwa da mata da miji suke magana akai. Don Allah ku gaya mini idan ku da mijinku kuna magana a kan waɗannan abubuwan</v>
      </c>
    </row>
    <row r="400">
      <c r="A400" s="114" t="s">
        <v>979</v>
      </c>
      <c r="B400" s="165" t="s">
        <v>2187</v>
      </c>
      <c r="C400" s="76" t="s">
        <v>1084</v>
      </c>
      <c r="D400" s="76" t="s">
        <v>1085</v>
      </c>
      <c r="E400" s="76" t="s">
        <v>1086</v>
      </c>
      <c r="F400" s="110">
        <v>137.0</v>
      </c>
      <c r="G400" s="113" t="str">
        <f>IFERROR(__xludf.DUMMYFUNCTION("TRIM(REGEXREPLACE(C400, ""[0-9]+[a-f]?\."", """"))"),"Things that happen at work or in the fields?")</f>
        <v>Things that happen at work or in the fields?</v>
      </c>
      <c r="H400" s="113" t="str">
        <f>IFERROR(__xludf.DUMMYFUNCTION("TRIM(REGEXREPLACE(D400, ""[0-9]+[a-f]?\."", """"))"),"Des choses qui se passent au travail ou dans les champs ?")</f>
        <v>Des choses qui se passent au travail ou dans les champs ?</v>
      </c>
      <c r="I400" s="113" t="str">
        <f>IFERROR(__xludf.DUMMYFUNCTION("TRIM(REGEXREPLACE(E400, ""[0-9]+[a-f]?\."", """"))"),"Abubuwan da ke faruwa a wurin aiki ko a gona?")</f>
        <v>Abubuwan da ke faruwa a wurin aiki ko a gona?</v>
      </c>
      <c r="J400" s="113" t="str">
        <f t="shared" si="85"/>
        <v>137. Things that happen at work or in the fields?</v>
      </c>
      <c r="K400" s="113" t="str">
        <f t="shared" si="86"/>
        <v>137. Des choses qui se passent au travail ou dans les champs ?</v>
      </c>
      <c r="L400" s="113" t="str">
        <f t="shared" si="87"/>
        <v>137. Abubuwan da ke faruwa a wurin aiki ko a gona?</v>
      </c>
    </row>
    <row r="401">
      <c r="A401" s="114" t="s">
        <v>979</v>
      </c>
      <c r="B401" s="165" t="s">
        <v>2188</v>
      </c>
      <c r="C401" s="76" t="s">
        <v>2189</v>
      </c>
      <c r="D401" s="76" t="s">
        <v>2190</v>
      </c>
      <c r="E401" s="76" t="s">
        <v>2191</v>
      </c>
      <c r="F401" s="110">
        <v>138.0</v>
      </c>
      <c r="G401" s="113" t="str">
        <f>IFERROR(__xludf.DUMMYFUNCTION("TRIM(REGEXREPLACE(C401, ""[0-9]+[a-f]?\."", """"))"),"Things that happen in the community?")</f>
        <v>Things that happen in the community?</v>
      </c>
      <c r="H401" s="113" t="str">
        <f>IFERROR(__xludf.DUMMYFUNCTION("TRIM(REGEXREPLACE(D401, ""[0-9]+[a-f]?\."", """"))"),"Des choses qui se passent dans la communauté ?")</f>
        <v>Des choses qui se passent dans la communauté ?</v>
      </c>
      <c r="I401" s="113" t="str">
        <f>IFERROR(__xludf.DUMMYFUNCTION("TRIM(REGEXREPLACE(E401, ""[0-9]+[a-f]?\."", """"))"),"Abubuwan da ke faruwa a cikin al'umma?")</f>
        <v>Abubuwan da ke faruwa a cikin al'umma?</v>
      </c>
      <c r="J401" s="113" t="str">
        <f t="shared" si="85"/>
        <v>138. Things that happen in the community?</v>
      </c>
      <c r="K401" s="113" t="str">
        <f t="shared" si="86"/>
        <v>138. Des choses qui se passent dans la communauté ?</v>
      </c>
      <c r="L401" s="113" t="str">
        <f t="shared" si="87"/>
        <v>138. Abubuwan da ke faruwa a cikin al'umma?</v>
      </c>
    </row>
    <row r="402" hidden="1">
      <c r="C402" s="119"/>
      <c r="D402" s="119"/>
      <c r="E402" s="119"/>
      <c r="F402" s="110">
        <v>239.0</v>
      </c>
      <c r="G402" s="113" t="str">
        <f>IFERROR(__xludf.DUMMYFUNCTION("TRIM(REGEXREPLACE(C402, ""[0-9]+[a-f]?\."", """"))"),"")</f>
        <v/>
      </c>
      <c r="H402" s="113" t="str">
        <f>IFERROR(__xludf.DUMMYFUNCTION("TRIM(REGEXREPLACE(D402, ""[0-9]+[a-f]?\."", """"))"),"")</f>
        <v/>
      </c>
      <c r="I402" s="113" t="str">
        <f>IFERROR(__xludf.DUMMYFUNCTION("TRIM(REGEXREPLACE(E402, ""[0-9]+[a-f]?\."", """"))"),"")</f>
        <v/>
      </c>
    </row>
    <row r="403" hidden="1">
      <c r="B403" s="119"/>
      <c r="C403" s="119"/>
      <c r="D403" s="119"/>
      <c r="E403" s="119"/>
      <c r="F403" s="110">
        <v>238.0</v>
      </c>
      <c r="G403" s="113" t="str">
        <f>IFERROR(__xludf.DUMMYFUNCTION("TRIM(REGEXREPLACE(C403, ""[0-9]+[a-f]?\."", """"))"),"")</f>
        <v/>
      </c>
      <c r="H403" s="113" t="str">
        <f>IFERROR(__xludf.DUMMYFUNCTION("TRIM(REGEXREPLACE(D403, ""[0-9]+[a-f]?\."", """"))"),"")</f>
        <v/>
      </c>
      <c r="I403" s="113" t="str">
        <f>IFERROR(__xludf.DUMMYFUNCTION("TRIM(REGEXREPLACE(E403, ""[0-9]+[a-f]?\."", """"))"),"")</f>
        <v/>
      </c>
      <c r="J403" s="113" t="s">
        <v>2201</v>
      </c>
      <c r="K403" s="113" t="s">
        <v>2202</v>
      </c>
      <c r="L403" s="113" t="s">
        <v>2203</v>
      </c>
    </row>
    <row r="404" hidden="1">
      <c r="B404" s="119"/>
      <c r="C404" s="119"/>
      <c r="D404" s="119"/>
      <c r="E404" s="119"/>
      <c r="F404" s="110">
        <v>239.0</v>
      </c>
      <c r="G404" s="113" t="str">
        <f>IFERROR(__xludf.DUMMYFUNCTION("TRIM(REGEXREPLACE(C404, ""[0-9]+[a-f]?\."", """"))"),"")</f>
        <v/>
      </c>
      <c r="H404" s="113" t="str">
        <f>IFERROR(__xludf.DUMMYFUNCTION("TRIM(REGEXREPLACE(D404, ""[0-9]+[a-f]?\."", """"))"),"")</f>
        <v/>
      </c>
      <c r="I404" s="113" t="str">
        <f>IFERROR(__xludf.DUMMYFUNCTION("TRIM(REGEXREPLACE(E404, ""[0-9]+[a-f]?\."", """"))"),"")</f>
        <v/>
      </c>
      <c r="J404" s="113" t="s">
        <v>2205</v>
      </c>
      <c r="K404" s="113" t="s">
        <v>2206</v>
      </c>
      <c r="L404" s="113" t="s">
        <v>2207</v>
      </c>
    </row>
    <row r="405" hidden="1">
      <c r="B405" s="119"/>
      <c r="C405" s="119"/>
      <c r="D405" s="119"/>
      <c r="E405" s="119"/>
      <c r="F405" s="110">
        <v>240.0</v>
      </c>
      <c r="G405" s="113" t="str">
        <f>IFERROR(__xludf.DUMMYFUNCTION("TRIM(REGEXREPLACE(C405, ""[0-9]+[a-f]?\."", """"))"),"")</f>
        <v/>
      </c>
      <c r="H405" s="113" t="str">
        <f>IFERROR(__xludf.DUMMYFUNCTION("TRIM(REGEXREPLACE(D405, ""[0-9]+[a-f]?\."", """"))"),"")</f>
        <v/>
      </c>
      <c r="I405" s="113" t="str">
        <f>IFERROR(__xludf.DUMMYFUNCTION("TRIM(REGEXREPLACE(E405, ""[0-9]+[a-f]?\."", """"))"),"")</f>
        <v/>
      </c>
      <c r="J405" s="113" t="s">
        <v>2214</v>
      </c>
      <c r="K405" s="113" t="s">
        <v>2215</v>
      </c>
      <c r="L405" s="113" t="s">
        <v>2215</v>
      </c>
    </row>
    <row r="406" hidden="1">
      <c r="B406" s="119"/>
      <c r="C406" s="119"/>
      <c r="D406" s="119"/>
      <c r="E406" s="119"/>
      <c r="F406" s="110">
        <v>241.0</v>
      </c>
      <c r="G406" s="113" t="str">
        <f>IFERROR(__xludf.DUMMYFUNCTION("TRIM(REGEXREPLACE(C406, ""[0-9]+[a-f]?\."", """"))"),"")</f>
        <v/>
      </c>
      <c r="H406" s="113" t="str">
        <f>IFERROR(__xludf.DUMMYFUNCTION("TRIM(REGEXREPLACE(D406, ""[0-9]+[a-f]?\."", """"))"),"")</f>
        <v/>
      </c>
      <c r="I406" s="113" t="str">
        <f>IFERROR(__xludf.DUMMYFUNCTION("TRIM(REGEXREPLACE(E406, ""[0-9]+[a-f]?\."", """"))"),"")</f>
        <v/>
      </c>
      <c r="J406" s="113" t="s">
        <v>2219</v>
      </c>
      <c r="K406" s="113" t="s">
        <v>2221</v>
      </c>
      <c r="L406" s="113" t="s">
        <v>2222</v>
      </c>
    </row>
    <row r="407" hidden="1">
      <c r="B407" s="119"/>
      <c r="C407" s="119"/>
      <c r="D407" s="119"/>
      <c r="E407" s="119"/>
      <c r="F407" s="110">
        <v>242.0</v>
      </c>
      <c r="G407" s="113" t="str">
        <f>IFERROR(__xludf.DUMMYFUNCTION("TRIM(REGEXREPLACE(C407, ""[0-9]+[a-f]?\."", """"))"),"")</f>
        <v/>
      </c>
      <c r="H407" s="113" t="str">
        <f>IFERROR(__xludf.DUMMYFUNCTION("TRIM(REGEXREPLACE(D407, ""[0-9]+[a-f]?\."", """"))"),"")</f>
        <v/>
      </c>
      <c r="I407" s="113" t="str">
        <f>IFERROR(__xludf.DUMMYFUNCTION("TRIM(REGEXREPLACE(E407, ""[0-9]+[a-f]?\."", """"))"),"")</f>
        <v/>
      </c>
      <c r="J407" s="113" t="s">
        <v>2224</v>
      </c>
      <c r="K407" s="113" t="s">
        <v>2225</v>
      </c>
      <c r="L407" s="113" t="s">
        <v>2225</v>
      </c>
    </row>
    <row r="408" hidden="1">
      <c r="B408" s="119"/>
      <c r="C408" s="119"/>
      <c r="D408" s="119"/>
      <c r="E408" s="119"/>
      <c r="F408" s="110">
        <v>242.0</v>
      </c>
      <c r="G408" s="113" t="str">
        <f>IFERROR(__xludf.DUMMYFUNCTION("TRIM(REGEXREPLACE(C408, ""[0-9]+[a-f]?\."", """"))"),"")</f>
        <v/>
      </c>
      <c r="H408" s="113" t="str">
        <f>IFERROR(__xludf.DUMMYFUNCTION("TRIM(REGEXREPLACE(D408, ""[0-9]+[a-f]?\."", """"))"),"")</f>
        <v/>
      </c>
      <c r="I408" s="113" t="str">
        <f>IFERROR(__xludf.DUMMYFUNCTION("TRIM(REGEXREPLACE(E408, ""[0-9]+[a-f]?\."", """"))"),"")</f>
        <v/>
      </c>
    </row>
    <row r="409" hidden="1">
      <c r="B409" s="119"/>
      <c r="C409" s="119"/>
      <c r="D409" s="119"/>
      <c r="E409" s="119"/>
      <c r="F409" s="110">
        <v>243.0</v>
      </c>
      <c r="G409" s="113" t="str">
        <f>IFERROR(__xludf.DUMMYFUNCTION("TRIM(REGEXREPLACE(C409, ""[0-9]+[a-f]?\."", """"))"),"")</f>
        <v/>
      </c>
      <c r="H409" s="113" t="str">
        <f>IFERROR(__xludf.DUMMYFUNCTION("TRIM(REGEXREPLACE(D409, ""[0-9]+[a-f]?\."", """"))"),"")</f>
        <v/>
      </c>
      <c r="I409" s="113" t="str">
        <f>IFERROR(__xludf.DUMMYFUNCTION("TRIM(REGEXREPLACE(E409, ""[0-9]+[a-f]?\."", """"))"),"")</f>
        <v/>
      </c>
    </row>
    <row r="410" hidden="1">
      <c r="B410" s="119"/>
      <c r="C410" s="119"/>
      <c r="D410" s="119"/>
      <c r="E410" s="119"/>
      <c r="F410" s="110">
        <v>244.0</v>
      </c>
      <c r="G410" s="113" t="str">
        <f>IFERROR(__xludf.DUMMYFUNCTION("TRIM(REGEXREPLACE(C410, ""[0-9]+[a-f]?\."", """"))"),"")</f>
        <v/>
      </c>
      <c r="H410" s="113" t="str">
        <f>IFERROR(__xludf.DUMMYFUNCTION("TRIM(REGEXREPLACE(D410, ""[0-9]+[a-f]?\."", """"))"),"")</f>
        <v/>
      </c>
      <c r="I410" s="113" t="str">
        <f>IFERROR(__xludf.DUMMYFUNCTION("TRIM(REGEXREPLACE(E410, ""[0-9]+[a-f]?\."", """"))"),"")</f>
        <v/>
      </c>
    </row>
    <row r="411">
      <c r="A411" s="114" t="s">
        <v>979</v>
      </c>
      <c r="B411" s="165" t="s">
        <v>2235</v>
      </c>
      <c r="C411" s="76" t="s">
        <v>2237</v>
      </c>
      <c r="D411" s="76" t="s">
        <v>2238</v>
      </c>
      <c r="E411" s="76" t="s">
        <v>2239</v>
      </c>
      <c r="F411" s="110">
        <v>139.0</v>
      </c>
      <c r="G411" s="113" t="str">
        <f>IFERROR(__xludf.DUMMYFUNCTION("TRIM(REGEXREPLACE(C411, ""[0-9]+[a-f]?\."", """"))"),"Who to vote for in local elections?")</f>
        <v>Who to vote for in local elections?</v>
      </c>
      <c r="H411" s="113" t="str">
        <f>IFERROR(__xludf.DUMMYFUNCTION("TRIM(REGEXREPLACE(D411, ""[0-9]+[a-f]?\."", """"))"),"Pour qui voter aux élections municipales ?")</f>
        <v>Pour qui voter aux élections municipales ?</v>
      </c>
      <c r="I411" s="113" t="str">
        <f>IFERROR(__xludf.DUMMYFUNCTION("TRIM(REGEXREPLACE(E411, ""[0-9]+[a-f]?\."", """"))"),"Wanene za'a zaɓa a zaɓen ƙananan hukumomi?")</f>
        <v>Wanene za'a zaɓa a zaɓen ƙananan hukumomi?</v>
      </c>
      <c r="J411" s="113" t="str">
        <f t="shared" ref="J411:J415" si="88">F411 &amp; ". " &amp;G411</f>
        <v>139. Who to vote for in local elections?</v>
      </c>
      <c r="K411" s="113" t="str">
        <f t="shared" ref="K411:K415" si="89">F411 &amp; ". " &amp;H411</f>
        <v>139. Pour qui voter aux élections municipales ?</v>
      </c>
      <c r="L411" s="113" t="str">
        <f t="shared" ref="L411:L415" si="90">F411 &amp; ". " &amp;I411</f>
        <v>139. Wanene za'a zaɓa a zaɓen ƙananan hukumomi?</v>
      </c>
    </row>
    <row r="412">
      <c r="A412" s="114" t="s">
        <v>979</v>
      </c>
      <c r="B412" s="165" t="s">
        <v>2256</v>
      </c>
      <c r="C412" s="76" t="s">
        <v>2257</v>
      </c>
      <c r="D412" s="76" t="s">
        <v>2258</v>
      </c>
      <c r="E412" s="76" t="s">
        <v>2259</v>
      </c>
      <c r="F412" s="110">
        <v>140.0</v>
      </c>
      <c r="G412" s="113" t="str">
        <f>IFERROR(__xludf.DUMMYFUNCTION("TRIM(REGEXREPLACE(C412, ""[0-9]+[a-f]?\."", """"))"),"How to you invest your money such as whether to improve your house")</f>
        <v>How to you invest your money such as whether to improve your house</v>
      </c>
      <c r="H412" s="113" t="str">
        <f>IFERROR(__xludf.DUMMYFUNCTION("TRIM(REGEXREPLACE(D412, ""[0-9]+[a-f]?\."", """"))"),"Comment investir votre argent, par exemple pour améliorer votre maison")</f>
        <v>Comment investir votre argent, par exemple pour améliorer votre maison</v>
      </c>
      <c r="I412" s="113" t="str">
        <f>IFERROR(__xludf.DUMMYFUNCTION("TRIM(REGEXREPLACE(E412, ""[0-9]+[a-f]?\."", """"))"),"Yadda za ku kashe kuɗin ku, kamar gyaran gidanku")</f>
        <v>Yadda za ku kashe kuɗin ku, kamar gyaran gidanku</v>
      </c>
      <c r="J412" s="113" t="str">
        <f t="shared" si="88"/>
        <v>140. How to you invest your money such as whether to improve your house</v>
      </c>
      <c r="K412" s="113" t="str">
        <f t="shared" si="89"/>
        <v>140. Comment investir votre argent, par exemple pour améliorer votre maison</v>
      </c>
      <c r="L412" s="113" t="str">
        <f t="shared" si="90"/>
        <v>140. Yadda za ku kashe kuɗin ku, kamar gyaran gidanku</v>
      </c>
    </row>
    <row r="413">
      <c r="A413" s="114" t="s">
        <v>979</v>
      </c>
      <c r="B413" s="165" t="s">
        <v>2263</v>
      </c>
      <c r="C413" s="76" t="s">
        <v>2264</v>
      </c>
      <c r="D413" s="76" t="s">
        <v>2265</v>
      </c>
      <c r="E413" s="76" t="s">
        <v>2266</v>
      </c>
      <c r="F413" s="110">
        <v>141.0</v>
      </c>
      <c r="G413" s="113" t="str">
        <f>IFERROR(__xludf.DUMMYFUNCTION("TRIM(REGEXREPLACE(C413, ""[0-9]+[a-f]?\."", """"))"),"Family planning (when to have children)")</f>
        <v>Family planning (when to have children)</v>
      </c>
      <c r="H413" s="113" t="str">
        <f>IFERROR(__xludf.DUMMYFUNCTION("TRIM(REGEXREPLACE(D413, ""[0-9]+[a-f]?\."", """"))"),"Planification familiale (quand avoir des enfants)")</f>
        <v>Planification familiale (quand avoir des enfants)</v>
      </c>
      <c r="I413" s="113" t="str">
        <f>IFERROR(__xludf.DUMMYFUNCTION("TRIM(REGEXREPLACE(E413, ""[0-9]+[a-f]?\."", """"))"),"Tsarin iyali (lokacin ɗaukan ciki)")</f>
        <v>Tsarin iyali (lokacin ɗaukan ciki)</v>
      </c>
      <c r="J413" s="113" t="str">
        <f t="shared" si="88"/>
        <v>141. Family planning (when to have children)</v>
      </c>
      <c r="K413" s="113" t="str">
        <f t="shared" si="89"/>
        <v>141. Planification familiale (quand avoir des enfants)</v>
      </c>
      <c r="L413" s="113" t="str">
        <f t="shared" si="90"/>
        <v>141. Tsarin iyali (lokacin ɗaukan ciki)</v>
      </c>
    </row>
    <row r="414">
      <c r="A414" s="114" t="s">
        <v>979</v>
      </c>
      <c r="B414" s="165" t="s">
        <v>2267</v>
      </c>
      <c r="C414" s="76" t="s">
        <v>2268</v>
      </c>
      <c r="D414" s="76" t="s">
        <v>2270</v>
      </c>
      <c r="E414" s="76" t="s">
        <v>2272</v>
      </c>
      <c r="F414" s="110">
        <v>142.0</v>
      </c>
      <c r="G414" s="113" t="str">
        <f>IFERROR(__xludf.DUMMYFUNCTION("TRIM(REGEXREPLACE(C414, ""[0-9]+[a-f]?\."", """"))"),"Do you and your spouse ever disagree about any of these topics?")</f>
        <v>Do you and your spouse ever disagree about any of these topics?</v>
      </c>
      <c r="H414" s="113" t="str">
        <f>IFERROR(__xludf.DUMMYFUNCTION("TRIM(REGEXREPLACE(D414, ""[0-9]+[a-f]?\."", """"))"),"Vous et votre conjoint avez-vous déjà eu un désaccord sur ces sujets ?")</f>
        <v>Vous et votre conjoint avez-vous déjà eu un désaccord sur ces sujets ?</v>
      </c>
      <c r="I414" s="113" t="str">
        <f>IFERROR(__xludf.DUMMYFUNCTION("TRIM(REGEXREPLACE(E414, ""[0-9]+[a-f]?\."", """"))"),"Ko ke da mijnki kun taɓa samun saɓani game da waɗannan batutuwa?")</f>
        <v>Ko ke da mijnki kun taɓa samun saɓani game da waɗannan batutuwa?</v>
      </c>
      <c r="J414" s="113" t="str">
        <f t="shared" si="88"/>
        <v>142. Do you and your spouse ever disagree about any of these topics?</v>
      </c>
      <c r="K414" s="113" t="str">
        <f t="shared" si="89"/>
        <v>142. Vous et votre conjoint avez-vous déjà eu un désaccord sur ces sujets ?</v>
      </c>
      <c r="L414" s="113" t="str">
        <f t="shared" si="90"/>
        <v>142. Ko ke da mijnki kun taɓa samun saɓani game da waɗannan batutuwa?</v>
      </c>
    </row>
    <row r="415">
      <c r="A415" s="114" t="s">
        <v>979</v>
      </c>
      <c r="B415" s="165" t="s">
        <v>2277</v>
      </c>
      <c r="C415" s="76" t="s">
        <v>2278</v>
      </c>
      <c r="D415" s="76" t="s">
        <v>2279</v>
      </c>
      <c r="E415" s="76" t="s">
        <v>2280</v>
      </c>
      <c r="F415" s="110">
        <v>143.0</v>
      </c>
      <c r="G415" s="113" t="str">
        <f>IFERROR(__xludf.DUMMYFUNCTION("TRIM(REGEXREPLACE(C415, ""[0-9]+[a-f]?\."", """"))"),"Do these conversations ever get contentious?")</f>
        <v>Do these conversations ever get contentious?</v>
      </c>
      <c r="H415" s="113" t="str">
        <f>IFERROR(__xludf.DUMMYFUNCTION("TRIM(REGEXREPLACE(D415, ""[0-9]+[a-f]?\."", """"))"),"Ces conversations deviennent-elles parfois controversées ?")</f>
        <v>Ces conversations deviennent-elles parfois controversées ?</v>
      </c>
      <c r="I415" s="113" t="str">
        <f>IFERROR(__xludf.DUMMYFUNCTION("TRIM(REGEXREPLACE(E415, ""[0-9]+[a-f]?\."", """"))"),"Ko waɗannan hirarrakin sun taɓa zama sabani?")</f>
        <v>Ko waɗannan hirarrakin sun taɓa zama sabani?</v>
      </c>
      <c r="J415" s="113" t="str">
        <f t="shared" si="88"/>
        <v>143. Do these conversations ever get contentious?</v>
      </c>
      <c r="K415" s="113" t="str">
        <f t="shared" si="89"/>
        <v>143. Ces conversations deviennent-elles parfois controversées ?</v>
      </c>
      <c r="L415" s="113" t="str">
        <f t="shared" si="90"/>
        <v>143. Ko waɗannan hirarrakin sun taɓa zama sabani?</v>
      </c>
    </row>
    <row r="416" hidden="1">
      <c r="B416" s="119"/>
      <c r="C416" s="119"/>
      <c r="D416" s="119"/>
      <c r="E416" s="119"/>
      <c r="F416" s="110">
        <v>246.0</v>
      </c>
      <c r="G416" s="113" t="str">
        <f>IFERROR(__xludf.DUMMYFUNCTION("TRIM(REGEXREPLACE(C416, ""[0-9]+[a-f]?\."", """"))"),"")</f>
        <v/>
      </c>
      <c r="H416" s="113" t="str">
        <f>IFERROR(__xludf.DUMMYFUNCTION("TRIM(REGEXREPLACE(D416, ""[0-9]+[a-f]?\."", """"))"),"")</f>
        <v/>
      </c>
      <c r="I416" s="113" t="str">
        <f>IFERROR(__xludf.DUMMYFUNCTION("TRIM(REGEXREPLACE(E416, ""[0-9]+[a-f]?\."", """"))"),"")</f>
        <v/>
      </c>
    </row>
    <row r="417" hidden="1">
      <c r="B417" s="119"/>
      <c r="C417" s="119"/>
      <c r="D417" s="119"/>
      <c r="E417" s="119"/>
      <c r="F417" s="110">
        <v>247.0</v>
      </c>
      <c r="G417" s="113" t="str">
        <f>IFERROR(__xludf.DUMMYFUNCTION("TRIM(REGEXREPLACE(C417, ""[0-9]+[a-f]?\."", """"))"),"")</f>
        <v/>
      </c>
      <c r="H417" s="113" t="str">
        <f>IFERROR(__xludf.DUMMYFUNCTION("TRIM(REGEXREPLACE(D417, ""[0-9]+[a-f]?\."", """"))"),"")</f>
        <v/>
      </c>
      <c r="I417" s="113" t="str">
        <f>IFERROR(__xludf.DUMMYFUNCTION("TRIM(REGEXREPLACE(E417, ""[0-9]+[a-f]?\."", """"))"),"")</f>
        <v/>
      </c>
    </row>
    <row r="418" hidden="1">
      <c r="B418" s="119"/>
      <c r="C418" s="119"/>
      <c r="D418" s="119"/>
      <c r="E418" s="119"/>
      <c r="F418" s="110">
        <v>246.0</v>
      </c>
      <c r="G418" s="113" t="str">
        <f>IFERROR(__xludf.DUMMYFUNCTION("TRIM(REGEXREPLACE(C418, ""[0-9]+[a-f]?\."", """"))"),"")</f>
        <v/>
      </c>
      <c r="H418" s="113" t="str">
        <f>IFERROR(__xludf.DUMMYFUNCTION("TRIM(REGEXREPLACE(D418, ""[0-9]+[a-f]?\."", """"))"),"")</f>
        <v/>
      </c>
      <c r="I418" s="113" t="str">
        <f>IFERROR(__xludf.DUMMYFUNCTION("TRIM(REGEXREPLACE(E418, ""[0-9]+[a-f]?\."", """"))"),"")</f>
        <v/>
      </c>
      <c r="J418" s="113" t="s">
        <v>2290</v>
      </c>
      <c r="K418" s="113" t="s">
        <v>2291</v>
      </c>
      <c r="L418" s="113" t="s">
        <v>2291</v>
      </c>
    </row>
    <row r="419">
      <c r="A419" s="152" t="s">
        <v>44</v>
      </c>
      <c r="B419" s="77" t="s">
        <v>2292</v>
      </c>
      <c r="C419" s="76" t="s">
        <v>2293</v>
      </c>
      <c r="D419" s="76" t="s">
        <v>2295</v>
      </c>
      <c r="E419" s="76" t="s">
        <v>2297</v>
      </c>
      <c r="F419" s="110">
        <v>144.0</v>
      </c>
      <c r="G419" s="113" t="str">
        <f>IFERROR(__xludf.DUMMYFUNCTION("TRIM(REGEXREPLACE(C419, ""[0-9]+[a-f]?\."", """"))"),"I will read you several statements. Please tell me the extent do you agree/disagree with each:")</f>
        <v>I will read you several statements. Please tell me the extent do you agree/disagree with each:</v>
      </c>
      <c r="H419" s="113" t="str">
        <f>IFERROR(__xludf.DUMMYFUNCTION("TRIM(REGEXREPLACE(D419, ""[0-9]+[a-f]?\."", """"))"),"Je vais vous lire plusieurs déclarations. Veuillez me dire dans quelle mesure êtes-vous d'accord/pas d'accord avec chacun :")</f>
        <v>Je vais vous lire plusieurs déclarations. Veuillez me dire dans quelle mesure êtes-vous d'accord/pas d'accord avec chacun :</v>
      </c>
      <c r="I419" s="113" t="str">
        <f>IFERROR(__xludf.DUMMYFUNCTION("TRIM(REGEXREPLACE(E419, ""[0-9]+[a-f]?\."", """"))"),"Zan karanta muku maganganu da yawa. Da fatan za a gaya mini iya yarda/rishin yarda da kowanne:")</f>
        <v>Zan karanta muku maganganu da yawa. Da fatan za a gaya mini iya yarda/rishin yarda da kowanne:</v>
      </c>
      <c r="J419" s="113" t="str">
        <f t="shared" ref="J419:J421" si="91">F419 &amp; ". " &amp;G419</f>
        <v>144. I will read you several statements. Please tell me the extent do you agree/disagree with each:</v>
      </c>
      <c r="K419" s="113" t="str">
        <f t="shared" ref="K419:K421" si="92">F419 &amp; ". " &amp;H419</f>
        <v>144. Je vais vous lire plusieurs déclarations. Veuillez me dire dans quelle mesure êtes-vous d'accord/pas d'accord avec chacun :</v>
      </c>
      <c r="L419" s="113" t="str">
        <f t="shared" ref="L419:L421" si="93">F419 &amp; ". " &amp;I419</f>
        <v>144. Zan karanta muku maganganu da yawa. Da fatan za a gaya mini iya yarda/rishin yarda da kowanne:</v>
      </c>
    </row>
    <row r="420">
      <c r="A420" s="114" t="s">
        <v>1041</v>
      </c>
      <c r="B420" s="165" t="s">
        <v>2299</v>
      </c>
      <c r="C420" s="76" t="s">
        <v>2300</v>
      </c>
      <c r="D420" s="76" t="s">
        <v>2301</v>
      </c>
      <c r="E420" s="76" t="s">
        <v>2302</v>
      </c>
      <c r="F420" s="110">
        <v>145.0</v>
      </c>
      <c r="G420" s="113" t="str">
        <f>IFERROR(__xludf.DUMMYFUNCTION("TRIM(REGEXREPLACE(C420, ""[0-9]+[a-f]?\."", """"))"),"I must always respect decisions taken by my household even if you do not agree")</f>
        <v>I must always respect decisions taken by my household even if you do not agree</v>
      </c>
      <c r="H420" s="113" t="str">
        <f>IFERROR(__xludf.DUMMYFUNCTION("TRIM(REGEXREPLACE(D420, ""[0-9]+[a-f]?\."", """"))"),"Je dois toujours respecter les décisions prises par mon ménage même si je ne suis pas d'accord")</f>
        <v>Je dois toujours respecter les décisions prises par mon ménage même si je ne suis pas d'accord</v>
      </c>
      <c r="I420" s="113" t="str">
        <f>IFERROR(__xludf.DUMMYFUNCTION("TRIM(REGEXREPLACE(E420, ""[0-9]+[a-f]?\."", """"))"),"Dole ne in mutunta shawarar da gidanmu ya yanke ko da ba ra'ayina ba ne")</f>
        <v>Dole ne in mutunta shawarar da gidanmu ya yanke ko da ba ra'ayina ba ne</v>
      </c>
      <c r="J420" s="113" t="str">
        <f t="shared" si="91"/>
        <v>145. I must always respect decisions taken by my household even if you do not agree</v>
      </c>
      <c r="K420" s="113" t="str">
        <f t="shared" si="92"/>
        <v>145. Je dois toujours respecter les décisions prises par mon ménage même si je ne suis pas d'accord</v>
      </c>
      <c r="L420" s="113" t="str">
        <f t="shared" si="93"/>
        <v>145. Dole ne in mutunta shawarar da gidanmu ya yanke ko da ba ra'ayina ba ne</v>
      </c>
    </row>
    <row r="421">
      <c r="A421" s="114" t="s">
        <v>1041</v>
      </c>
      <c r="B421" s="165" t="s">
        <v>2306</v>
      </c>
      <c r="C421" s="76" t="s">
        <v>2307</v>
      </c>
      <c r="D421" s="76" t="s">
        <v>2308</v>
      </c>
      <c r="E421" s="76" t="s">
        <v>2309</v>
      </c>
      <c r="F421" s="110">
        <v>146.0</v>
      </c>
      <c r="G421" s="113" t="str">
        <f>IFERROR(__xludf.DUMMYFUNCTION("TRIM(REGEXREPLACE(C421, ""[0-9]+[a-f]?\."", """"))"),"I should always sacrifice my personal needs and wants to satisfy my parents.")</f>
        <v>I should always sacrifice my personal needs and wants to satisfy my parents.</v>
      </c>
      <c r="H421" s="113" t="str">
        <f>IFERROR(__xludf.DUMMYFUNCTION("TRIM(REGEXREPLACE(D421, ""[0-9]+[a-f]?\."", """"))"),"Je devrais toujours sacrifier mes besoins personnels et vouloir satisfaire mes parents.")</f>
        <v>Je devrais toujours sacrifier mes besoins personnels et vouloir satisfaire mes parents.</v>
      </c>
      <c r="I421" s="113" t="str">
        <f>IFERROR(__xludf.DUMMYFUNCTION("TRIM(REGEXREPLACE(E421, ""[0-9]+[a-f]?\."", """"))"),"Dole ne ko yaushe in sadaukar da bukatuna na kaina don in gamsar da iyayena.")</f>
        <v>Dole ne ko yaushe in sadaukar da bukatuna na kaina don in gamsar da iyayena.</v>
      </c>
      <c r="J421" s="113" t="str">
        <f t="shared" si="91"/>
        <v>146. I should always sacrifice my personal needs and wants to satisfy my parents.</v>
      </c>
      <c r="K421" s="113" t="str">
        <f t="shared" si="92"/>
        <v>146. Je devrais toujours sacrifier mes besoins personnels et vouloir satisfaire mes parents.</v>
      </c>
      <c r="L421" s="113" t="str">
        <f t="shared" si="93"/>
        <v>146. Dole ne ko yaushe in sadaukar da bukatuna na kaina don in gamsar da iyayena.</v>
      </c>
    </row>
    <row r="422" hidden="1">
      <c r="B422" s="119"/>
      <c r="C422" s="119"/>
      <c r="D422" s="119"/>
      <c r="E422" s="119"/>
      <c r="F422" s="110">
        <v>250.0</v>
      </c>
      <c r="G422" s="113" t="str">
        <f>IFERROR(__xludf.DUMMYFUNCTION("TRIM(REGEXREPLACE(C422, ""[0-9]+[a-f]?\."", """"))"),"")</f>
        <v/>
      </c>
      <c r="H422" s="113" t="str">
        <f>IFERROR(__xludf.DUMMYFUNCTION("TRIM(REGEXREPLACE(D422, ""[0-9]+[a-f]?\."", """"))"),"")</f>
        <v/>
      </c>
      <c r="I422" s="113" t="str">
        <f>IFERROR(__xludf.DUMMYFUNCTION("TRIM(REGEXREPLACE(E422, ""[0-9]+[a-f]?\."", """"))"),"")</f>
        <v/>
      </c>
      <c r="J422" s="113" t="s">
        <v>2317</v>
      </c>
      <c r="K422" s="113" t="s">
        <v>2318</v>
      </c>
      <c r="L422" s="113" t="s">
        <v>2318</v>
      </c>
    </row>
    <row r="423" hidden="1">
      <c r="B423" s="119"/>
      <c r="C423" s="119"/>
      <c r="D423" s="119"/>
      <c r="E423" s="119"/>
      <c r="F423" s="110">
        <v>251.0</v>
      </c>
      <c r="G423" s="113" t="str">
        <f>IFERROR(__xludf.DUMMYFUNCTION("TRIM(REGEXREPLACE(C423, ""[0-9]+[a-f]?\."", """"))"),"")</f>
        <v/>
      </c>
      <c r="H423" s="113" t="str">
        <f>IFERROR(__xludf.DUMMYFUNCTION("TRIM(REGEXREPLACE(D423, ""[0-9]+[a-f]?\."", """"))"),"")</f>
        <v/>
      </c>
      <c r="I423" s="113" t="str">
        <f>IFERROR(__xludf.DUMMYFUNCTION("TRIM(REGEXREPLACE(E423, ""[0-9]+[a-f]?\."", """"))"),"")</f>
        <v/>
      </c>
      <c r="J423" s="113" t="s">
        <v>2320</v>
      </c>
      <c r="K423" s="113" t="s">
        <v>2322</v>
      </c>
      <c r="L423" s="113" t="s">
        <v>2323</v>
      </c>
    </row>
    <row r="424" hidden="1">
      <c r="B424" s="119"/>
      <c r="C424" s="119"/>
      <c r="D424" s="119"/>
      <c r="E424" s="119"/>
      <c r="F424" s="110">
        <v>252.0</v>
      </c>
      <c r="G424" s="113" t="str">
        <f>IFERROR(__xludf.DUMMYFUNCTION("TRIM(REGEXREPLACE(C424, ""[0-9]+[a-f]?\."", """"))"),"")</f>
        <v/>
      </c>
      <c r="H424" s="113" t="str">
        <f>IFERROR(__xludf.DUMMYFUNCTION("TRIM(REGEXREPLACE(D424, ""[0-9]+[a-f]?\."", """"))"),"")</f>
        <v/>
      </c>
      <c r="I424" s="113" t="str">
        <f>IFERROR(__xludf.DUMMYFUNCTION("TRIM(REGEXREPLACE(E424, ""[0-9]+[a-f]?\."", """"))"),"")</f>
        <v/>
      </c>
      <c r="J424" s="113" t="s">
        <v>2325</v>
      </c>
      <c r="K424" s="113" t="s">
        <v>2326</v>
      </c>
      <c r="L424" s="113" t="s">
        <v>2327</v>
      </c>
    </row>
    <row r="425" hidden="1"/>
    <row r="426">
      <c r="A426" s="114" t="s">
        <v>1041</v>
      </c>
      <c r="B426" s="165" t="s">
        <v>2328</v>
      </c>
      <c r="C426" s="76" t="s">
        <v>2329</v>
      </c>
      <c r="D426" s="76" t="s">
        <v>2330</v>
      </c>
      <c r="E426" s="76" t="s">
        <v>2331</v>
      </c>
      <c r="F426" s="110">
        <v>147.0</v>
      </c>
      <c r="G426" s="113" t="str">
        <f>IFERROR(__xludf.DUMMYFUNCTION("TRIM(REGEXREPLACE(C426, ""[0-9]+[a-f]?\."", """"))"),"If I had an emergency that required 5,000 CFA urgently (within 3 days), I would be able to find the money.")</f>
        <v>If I had an emergency that required 5,000 CFA urgently (within 3 days), I would be able to find the money.</v>
      </c>
      <c r="H426" s="113" t="str">
        <f>IFERROR(__xludf.DUMMYFUNCTION("TRIM(REGEXREPLACE(D426, ""[0-9]+[a-f]?\."", """"))"),"Si j'avais une urgence qui nécessitait 5 000 CFA en urgence (dans les 3 jours), je serais capable de trouver l'argent.")</f>
        <v>Si j'avais une urgence qui nécessitait 5 000 CFA en urgence (dans les 3 jours), je serais capable de trouver l'argent.</v>
      </c>
      <c r="I426" s="113" t="str">
        <f>IFERROR(__xludf.DUMMYFUNCTION("TRIM(REGEXREPLACE(E426, ""[0-9]+[a-f]?\."", """"))"),"Idan ina da biƙatar gaggawa na 5,000 CFA (a cikin kwanaki 3), zan iya samun kuɗin.")</f>
        <v>Idan ina da biƙatar gaggawa na 5,000 CFA (a cikin kwanaki 3), zan iya samun kuɗin.</v>
      </c>
      <c r="J426" s="113" t="str">
        <f t="shared" ref="J426:J432" si="94">F426 &amp; ". " &amp;G426</f>
        <v>147. If I had an emergency that required 5,000 CFA urgently (within 3 days), I would be able to find the money.</v>
      </c>
      <c r="K426" s="113" t="str">
        <f t="shared" ref="K426:K432" si="95">F426 &amp; ". " &amp;H426</f>
        <v>147. Si j'avais une urgence qui nécessitait 5 000 CFA en urgence (dans les 3 jours), je serais capable de trouver l'argent.</v>
      </c>
      <c r="L426" s="113" t="str">
        <f t="shared" ref="L426:L432" si="96">F426 &amp; ". " &amp;I426</f>
        <v>147. Idan ina da biƙatar gaggawa na 5,000 CFA (a cikin kwanaki 3), zan iya samun kuɗin.</v>
      </c>
    </row>
    <row r="427">
      <c r="A427" s="114" t="s">
        <v>2338</v>
      </c>
      <c r="B427" s="165" t="s">
        <v>2339</v>
      </c>
      <c r="C427" s="76" t="s">
        <v>2340</v>
      </c>
      <c r="D427" s="76" t="s">
        <v>2341</v>
      </c>
      <c r="E427" s="76" t="s">
        <v>2342</v>
      </c>
      <c r="F427" s="110">
        <v>148.0</v>
      </c>
      <c r="G427" s="113" t="str">
        <f>IFERROR(__xludf.DUMMYFUNCTION("TRIM(REGEXREPLACE(C427, ""[0-9]+[a-f]?\."", """"))"),"What type of person would you go to first for this money?")</f>
        <v>What type of person would you go to first for this money?</v>
      </c>
      <c r="H427" s="113" t="str">
        <f>IFERROR(__xludf.DUMMYFUNCTION("TRIM(REGEXREPLACE(D427, ""[0-9]+[a-f]?\."", """"))"),"Vers quel type de personne iriez-vous en premier pour cet argent ?")</f>
        <v>Vers quel type de personne iriez-vous en premier pour cet argent ?</v>
      </c>
      <c r="I427" s="113" t="str">
        <f>IFERROR(__xludf.DUMMYFUNCTION("TRIM(REGEXREPLACE(E427, ""[0-9]+[a-f]?\."", """"))"),"Wane irin mutum ne za ku fara zuwa wurin shi don wannan kuɗin?")</f>
        <v>Wane irin mutum ne za ku fara zuwa wurin shi don wannan kuɗin?</v>
      </c>
      <c r="J427" s="113" t="str">
        <f t="shared" si="94"/>
        <v>148. What type of person would you go to first for this money?</v>
      </c>
      <c r="K427" s="113" t="str">
        <f t="shared" si="95"/>
        <v>148. Vers quel type de personne iriez-vous en premier pour cet argent ?</v>
      </c>
      <c r="L427" s="113" t="str">
        <f t="shared" si="96"/>
        <v>148. Wane irin mutum ne za ku fara zuwa wurin shi don wannan kuɗin?</v>
      </c>
    </row>
    <row r="428">
      <c r="A428" s="162" t="s">
        <v>217</v>
      </c>
      <c r="B428" s="166" t="s">
        <v>2347</v>
      </c>
      <c r="C428" s="76" t="s">
        <v>2348</v>
      </c>
      <c r="D428" s="76" t="s">
        <v>2349</v>
      </c>
      <c r="E428" s="76" t="s">
        <v>2350</v>
      </c>
      <c r="F428" s="110">
        <v>149.0</v>
      </c>
      <c r="G428" s="113" t="str">
        <f>IFERROR(__xludf.DUMMYFUNCTION("TRIM(REGEXREPLACE(C428, ""[0-9]+[a-f]?\."", """"))"),"Specify your relationship with this person")</f>
        <v>Specify your relationship with this person</v>
      </c>
      <c r="H428" s="113" t="str">
        <f>IFERROR(__xludf.DUMMYFUNCTION("TRIM(REGEXREPLACE(D428, ""[0-9]+[a-f]?\."", """"))"),"Précisez votre relation avec cette personne")</f>
        <v>Précisez votre relation avec cette personne</v>
      </c>
      <c r="I428" s="113" t="str">
        <f>IFERROR(__xludf.DUMMYFUNCTION("TRIM(REGEXREPLACE(E428, ""[0-9]+[a-f]?\."", """"))"),"Faɗi dangantakar ku da wannan mutumen")</f>
        <v>Faɗi dangantakar ku da wannan mutumen</v>
      </c>
      <c r="J428" s="113" t="str">
        <f t="shared" si="94"/>
        <v>149. Specify your relationship with this person</v>
      </c>
      <c r="K428" s="113" t="str">
        <f t="shared" si="95"/>
        <v>149. Précisez votre relation avec cette personne</v>
      </c>
      <c r="L428" s="113" t="str">
        <f t="shared" si="96"/>
        <v>149. Faɗi dangantakar ku da wannan mutumen</v>
      </c>
    </row>
    <row r="429">
      <c r="A429" s="152" t="s">
        <v>44</v>
      </c>
      <c r="B429" s="77" t="s">
        <v>2351</v>
      </c>
      <c r="C429" s="76" t="s">
        <v>1145</v>
      </c>
      <c r="D429" s="76" t="s">
        <v>1147</v>
      </c>
      <c r="E429" s="76" t="s">
        <v>1149</v>
      </c>
      <c r="F429" s="110">
        <v>150.0</v>
      </c>
      <c r="G429" s="113" t="str">
        <f>IFERROR(__xludf.DUMMYFUNCTION("TRIM(REGEXREPLACE(C429, ""[0-9]+[a-f]?\."", """"))"),"The next set of questions are about your opinions regarding the roles that women and men play")</f>
        <v>The next set of questions are about your opinions regarding the roles that women and men play</v>
      </c>
      <c r="H429" s="113" t="str">
        <f>IFERROR(__xludf.DUMMYFUNCTION("TRIM(REGEXREPLACE(D429, ""[0-9]+[a-f]?\."", """"))"),"La prochaine série de questions porte sur vos opinions concernant les rôles que jouent les femmes et les hommes")</f>
        <v>La prochaine série de questions porte sur vos opinions concernant les rôles que jouent les femmes et les hommes</v>
      </c>
      <c r="I429" s="113" t="str">
        <f>IFERROR(__xludf.DUMMYFUNCTION("TRIM(REGEXREPLACE(E429, ""[0-9]+[a-f]?\."", """"))"),"Tambayoyi na gaba sun ta'allaƙa ne da ra'ayoyin ku game da rawar da mata da maza suke takawa.")</f>
        <v>Tambayoyi na gaba sun ta'allaƙa ne da ra'ayoyin ku game da rawar da mata da maza suke takawa.</v>
      </c>
      <c r="J429" s="113" t="str">
        <f t="shared" si="94"/>
        <v>150. The next set of questions are about your opinions regarding the roles that women and men play</v>
      </c>
      <c r="K429" s="113" t="str">
        <f t="shared" si="95"/>
        <v>150. La prochaine série de questions porte sur vos opinions concernant les rôles que jouent les femmes et les hommes</v>
      </c>
      <c r="L429" s="113" t="str">
        <f t="shared" si="96"/>
        <v>150. Tambayoyi na gaba sun ta'allaƙa ne da ra'ayoyin ku game da rawar da mata da maza suke takawa.</v>
      </c>
    </row>
    <row r="430">
      <c r="A430" s="114" t="s">
        <v>979</v>
      </c>
      <c r="B430" s="165" t="s">
        <v>2352</v>
      </c>
      <c r="C430" s="76" t="s">
        <v>1151</v>
      </c>
      <c r="D430" s="76" t="s">
        <v>1152</v>
      </c>
      <c r="E430" s="76" t="s">
        <v>1153</v>
      </c>
      <c r="F430" s="110">
        <v>151.0</v>
      </c>
      <c r="G430" s="113" t="str">
        <f>IFERROR(__xludf.DUMMYFUNCTION("TRIM(REGEXREPLACE(C430, ""[0-9]+[a-f]?\."", """"))"),"How often, if ever do you talk about the role of women in society with other people?")</f>
        <v>How often, if ever do you talk about the role of women in society with other people?</v>
      </c>
      <c r="H430" s="113" t="str">
        <f>IFERROR(__xludf.DUMMYFUNCTION("TRIM(REGEXREPLACE(D430, ""[0-9]+[a-f]?\."", """"))"),"À quelle fréquence, si jamais cela est arrivé, parlez-vous du rôle des femmes dans la société avec d'autres personnes ?")</f>
        <v>À quelle fréquence, si jamais cela est arrivé, parlez-vous du rôle des femmes dans la société avec d'autres personnes ?</v>
      </c>
      <c r="I430" s="113" t="str">
        <f>IFERROR(__xludf.DUMMYFUNCTION("TRIM(REGEXREPLACE(E430, ""[0-9]+[a-f]?\."", """"))"),"Sau nawa, idan ya na faruwa, kuke yin magana game da taka rawan mata a cikin al'umma tare da sauran mutane?")</f>
        <v>Sau nawa, idan ya na faruwa, kuke yin magana game da taka rawan mata a cikin al'umma tare da sauran mutane?</v>
      </c>
      <c r="J430" s="113" t="str">
        <f t="shared" si="94"/>
        <v>151. How often, if ever do you talk about the role of women in society with other people?</v>
      </c>
      <c r="K430" s="113" t="str">
        <f t="shared" si="95"/>
        <v>151. À quelle fréquence, si jamais cela est arrivé, parlez-vous du rôle des femmes dans la société avec d'autres personnes ?</v>
      </c>
      <c r="L430" s="113" t="str">
        <f t="shared" si="96"/>
        <v>151. Sau nawa, idan ya na faruwa, kuke yin magana game da taka rawan mata a cikin al'umma tare da sauran mutane?</v>
      </c>
    </row>
    <row r="431">
      <c r="A431" s="152" t="s">
        <v>44</v>
      </c>
      <c r="B431" s="77" t="s">
        <v>2356</v>
      </c>
      <c r="C431" s="76" t="s">
        <v>2357</v>
      </c>
      <c r="D431" s="76" t="s">
        <v>2358</v>
      </c>
      <c r="E431" s="76" t="s">
        <v>2359</v>
      </c>
      <c r="F431" s="110">
        <v>152.0</v>
      </c>
      <c r="G431" s="113" t="str">
        <f>IFERROR(__xludf.DUMMYFUNCTION("TRIM(REGEXREPLACE(C431, ""[0-9]+[a-f]?\."", """"))"),"In your opinion, how much influence a wife should have over the following decisions within a couple?")</f>
        <v>In your opinion, how much influence a wife should have over the following decisions within a couple?</v>
      </c>
      <c r="H431" s="113" t="str">
        <f>IFERROR(__xludf.DUMMYFUNCTION("TRIM(REGEXREPLACE(D431, ""[0-9]+[a-f]?\."", """"))"),"Selon vous, quelle influence une épouse devrait-elle avoir sur les décisions suivantes au sein d'un couple ?")</f>
        <v>Selon vous, quelle influence une épouse devrait-elle avoir sur les décisions suivantes au sein d'un couple ?</v>
      </c>
      <c r="I431" s="113" t="str">
        <f>IFERROR(__xludf.DUMMYFUNCTION("TRIM(REGEXREPLACE(E431, ""[0-9]+[a-f]?\."", """"))"),"A ra'ayinka, wane tasiri mace ya kamata ta yi bisa yanke shawarwari da zan zana a tsakanin ta da mijinta?")</f>
        <v>A ra'ayinka, wane tasiri mace ya kamata ta yi bisa yanke shawarwari da zan zana a tsakanin ta da mijinta?</v>
      </c>
      <c r="J431" s="113" t="str">
        <f t="shared" si="94"/>
        <v>152. In your opinion, how much influence a wife should have over the following decisions within a couple?</v>
      </c>
      <c r="K431" s="113" t="str">
        <f t="shared" si="95"/>
        <v>152. Selon vous, quelle influence une épouse devrait-elle avoir sur les décisions suivantes au sein d'un couple ?</v>
      </c>
      <c r="L431" s="113" t="str">
        <f t="shared" si="96"/>
        <v>152. A ra'ayinka, wane tasiri mace ya kamata ta yi bisa yanke shawarwari da zan zana a tsakanin ta da mijinta?</v>
      </c>
    </row>
    <row r="432">
      <c r="A432" s="114" t="s">
        <v>2364</v>
      </c>
      <c r="B432" s="165" t="s">
        <v>2365</v>
      </c>
      <c r="C432" s="76" t="s">
        <v>2366</v>
      </c>
      <c r="D432" s="76" t="s">
        <v>2367</v>
      </c>
      <c r="E432" s="76" t="s">
        <v>2368</v>
      </c>
      <c r="F432" s="110">
        <v>153.0</v>
      </c>
      <c r="G432" s="113" t="str">
        <f>IFERROR(__xludf.DUMMYFUNCTION("TRIM(REGEXREPLACE(C432, ""[0-9]+[a-f]?\."", """"))"),"Daily household expenses (Less than 500 CFA)")</f>
        <v>Daily household expenses (Less than 500 CFA)</v>
      </c>
      <c r="H432" s="113" t="str">
        <f>IFERROR(__xludf.DUMMYFUNCTION("TRIM(REGEXREPLACE(D432, ""[0-9]+[a-f]?\."", """"))"),"Dépenses quotidiennes du ménage (Moins de 500 CFA)")</f>
        <v>Dépenses quotidiennes du ménage (Moins de 500 CFA)</v>
      </c>
      <c r="I432" s="113" t="str">
        <f>IFERROR(__xludf.DUMMYFUNCTION("TRIM(REGEXREPLACE(E432, ""[0-9]+[a-f]?\."", """"))"),"Kashe kashen kuɗin gida na yau da kullun ( Kasa da dala ɗari CFA 500)")</f>
        <v>Kashe kashen kuɗin gida na yau da kullun ( Kasa da dala ɗari CFA 500)</v>
      </c>
      <c r="J432" s="113" t="str">
        <f t="shared" si="94"/>
        <v>153. Daily household expenses (Less than 500 CFA)</v>
      </c>
      <c r="K432" s="113" t="str">
        <f t="shared" si="95"/>
        <v>153. Dépenses quotidiennes du ménage (Moins de 500 CFA)</v>
      </c>
      <c r="L432" s="113" t="str">
        <f t="shared" si="96"/>
        <v>153. Kashe kashen kuɗin gida na yau da kullun ( Kasa da dala ɗari CFA 500)</v>
      </c>
    </row>
    <row r="433" hidden="1">
      <c r="B433" s="119"/>
      <c r="C433" s="119"/>
      <c r="D433" s="119"/>
      <c r="E433" s="119"/>
      <c r="F433" s="110">
        <v>245.0</v>
      </c>
      <c r="G433" s="113" t="str">
        <f>IFERROR(__xludf.DUMMYFUNCTION("TRIM(REGEXREPLACE(C433, ""[0-9]+[a-f]?\."", """"))"),"")</f>
        <v/>
      </c>
      <c r="H433" s="113" t="str">
        <f>IFERROR(__xludf.DUMMYFUNCTION("TRIM(REGEXREPLACE(D433, ""[0-9]+[a-f]?\."", """"))"),"")</f>
        <v/>
      </c>
      <c r="I433" s="113" t="str">
        <f>IFERROR(__xludf.DUMMYFUNCTION("TRIM(REGEXREPLACE(E433, ""[0-9]+[a-f]?\."", """"))"),"")</f>
        <v/>
      </c>
      <c r="J433" s="113" t="s">
        <v>2379</v>
      </c>
      <c r="K433" s="113" t="s">
        <v>2380</v>
      </c>
      <c r="L433" s="113" t="s">
        <v>2381</v>
      </c>
    </row>
    <row r="434" hidden="1">
      <c r="B434" s="119"/>
      <c r="C434" s="119"/>
      <c r="D434" s="119"/>
      <c r="E434" s="119"/>
      <c r="F434" s="110">
        <v>246.0</v>
      </c>
      <c r="G434" s="113" t="str">
        <f>IFERROR(__xludf.DUMMYFUNCTION("TRIM(REGEXREPLACE(C434, ""[0-9]+[a-f]?\."", """"))"),"")</f>
        <v/>
      </c>
      <c r="H434" s="113" t="str">
        <f>IFERROR(__xludf.DUMMYFUNCTION("TRIM(REGEXREPLACE(D434, ""[0-9]+[a-f]?\."", """"))"),"")</f>
        <v/>
      </c>
      <c r="I434" s="113" t="str">
        <f>IFERROR(__xludf.DUMMYFUNCTION("TRIM(REGEXREPLACE(E434, ""[0-9]+[a-f]?\."", """"))"),"")</f>
        <v/>
      </c>
      <c r="J434" s="113" t="s">
        <v>2382</v>
      </c>
      <c r="K434" s="113" t="s">
        <v>2384</v>
      </c>
      <c r="L434" s="113" t="s">
        <v>2385</v>
      </c>
    </row>
    <row r="435" hidden="1">
      <c r="B435" s="119"/>
      <c r="C435" s="119"/>
      <c r="D435" s="119"/>
      <c r="E435" s="119"/>
      <c r="F435" s="110">
        <v>247.0</v>
      </c>
      <c r="G435" s="113" t="str">
        <f>IFERROR(__xludf.DUMMYFUNCTION("TRIM(REGEXREPLACE(C435, ""[0-9]+[a-f]?\."", """"))"),"")</f>
        <v/>
      </c>
      <c r="H435" s="113" t="str">
        <f>IFERROR(__xludf.DUMMYFUNCTION("TRIM(REGEXREPLACE(D435, ""[0-9]+[a-f]?\."", """"))"),"")</f>
        <v/>
      </c>
      <c r="I435" s="113" t="str">
        <f>IFERROR(__xludf.DUMMYFUNCTION("TRIM(REGEXREPLACE(E435, ""[0-9]+[a-f]?\."", """"))"),"")</f>
        <v/>
      </c>
      <c r="J435" s="113" t="s">
        <v>2388</v>
      </c>
      <c r="K435" s="113" t="s">
        <v>2390</v>
      </c>
      <c r="L435" s="113" t="s">
        <v>2392</v>
      </c>
    </row>
    <row r="436" hidden="1">
      <c r="B436" s="119"/>
      <c r="C436" s="119"/>
      <c r="D436" s="119"/>
      <c r="E436" s="119"/>
      <c r="F436" s="110">
        <v>248.0</v>
      </c>
      <c r="G436" s="113" t="str">
        <f>IFERROR(__xludf.DUMMYFUNCTION("TRIM(REGEXREPLACE(C436, ""[0-9]+[a-f]?\."", """"))"),"")</f>
        <v/>
      </c>
      <c r="H436" s="113" t="str">
        <f>IFERROR(__xludf.DUMMYFUNCTION("TRIM(REGEXREPLACE(D436, ""[0-9]+[a-f]?\."", """"))"),"")</f>
        <v/>
      </c>
      <c r="I436" s="113" t="str">
        <f>IFERROR(__xludf.DUMMYFUNCTION("TRIM(REGEXREPLACE(E436, ""[0-9]+[a-f]?\."", """"))"),"")</f>
        <v/>
      </c>
      <c r="J436" s="113" t="s">
        <v>2395</v>
      </c>
      <c r="K436" s="113" t="s">
        <v>2396</v>
      </c>
      <c r="L436" s="113" t="s">
        <v>2397</v>
      </c>
    </row>
    <row r="437" hidden="1"/>
    <row r="438" hidden="1">
      <c r="B438" s="119"/>
      <c r="C438" s="119"/>
      <c r="D438" s="119"/>
      <c r="E438" s="119"/>
      <c r="F438" s="110">
        <v>253.0</v>
      </c>
      <c r="G438" s="113" t="str">
        <f>IFERROR(__xludf.DUMMYFUNCTION("TRIM(REGEXREPLACE(C438, ""[0-9]+[a-f]?\."", """"))"),"")</f>
        <v/>
      </c>
      <c r="H438" s="113" t="str">
        <f>IFERROR(__xludf.DUMMYFUNCTION("TRIM(REGEXREPLACE(D438, ""[0-9]+[a-f]?\."", """"))"),"")</f>
        <v/>
      </c>
      <c r="I438" s="113" t="str">
        <f>IFERROR(__xludf.DUMMYFUNCTION("TRIM(REGEXREPLACE(E438, ""[0-9]+[a-f]?\."", """"))"),"")</f>
        <v/>
      </c>
    </row>
    <row r="439" hidden="1">
      <c r="B439" s="119"/>
      <c r="C439" s="119"/>
      <c r="D439" s="119"/>
      <c r="E439" s="119"/>
      <c r="F439" s="110">
        <v>254.0</v>
      </c>
      <c r="G439" s="113" t="str">
        <f>IFERROR(__xludf.DUMMYFUNCTION("TRIM(REGEXREPLACE(C439, ""[0-9]+[a-f]?\."", """"))"),"")</f>
        <v/>
      </c>
      <c r="H439" s="113" t="str">
        <f>IFERROR(__xludf.DUMMYFUNCTION("TRIM(REGEXREPLACE(D439, ""[0-9]+[a-f]?\."", """"))"),"")</f>
        <v/>
      </c>
      <c r="I439" s="113" t="str">
        <f>IFERROR(__xludf.DUMMYFUNCTION("TRIM(REGEXREPLACE(E439, ""[0-9]+[a-f]?\."", """"))"),"")</f>
        <v/>
      </c>
    </row>
    <row r="440" hidden="1">
      <c r="B440" s="119"/>
      <c r="C440" s="119"/>
      <c r="D440" s="119"/>
      <c r="E440" s="119"/>
      <c r="F440" s="110">
        <v>253.0</v>
      </c>
      <c r="G440" s="113" t="str">
        <f>IFERROR(__xludf.DUMMYFUNCTION("TRIM(REGEXREPLACE(C440, ""[0-9]+[a-f]?\."", """"))"),"")</f>
        <v/>
      </c>
      <c r="H440" s="113" t="str">
        <f>IFERROR(__xludf.DUMMYFUNCTION("TRIM(REGEXREPLACE(D440, ""[0-9]+[a-f]?\."", """"))"),"")</f>
        <v/>
      </c>
      <c r="I440" s="113" t="str">
        <f>IFERROR(__xludf.DUMMYFUNCTION("TRIM(REGEXREPLACE(E440, ""[0-9]+[a-f]?\."", """"))"),"")</f>
        <v/>
      </c>
      <c r="J440" s="113" t="s">
        <v>2401</v>
      </c>
      <c r="K440" s="113" t="s">
        <v>2402</v>
      </c>
      <c r="L440" s="113" t="s">
        <v>2403</v>
      </c>
    </row>
    <row r="441" hidden="1">
      <c r="B441" s="119"/>
      <c r="C441" s="119"/>
      <c r="D441" s="119"/>
      <c r="E441" s="119"/>
      <c r="F441" s="110">
        <v>254.0</v>
      </c>
      <c r="G441" s="113" t="str">
        <f>IFERROR(__xludf.DUMMYFUNCTION("TRIM(REGEXREPLACE(C441, ""[0-9]+[a-f]?\."", """"))"),"")</f>
        <v/>
      </c>
      <c r="H441" s="113" t="str">
        <f>IFERROR(__xludf.DUMMYFUNCTION("TRIM(REGEXREPLACE(D441, ""[0-9]+[a-f]?\."", """"))"),"")</f>
        <v/>
      </c>
      <c r="I441" s="113" t="str">
        <f>IFERROR(__xludf.DUMMYFUNCTION("TRIM(REGEXREPLACE(E441, ""[0-9]+[a-f]?\."", """"))"),"")</f>
        <v/>
      </c>
      <c r="J441" s="113" t="s">
        <v>2407</v>
      </c>
      <c r="K441" s="113" t="s">
        <v>2408</v>
      </c>
      <c r="L441" s="113" t="s">
        <v>2409</v>
      </c>
    </row>
    <row r="442" hidden="1">
      <c r="B442" s="119"/>
      <c r="C442" s="119"/>
      <c r="D442" s="119"/>
      <c r="E442" s="119"/>
      <c r="F442" s="110">
        <v>255.0</v>
      </c>
      <c r="G442" s="113" t="str">
        <f>IFERROR(__xludf.DUMMYFUNCTION("TRIM(REGEXREPLACE(C442, ""[0-9]+[a-f]?\."", """"))"),"")</f>
        <v/>
      </c>
      <c r="H442" s="113" t="str">
        <f>IFERROR(__xludf.DUMMYFUNCTION("TRIM(REGEXREPLACE(D442, ""[0-9]+[a-f]?\."", """"))"),"")</f>
        <v/>
      </c>
      <c r="I442" s="113" t="str">
        <f>IFERROR(__xludf.DUMMYFUNCTION("TRIM(REGEXREPLACE(E442, ""[0-9]+[a-f]?\."", """"))"),"")</f>
        <v/>
      </c>
      <c r="J442" s="113" t="s">
        <v>2414</v>
      </c>
      <c r="K442" s="113" t="s">
        <v>2415</v>
      </c>
      <c r="L442" s="113" t="s">
        <v>2416</v>
      </c>
    </row>
    <row r="443" hidden="1">
      <c r="B443" s="119"/>
      <c r="C443" s="119"/>
      <c r="D443" s="119"/>
      <c r="E443" s="119"/>
      <c r="F443" s="110">
        <v>256.0</v>
      </c>
      <c r="G443" s="113" t="str">
        <f>IFERROR(__xludf.DUMMYFUNCTION("TRIM(REGEXREPLACE(C443, ""[0-9]+[a-f]?\."", """"))"),"")</f>
        <v/>
      </c>
      <c r="H443" s="113" t="str">
        <f>IFERROR(__xludf.DUMMYFUNCTION("TRIM(REGEXREPLACE(D443, ""[0-9]+[a-f]?\."", """"))"),"")</f>
        <v/>
      </c>
      <c r="I443" s="113" t="str">
        <f>IFERROR(__xludf.DUMMYFUNCTION("TRIM(REGEXREPLACE(E443, ""[0-9]+[a-f]?\."", """"))"),"")</f>
        <v/>
      </c>
      <c r="J443" s="113" t="s">
        <v>2417</v>
      </c>
      <c r="K443" s="113" t="s">
        <v>2418</v>
      </c>
      <c r="L443" s="113" t="s">
        <v>2419</v>
      </c>
    </row>
    <row r="444" hidden="1">
      <c r="B444" s="119"/>
      <c r="C444" s="119"/>
      <c r="D444" s="119"/>
      <c r="E444" s="119"/>
      <c r="F444" s="110">
        <v>257.0</v>
      </c>
      <c r="G444" s="113" t="str">
        <f>IFERROR(__xludf.DUMMYFUNCTION("TRIM(REGEXREPLACE(C444, ""[0-9]+[a-f]?\."", """"))"),"")</f>
        <v/>
      </c>
      <c r="H444" s="113" t="str">
        <f>IFERROR(__xludf.DUMMYFUNCTION("TRIM(REGEXREPLACE(D444, ""[0-9]+[a-f]?\."", """"))"),"")</f>
        <v/>
      </c>
      <c r="I444" s="113" t="str">
        <f>IFERROR(__xludf.DUMMYFUNCTION("TRIM(REGEXREPLACE(E444, ""[0-9]+[a-f]?\."", """"))"),"")</f>
        <v/>
      </c>
      <c r="J444" s="113" t="s">
        <v>2423</v>
      </c>
      <c r="K444" s="113" t="s">
        <v>2424</v>
      </c>
      <c r="L444" s="113" t="s">
        <v>2426</v>
      </c>
    </row>
    <row r="445" hidden="1">
      <c r="B445" s="119"/>
      <c r="C445" s="119"/>
      <c r="D445" s="119"/>
      <c r="E445" s="119"/>
      <c r="F445" s="110">
        <v>254.0</v>
      </c>
      <c r="G445" s="113" t="str">
        <f>IFERROR(__xludf.DUMMYFUNCTION("TRIM(REGEXREPLACE(C445, ""[0-9]+[a-f]?\."", """"))"),"")</f>
        <v/>
      </c>
      <c r="H445" s="113" t="str">
        <f>IFERROR(__xludf.DUMMYFUNCTION("TRIM(REGEXREPLACE(D445, ""[0-9]+[a-f]?\."", """"))"),"")</f>
        <v/>
      </c>
      <c r="I445" s="113" t="str">
        <f>IFERROR(__xludf.DUMMYFUNCTION("TRIM(REGEXREPLACE(E445, ""[0-9]+[a-f]?\."", """"))"),"")</f>
        <v/>
      </c>
      <c r="J445" s="113" t="s">
        <v>2430</v>
      </c>
      <c r="K445" s="113" t="s">
        <v>2431</v>
      </c>
      <c r="L445" s="113" t="s">
        <v>2432</v>
      </c>
    </row>
    <row r="446" hidden="1">
      <c r="B446" s="119"/>
      <c r="C446" s="119"/>
      <c r="D446" s="119"/>
      <c r="E446" s="119"/>
      <c r="F446" s="110">
        <v>258.0</v>
      </c>
      <c r="G446" s="113" t="str">
        <f>IFERROR(__xludf.DUMMYFUNCTION("TRIM(REGEXREPLACE(C446, ""[0-9]+[a-f]?\."", """"))"),"")</f>
        <v/>
      </c>
      <c r="H446" s="113" t="str">
        <f>IFERROR(__xludf.DUMMYFUNCTION("TRIM(REGEXREPLACE(D446, ""[0-9]+[a-f]?\."", """"))"),"")</f>
        <v/>
      </c>
      <c r="I446" s="113" t="str">
        <f>IFERROR(__xludf.DUMMYFUNCTION("TRIM(REGEXREPLACE(E446, ""[0-9]+[a-f]?\."", """"))"),"")</f>
        <v/>
      </c>
    </row>
    <row r="447" hidden="1">
      <c r="B447" s="119"/>
      <c r="C447" s="119"/>
      <c r="D447" s="119"/>
      <c r="E447" s="119"/>
      <c r="F447" s="110">
        <v>259.0</v>
      </c>
      <c r="G447" s="113" t="str">
        <f>IFERROR(__xludf.DUMMYFUNCTION("TRIM(REGEXREPLACE(C447, ""[0-9]+[a-f]?\."", """"))"),"")</f>
        <v/>
      </c>
      <c r="H447" s="113" t="str">
        <f>IFERROR(__xludf.DUMMYFUNCTION("TRIM(REGEXREPLACE(D447, ""[0-9]+[a-f]?\."", """"))"),"")</f>
        <v/>
      </c>
      <c r="I447" s="113" t="str">
        <f>IFERROR(__xludf.DUMMYFUNCTION("TRIM(REGEXREPLACE(E447, ""[0-9]+[a-f]?\."", """"))"),"")</f>
        <v/>
      </c>
    </row>
    <row r="448">
      <c r="A448" s="114" t="s">
        <v>2364</v>
      </c>
      <c r="B448" s="165" t="s">
        <v>2433</v>
      </c>
      <c r="C448" s="76" t="s">
        <v>2434</v>
      </c>
      <c r="D448" s="76" t="s">
        <v>2435</v>
      </c>
      <c r="E448" s="76" t="s">
        <v>2436</v>
      </c>
      <c r="F448" s="110">
        <v>154.0</v>
      </c>
      <c r="G448" s="113" t="str">
        <f>IFERROR(__xludf.DUMMYFUNCTION("TRIM(REGEXREPLACE(C448, ""[0-9]+[a-f]?\."", """"))"),"Household purchases worth more than 500 CFA")</f>
        <v>Household purchases worth more than 500 CFA</v>
      </c>
      <c r="H448" s="113" t="str">
        <f>IFERROR(__xludf.DUMMYFUNCTION("TRIM(REGEXREPLACE(D448, ""[0-9]+[a-f]?\."", """"))"),"Achats des ménages d'une valeur supérieure à 500 CFA")</f>
        <v>Achats des ménages d'une valeur supérieure à 500 CFA</v>
      </c>
      <c r="I448" s="113" t="str">
        <f>IFERROR(__xludf.DUMMYFUNCTION("TRIM(REGEXREPLACE(E448, ""[0-9]+[a-f]?\."", """"))"),"Siyayyar gida na sama da dala ɗari 500 CFA")</f>
        <v>Siyayyar gida na sama da dala ɗari 500 CFA</v>
      </c>
      <c r="J448" s="113" t="str">
        <f t="shared" ref="J448:J452" si="97">F448 &amp; ". " &amp;G448</f>
        <v>154. Household purchases worth more than 500 CFA</v>
      </c>
      <c r="K448" s="113" t="str">
        <f t="shared" ref="K448:K452" si="98">F448 &amp; ". " &amp;H448</f>
        <v>154. Achats des ménages d'une valeur supérieure à 500 CFA</v>
      </c>
      <c r="L448" s="113" t="str">
        <f t="shared" ref="L448:L452" si="99">F448 &amp; ". " &amp;I448</f>
        <v>154. Siyayyar gida na sama da dala ɗari 500 CFA</v>
      </c>
    </row>
    <row r="449">
      <c r="A449" s="114" t="s">
        <v>2364</v>
      </c>
      <c r="B449" s="165" t="s">
        <v>2437</v>
      </c>
      <c r="C449" s="76" t="s">
        <v>1183</v>
      </c>
      <c r="D449" s="76" t="s">
        <v>1184</v>
      </c>
      <c r="E449" s="76" t="s">
        <v>1185</v>
      </c>
      <c r="F449" s="110">
        <v>155.0</v>
      </c>
      <c r="G449" s="113" t="str">
        <f>IFERROR(__xludf.DUMMYFUNCTION("TRIM(REGEXREPLACE(C449, ""[0-9]+[a-f]?\."", """"))"),"Family planning (how many children to have)")</f>
        <v>Family planning (how many children to have)</v>
      </c>
      <c r="H449" s="113" t="str">
        <f>IFERROR(__xludf.DUMMYFUNCTION("TRIM(REGEXREPLACE(D449, ""[0-9]+[a-f]?\."", """"))"),"Planification familiale (combien d'enfants avoir)")</f>
        <v>Planification familiale (combien d'enfants avoir)</v>
      </c>
      <c r="I449" s="113" t="str">
        <f>IFERROR(__xludf.DUMMYFUNCTION("TRIM(REGEXREPLACE(E449, ""[0-9]+[a-f]?\."", """"))"),"Tsarin iyali (ƴaƴa nawa za a haifa)")</f>
        <v>Tsarin iyali (ƴaƴa nawa za a haifa)</v>
      </c>
      <c r="J449" s="113" t="str">
        <f t="shared" si="97"/>
        <v>155. Family planning (how many children to have)</v>
      </c>
      <c r="K449" s="113" t="str">
        <f t="shared" si="98"/>
        <v>155. Planification familiale (combien d'enfants avoir)</v>
      </c>
      <c r="L449" s="113" t="str">
        <f t="shared" si="99"/>
        <v>155. Tsarin iyali (ƴaƴa nawa za a haifa)</v>
      </c>
    </row>
    <row r="450">
      <c r="A450" s="114" t="s">
        <v>2364</v>
      </c>
      <c r="B450" s="165" t="s">
        <v>2438</v>
      </c>
      <c r="C450" s="76" t="s">
        <v>1189</v>
      </c>
      <c r="D450" s="76" t="s">
        <v>1190</v>
      </c>
      <c r="E450" s="76" t="s">
        <v>1191</v>
      </c>
      <c r="F450" s="110">
        <v>156.0</v>
      </c>
      <c r="G450" s="113" t="str">
        <f>IFERROR(__xludf.DUMMYFUNCTION("TRIM(REGEXREPLACE(C450, ""[0-9]+[a-f]?\."", """"))"),"Whether the husband will migrate to find work")</f>
        <v>Whether the husband will migrate to find work</v>
      </c>
      <c r="H450" s="113" t="str">
        <f>IFERROR(__xludf.DUMMYFUNCTION("TRIM(REGEXREPLACE(D450, ""[0-9]+[a-f]?\."", """"))"),"Si le mari va migrer pour trouver du travail")</f>
        <v>Si le mari va migrer pour trouver du travail</v>
      </c>
      <c r="I450" s="113" t="str">
        <f>IFERROR(__xludf.DUMMYFUNCTION("TRIM(REGEXREPLACE(E450, ""[0-9]+[a-f]?\."", """"))"),"Ko miji zai yi tahiya don neman aiki")</f>
        <v>Ko miji zai yi tahiya don neman aiki</v>
      </c>
      <c r="J450" s="113" t="str">
        <f t="shared" si="97"/>
        <v>156. Whether the husband will migrate to find work</v>
      </c>
      <c r="K450" s="113" t="str">
        <f t="shared" si="98"/>
        <v>156. Si le mari va migrer pour trouver du travail</v>
      </c>
      <c r="L450" s="113" t="str">
        <f t="shared" si="99"/>
        <v>156. Ko miji zai yi tahiya don neman aiki</v>
      </c>
    </row>
    <row r="451">
      <c r="A451" s="114" t="s">
        <v>2364</v>
      </c>
      <c r="B451" s="165" t="s">
        <v>2439</v>
      </c>
      <c r="C451" s="76" t="s">
        <v>2440</v>
      </c>
      <c r="D451" s="76" t="s">
        <v>2441</v>
      </c>
      <c r="E451" s="76" t="s">
        <v>2442</v>
      </c>
      <c r="F451" s="110">
        <v>157.0</v>
      </c>
      <c r="G451" s="113" t="str">
        <f>IFERROR(__xludf.DUMMYFUNCTION("TRIM(REGEXREPLACE(C451, ""[0-9]+[a-f]?\."", """"))"),"Who to vote for in local elections?")</f>
        <v>Who to vote for in local elections?</v>
      </c>
      <c r="H451" s="113" t="str">
        <f>IFERROR(__xludf.DUMMYFUNCTION("TRIM(REGEXREPLACE(D451, ""[0-9]+[a-f]?\."", """"))"),"Pour qui voter aux élections municipales ?")</f>
        <v>Pour qui voter aux élections municipales ?</v>
      </c>
      <c r="I451" s="113" t="str">
        <f>IFERROR(__xludf.DUMMYFUNCTION("TRIM(REGEXREPLACE(E451, ""[0-9]+[a-f]?\."", """"))"),"Wanene za'a zaɓa a zaɓen ƙananan hukumomi?")</f>
        <v>Wanene za'a zaɓa a zaɓen ƙananan hukumomi?</v>
      </c>
      <c r="J451" s="113" t="str">
        <f t="shared" si="97"/>
        <v>157. Who to vote for in local elections?</v>
      </c>
      <c r="K451" s="113" t="str">
        <f t="shared" si="98"/>
        <v>157. Pour qui voter aux élections municipales ?</v>
      </c>
      <c r="L451" s="113" t="str">
        <f t="shared" si="99"/>
        <v>157. Wanene za'a zaɓa a zaɓen ƙananan hukumomi?</v>
      </c>
    </row>
    <row r="452">
      <c r="A452" s="114" t="s">
        <v>2364</v>
      </c>
      <c r="B452" s="165" t="s">
        <v>2444</v>
      </c>
      <c r="C452" s="76" t="s">
        <v>2445</v>
      </c>
      <c r="D452" s="76" t="s">
        <v>2446</v>
      </c>
      <c r="E452" s="76" t="s">
        <v>2447</v>
      </c>
      <c r="F452" s="110">
        <v>158.0</v>
      </c>
      <c r="G452" s="113" t="str">
        <f>IFERROR(__xludf.DUMMYFUNCTION("TRIM(REGEXREPLACE(C452, ""[0-9]+[a-f]?\."", """"))"),"To whom your daughter should marry?")</f>
        <v>To whom your daughter should marry?</v>
      </c>
      <c r="H452" s="113" t="str">
        <f>IFERROR(__xludf.DUMMYFUNCTION("TRIM(REGEXREPLACE(D452, ""[0-9]+[a-f]?\."", """"))"),"Avec qui votre fille devrait-elle se marier ?")</f>
        <v>Avec qui votre fille devrait-elle se marier ?</v>
      </c>
      <c r="I452" s="113" t="str">
        <f>IFERROR(__xludf.DUMMYFUNCTION("TRIM(REGEXREPLACE(E452, ""[0-9]+[a-f]?\."", """"))"),"Wa ya kamata ƴarku ta aura?")</f>
        <v>Wa ya kamata ƴarku ta aura?</v>
      </c>
      <c r="J452" s="113" t="str">
        <f t="shared" si="97"/>
        <v>158. To whom your daughter should marry?</v>
      </c>
      <c r="K452" s="113" t="str">
        <f t="shared" si="98"/>
        <v>158. Avec qui votre fille devrait-elle se marier ?</v>
      </c>
      <c r="L452" s="113" t="str">
        <f t="shared" si="99"/>
        <v>158. Wa ya kamata ƴarku ta aura?</v>
      </c>
    </row>
    <row r="453" hidden="1">
      <c r="B453" s="119"/>
      <c r="C453" s="119"/>
      <c r="D453" s="119"/>
      <c r="E453" s="119"/>
      <c r="F453" s="110">
        <v>260.0</v>
      </c>
      <c r="G453" s="113" t="str">
        <f>IFERROR(__xludf.DUMMYFUNCTION("TRIM(REGEXREPLACE(C453, ""[0-9]+[a-f]?\."", """"))"),"")</f>
        <v/>
      </c>
      <c r="H453" s="113" t="str">
        <f>IFERROR(__xludf.DUMMYFUNCTION("TRIM(REGEXREPLACE(D453, ""[0-9]+[a-f]?\."", """"))"),"")</f>
        <v/>
      </c>
      <c r="I453" s="113" t="str">
        <f>IFERROR(__xludf.DUMMYFUNCTION("TRIM(REGEXREPLACE(E453, ""[0-9]+[a-f]?\."", """"))"),"")</f>
        <v/>
      </c>
      <c r="J453" s="113" t="s">
        <v>2452</v>
      </c>
      <c r="K453" s="113" t="s">
        <v>2453</v>
      </c>
      <c r="L453" s="113" t="s">
        <v>2454</v>
      </c>
    </row>
    <row r="454" hidden="1">
      <c r="B454" s="119"/>
      <c r="C454" s="119"/>
      <c r="D454" s="119"/>
      <c r="E454" s="119"/>
      <c r="F454" s="110">
        <v>261.0</v>
      </c>
      <c r="G454" s="113" t="str">
        <f>IFERROR(__xludf.DUMMYFUNCTION("TRIM(REGEXREPLACE(C454, ""[0-9]+[a-f]?\."", """"))"),"")</f>
        <v/>
      </c>
      <c r="H454" s="113" t="str">
        <f>IFERROR(__xludf.DUMMYFUNCTION("TRIM(REGEXREPLACE(D454, ""[0-9]+[a-f]?\."", """"))"),"")</f>
        <v/>
      </c>
      <c r="I454" s="113" t="str">
        <f>IFERROR(__xludf.DUMMYFUNCTION("TRIM(REGEXREPLACE(E454, ""[0-9]+[a-f]?\."", """"))"),"")</f>
        <v/>
      </c>
      <c r="J454" s="113" t="s">
        <v>2456</v>
      </c>
      <c r="K454" s="113" t="s">
        <v>2457</v>
      </c>
      <c r="L454" s="113" t="s">
        <v>2458</v>
      </c>
    </row>
    <row r="455" hidden="1">
      <c r="B455" s="119"/>
      <c r="C455" s="119"/>
      <c r="D455" s="119"/>
      <c r="E455" s="119"/>
      <c r="F455" s="110">
        <v>262.0</v>
      </c>
      <c r="G455" s="113" t="str">
        <f>IFERROR(__xludf.DUMMYFUNCTION("TRIM(REGEXREPLACE(C455, ""[0-9]+[a-f]?\."", """"))"),"")</f>
        <v/>
      </c>
      <c r="H455" s="113" t="str">
        <f>IFERROR(__xludf.DUMMYFUNCTION("TRIM(REGEXREPLACE(D455, ""[0-9]+[a-f]?\."", """"))"),"")</f>
        <v/>
      </c>
      <c r="I455" s="113" t="str">
        <f>IFERROR(__xludf.DUMMYFUNCTION("TRIM(REGEXREPLACE(E455, ""[0-9]+[a-f]?\."", """"))"),"")</f>
        <v/>
      </c>
      <c r="J455" s="113" t="s">
        <v>2463</v>
      </c>
      <c r="K455" s="113" t="s">
        <v>2464</v>
      </c>
      <c r="L455" s="113" t="s">
        <v>2465</v>
      </c>
    </row>
    <row r="456">
      <c r="A456" s="114" t="s">
        <v>2364</v>
      </c>
      <c r="B456" s="165" t="s">
        <v>2466</v>
      </c>
      <c r="C456" s="76" t="s">
        <v>2467</v>
      </c>
      <c r="D456" s="76" t="s">
        <v>2468</v>
      </c>
      <c r="E456" s="76" t="s">
        <v>2469</v>
      </c>
      <c r="F456" s="110">
        <v>159.0</v>
      </c>
      <c r="G456" s="113" t="str">
        <f>IFERROR(__xludf.DUMMYFUNCTION("TRIM(REGEXREPLACE(C456, ""[0-9]+[a-f]?\."", """"))"),"Children's enrollment in school")</f>
        <v>Children's enrollment in school</v>
      </c>
      <c r="H456" s="113" t="str">
        <f>IFERROR(__xludf.DUMMYFUNCTION("TRIM(REGEXREPLACE(D456, ""[0-9]+[a-f]?\."", """"))"),"Inscription des enfants à l'école")</f>
        <v>Inscription des enfants à l'école</v>
      </c>
      <c r="I456" s="113" t="str">
        <f>IFERROR(__xludf.DUMMYFUNCTION("TRIM(REGEXREPLACE(E456, ""[0-9]+[a-f]?\."", """"))"),"Rubuta yara a makaranta")</f>
        <v>Rubuta yara a makaranta</v>
      </c>
      <c r="J456" s="113" t="str">
        <f t="shared" ref="J456:J457" si="100">F456 &amp; ". " &amp;G456</f>
        <v>159. Children's enrollment in school</v>
      </c>
      <c r="K456" s="113" t="str">
        <f t="shared" ref="K456:K457" si="101">F456 &amp; ". " &amp;H456</f>
        <v>159. Inscription des enfants à l'école</v>
      </c>
      <c r="L456" s="113" t="str">
        <f t="shared" ref="L456:L457" si="102">F456 &amp; ". " &amp;I456</f>
        <v>159. Rubuta yara a makaranta</v>
      </c>
    </row>
    <row r="457">
      <c r="A457" s="114" t="s">
        <v>541</v>
      </c>
      <c r="B457" s="165" t="s">
        <v>2471</v>
      </c>
      <c r="C457" s="76" t="s">
        <v>2472</v>
      </c>
      <c r="D457" s="76" t="s">
        <v>2473</v>
      </c>
      <c r="E457" s="76" t="s">
        <v>2474</v>
      </c>
      <c r="F457" s="110">
        <v>160.0</v>
      </c>
      <c r="G457" s="113" t="str">
        <f>IFERROR(__xludf.DUMMYFUNCTION("TRIM(REGEXREPLACE(C457, ""[0-9]+[a-f]?\."", """"))"),"Imagine one of your daughters wanted to marry someone of a different religious faith, would you give them your permission?")</f>
        <v>Imagine one of your daughters wanted to marry someone of a different religious faith, would you give them your permission?</v>
      </c>
      <c r="H457" s="113" t="str">
        <f>IFERROR(__xludf.DUMMYFUNCTION("TRIM(REGEXREPLACE(D457, ""[0-9]+[a-f]?\."", """"))"),"Imaginez qu'une de vos filles veuille épouser quelqu'un d'une confession religieuse différente, leur donneriez-vous votre permission ?")</f>
        <v>Imaginez qu'une de vos filles veuille épouser quelqu'un d'une confession religieuse différente, leur donneriez-vous votre permission ?</v>
      </c>
      <c r="I457" s="113" t="str">
        <f>IFERROR(__xludf.DUMMYFUNCTION("TRIM(REGEXREPLACE(E457, ""[0-9]+[a-f]?\."", """"))"),"Ku ƙaddara da wata ɗiyarku ta na son ta auri wani mai bin wani addini daban, za ku bada izininku?")</f>
        <v>Ku ƙaddara da wata ɗiyarku ta na son ta auri wani mai bin wani addini daban, za ku bada izininku?</v>
      </c>
      <c r="J457" s="113" t="str">
        <f t="shared" si="100"/>
        <v>160. Imagine one of your daughters wanted to marry someone of a different religious faith, would you give them your permission?</v>
      </c>
      <c r="K457" s="113" t="str">
        <f t="shared" si="101"/>
        <v>160. Imaginez qu'une de vos filles veuille épouser quelqu'un d'une confession religieuse différente, leur donneriez-vous votre permission ?</v>
      </c>
      <c r="L457" s="113" t="str">
        <f t="shared" si="102"/>
        <v>160. Ku ƙaddara da wata ɗiyarku ta na son ta auri wani mai bin wani addini daban, za ku bada izininku?</v>
      </c>
    </row>
    <row r="458" hidden="1">
      <c r="B458" s="119"/>
      <c r="C458" s="119"/>
      <c r="D458" s="119"/>
      <c r="E458" s="119"/>
      <c r="F458" s="110">
        <v>265.0</v>
      </c>
      <c r="G458" s="113" t="str">
        <f>IFERROR(__xludf.DUMMYFUNCTION("TRIM(REGEXREPLACE(C458, ""[0-9]+[a-f]?\."", """"))"),"")</f>
        <v/>
      </c>
      <c r="H458" s="113" t="str">
        <f>IFERROR(__xludf.DUMMYFUNCTION("TRIM(REGEXREPLACE(D458, ""[0-9]+[a-f]?\."", """"))"),"")</f>
        <v/>
      </c>
      <c r="I458" s="113" t="str">
        <f>IFERROR(__xludf.DUMMYFUNCTION("TRIM(REGEXREPLACE(E458, ""[0-9]+[a-f]?\."", """"))"),"")</f>
        <v/>
      </c>
      <c r="J458" s="113" t="s">
        <v>2479</v>
      </c>
      <c r="K458" s="113" t="s">
        <v>2480</v>
      </c>
      <c r="L458" s="113" t="s">
        <v>2482</v>
      </c>
    </row>
    <row r="459" hidden="1">
      <c r="B459" s="119"/>
      <c r="C459" s="119"/>
      <c r="D459" s="119"/>
      <c r="E459" s="119"/>
      <c r="F459" s="110">
        <v>266.0</v>
      </c>
      <c r="G459" s="113" t="str">
        <f>IFERROR(__xludf.DUMMYFUNCTION("TRIM(REGEXREPLACE(C459, ""[0-9]+[a-f]?\."", """"))"),"")</f>
        <v/>
      </c>
      <c r="H459" s="113" t="str">
        <f>IFERROR(__xludf.DUMMYFUNCTION("TRIM(REGEXREPLACE(D459, ""[0-9]+[a-f]?\."", """"))"),"")</f>
        <v/>
      </c>
      <c r="I459" s="113" t="str">
        <f>IFERROR(__xludf.DUMMYFUNCTION("TRIM(REGEXREPLACE(E459, ""[0-9]+[a-f]?\."", """"))"),"")</f>
        <v/>
      </c>
      <c r="J459" s="113" t="s">
        <v>2484</v>
      </c>
      <c r="K459" s="113" t="s">
        <v>2485</v>
      </c>
      <c r="L459" s="113" t="s">
        <v>2486</v>
      </c>
    </row>
    <row r="460" hidden="1">
      <c r="B460" s="119"/>
      <c r="C460" s="119"/>
      <c r="D460" s="119"/>
      <c r="E460" s="119"/>
      <c r="F460" s="110">
        <v>267.0</v>
      </c>
      <c r="G460" s="113" t="str">
        <f>IFERROR(__xludf.DUMMYFUNCTION("TRIM(REGEXREPLACE(C460, ""[0-9]+[a-f]?\."", """"))"),"")</f>
        <v/>
      </c>
      <c r="H460" s="113" t="str">
        <f>IFERROR(__xludf.DUMMYFUNCTION("TRIM(REGEXREPLACE(D460, ""[0-9]+[a-f]?\."", """"))"),"")</f>
        <v/>
      </c>
      <c r="I460" s="113" t="str">
        <f>IFERROR(__xludf.DUMMYFUNCTION("TRIM(REGEXREPLACE(E460, ""[0-9]+[a-f]?\."", """"))"),"")</f>
        <v/>
      </c>
      <c r="J460" s="113" t="s">
        <v>2491</v>
      </c>
      <c r="K460" s="113" t="s">
        <v>2492</v>
      </c>
      <c r="L460" s="113" t="s">
        <v>2493</v>
      </c>
    </row>
    <row r="461" hidden="1">
      <c r="B461" s="119"/>
      <c r="C461" s="119"/>
      <c r="D461" s="119"/>
      <c r="E461" s="119"/>
      <c r="F461" s="110">
        <v>268.0</v>
      </c>
      <c r="G461" s="113" t="str">
        <f>IFERROR(__xludf.DUMMYFUNCTION("TRIM(REGEXREPLACE(C461, ""[0-9]+[a-f]?\."", """"))"),"")</f>
        <v/>
      </c>
      <c r="H461" s="113" t="str">
        <f>IFERROR(__xludf.DUMMYFUNCTION("TRIM(REGEXREPLACE(D461, ""[0-9]+[a-f]?\."", """"))"),"")</f>
        <v/>
      </c>
      <c r="I461" s="113" t="str">
        <f>IFERROR(__xludf.DUMMYFUNCTION("TRIM(REGEXREPLACE(E461, ""[0-9]+[a-f]?\."", """"))"),"")</f>
        <v/>
      </c>
      <c r="J461" s="113" t="s">
        <v>2494</v>
      </c>
      <c r="K461" s="113" t="s">
        <v>2495</v>
      </c>
      <c r="L461" s="113" t="s">
        <v>2496</v>
      </c>
    </row>
    <row r="462">
      <c r="A462" s="114" t="s">
        <v>541</v>
      </c>
      <c r="B462" s="165" t="s">
        <v>2497</v>
      </c>
      <c r="C462" s="76" t="s">
        <v>2498</v>
      </c>
      <c r="D462" s="76" t="s">
        <v>2499</v>
      </c>
      <c r="E462" s="76" t="s">
        <v>2500</v>
      </c>
      <c r="F462" s="110">
        <v>161.0</v>
      </c>
      <c r="G462" s="113" t="str">
        <f>IFERROR(__xludf.DUMMYFUNCTION("TRIM(REGEXREPLACE(C462, ""[0-9]+[a-f]?\."", """"))"),"Imagine one of your sons wanted to marry someone of a different religious faith, would you give them your permission?")</f>
        <v>Imagine one of your sons wanted to marry someone of a different religious faith, would you give them your permission?</v>
      </c>
      <c r="H462" s="113" t="str">
        <f>IFERROR(__xludf.DUMMYFUNCTION("TRIM(REGEXREPLACE(D462, ""[0-9]+[a-f]?\."", """"))"),"Imaginez que l'un de vos fils veuille épouser quelqu'un d'une confession religieuse différente, leur donneriez-vous votre permission ?")</f>
        <v>Imaginez que l'un de vos fils veuille épouser quelqu'un d'une confession religieuse différente, leur donneriez-vous votre permission ?</v>
      </c>
      <c r="I462" s="113" t="str">
        <f>IFERROR(__xludf.DUMMYFUNCTION("TRIM(REGEXREPLACE(E462, ""[0-9]+[a-f]?\."", """"))"),"Ku ƙaddara da wani ɗanku ya na son ya auri wata ƴa mai bin wani addini daban, za ku bada izininku?")</f>
        <v>Ku ƙaddara da wani ɗanku ya na son ya auri wata ƴa mai bin wani addini daban, za ku bada izininku?</v>
      </c>
      <c r="J462" s="113" t="str">
        <f t="shared" ref="J462:J468" si="103">F462 &amp; ". " &amp;G462</f>
        <v>161. Imagine one of your sons wanted to marry someone of a different religious faith, would you give them your permission?</v>
      </c>
      <c r="K462" s="113" t="str">
        <f t="shared" ref="K462:K468" si="104">F462 &amp; ". " &amp;H462</f>
        <v>161. Imaginez que l'un de vos fils veuille épouser quelqu'un d'une confession religieuse différente, leur donneriez-vous votre permission ?</v>
      </c>
      <c r="L462" s="113" t="str">
        <f t="shared" ref="L462:L468" si="105">F462 &amp; ". " &amp;I462</f>
        <v>161. Ku ƙaddara da wani ɗanku ya na son ya auri wata ƴa mai bin wani addini daban, za ku bada izininku?</v>
      </c>
    </row>
    <row r="463">
      <c r="A463" s="114" t="s">
        <v>541</v>
      </c>
      <c r="B463" s="165" t="s">
        <v>2507</v>
      </c>
      <c r="C463" s="76" t="s">
        <v>1227</v>
      </c>
      <c r="D463" s="76" t="s">
        <v>1228</v>
      </c>
      <c r="E463" s="76" t="s">
        <v>1229</v>
      </c>
      <c r="F463" s="110">
        <v>162.0</v>
      </c>
      <c r="G463" s="113" t="str">
        <f>IFERROR(__xludf.DUMMYFUNCTION("TRIM(REGEXREPLACE(C463, ""[0-9]+[a-f]?\."", """"))"),"Imagine one of your daughters wanted to marry someone of a different ethnic group, would you give them your permission?")</f>
        <v>Imagine one of your daughters wanted to marry someone of a different ethnic group, would you give them your permission?</v>
      </c>
      <c r="H463" s="113" t="str">
        <f>IFERROR(__xludf.DUMMYFUNCTION("TRIM(REGEXREPLACE(D463, ""[0-9]+[a-f]?\."", """"))"),"Imaginez qu'une de vos filles veuille épouser quelqu'un d'un groupe ethnique différent, leur donneriez-vous votre permission ?")</f>
        <v>Imaginez qu'une de vos filles veuille épouser quelqu'un d'un groupe ethnique différent, leur donneriez-vous votre permission ?</v>
      </c>
      <c r="I463" s="113" t="str">
        <f>IFERROR(__xludf.DUMMYFUNCTION("TRIM(REGEXREPLACE(E463, ""[0-9]+[a-f]?\."", """"))"),"Ku ƙaddara da wata ɗiyarka tana son ta auri ɗan wata kabila daban, za ku bada izininka?")</f>
        <v>Ku ƙaddara da wata ɗiyarka tana son ta auri ɗan wata kabila daban, za ku bada izininka?</v>
      </c>
      <c r="J463" s="113" t="str">
        <f t="shared" si="103"/>
        <v>162. Imagine one of your daughters wanted to marry someone of a different ethnic group, would you give them your permission?</v>
      </c>
      <c r="K463" s="113" t="str">
        <f t="shared" si="104"/>
        <v>162. Imaginez qu'une de vos filles veuille épouser quelqu'un d'un groupe ethnique différent, leur donneriez-vous votre permission ?</v>
      </c>
      <c r="L463" s="113" t="str">
        <f t="shared" si="105"/>
        <v>162. Ku ƙaddara da wata ɗiyarka tana son ta auri ɗan wata kabila daban, za ku bada izininka?</v>
      </c>
    </row>
    <row r="464">
      <c r="A464" s="114" t="s">
        <v>541</v>
      </c>
      <c r="B464" s="165" t="s">
        <v>2510</v>
      </c>
      <c r="C464" s="76" t="s">
        <v>1232</v>
      </c>
      <c r="D464" s="76" t="s">
        <v>1233</v>
      </c>
      <c r="E464" s="76" t="s">
        <v>1234</v>
      </c>
      <c r="F464" s="110">
        <v>163.0</v>
      </c>
      <c r="G464" s="113" t="str">
        <f>IFERROR(__xludf.DUMMYFUNCTION("TRIM(REGEXREPLACE(C464, ""[0-9]+[a-f]?\."", """"))"),"Imagine one of your sons wanted to marry someone of a different ethnic group, would you give them your permission?")</f>
        <v>Imagine one of your sons wanted to marry someone of a different ethnic group, would you give them your permission?</v>
      </c>
      <c r="H464" s="113" t="str">
        <f>IFERROR(__xludf.DUMMYFUNCTION("TRIM(REGEXREPLACE(D464, ""[0-9]+[a-f]?\."", """"))"),"Imaginez que l'un de vos fils veuille épouser quelqu'un d'un groupe ethnique différent, leur donneriez-vous votre permission ?")</f>
        <v>Imaginez que l'un de vos fils veuille épouser quelqu'un d'un groupe ethnique différent, leur donneriez-vous votre permission ?</v>
      </c>
      <c r="I464" s="113" t="str">
        <f>IFERROR(__xludf.DUMMYFUNCTION("TRIM(REGEXREPLACE(E464, ""[0-9]+[a-f]?\."", """"))"),"Ku ƙaddara da wani ɗanku ya na son ya auri wani ɗan wata ƙabila daban, za ku bada izininka?")</f>
        <v>Ku ƙaddara da wani ɗanku ya na son ya auri wani ɗan wata ƙabila daban, za ku bada izininka?</v>
      </c>
      <c r="J464" s="113" t="str">
        <f t="shared" si="103"/>
        <v>163. Imagine one of your sons wanted to marry someone of a different ethnic group, would you give them your permission?</v>
      </c>
      <c r="K464" s="113" t="str">
        <f t="shared" si="104"/>
        <v>163. Imaginez que l'un de vos fils veuille épouser quelqu'un d'un groupe ethnique différent, leur donneriez-vous votre permission ?</v>
      </c>
      <c r="L464" s="113" t="str">
        <f t="shared" si="105"/>
        <v>163. Ku ƙaddara da wani ɗanku ya na son ya auri wani ɗan wata ƙabila daban, za ku bada izininka?</v>
      </c>
    </row>
    <row r="465">
      <c r="A465" s="152" t="s">
        <v>44</v>
      </c>
      <c r="B465" s="77" t="s">
        <v>2524</v>
      </c>
      <c r="C465" s="76" t="s">
        <v>2526</v>
      </c>
      <c r="D465" s="76" t="s">
        <v>2527</v>
      </c>
      <c r="E465" s="76" t="s">
        <v>2528</v>
      </c>
      <c r="F465" s="110">
        <v>164.0</v>
      </c>
      <c r="G465" s="113" t="str">
        <f>IFERROR(__xludf.DUMMYFUNCTION("TRIM(REGEXREPLACE(C465, ""[0-9]+[a-f]?\."", """"))"),"Please tell me the degree to which you agree or disagree with the following statements.")</f>
        <v>Please tell me the degree to which you agree or disagree with the following statements.</v>
      </c>
      <c r="H465" s="113" t="str">
        <f>IFERROR(__xludf.DUMMYFUNCTION("TRIM(REGEXREPLACE(D465, ""[0-9]+[a-f]?\."", """"))"),"Veuillez me dire dans quelle mesure vous êtes d'accord ou pas d'accord avec les énoncés suivants.")</f>
        <v>Veuillez me dire dans quelle mesure vous êtes d'accord ou pas d'accord avec les énoncés suivants.</v>
      </c>
      <c r="I465" s="113" t="str">
        <f>IFERROR(__xludf.DUMMYFUNCTION("TRIM(REGEXREPLACE(E465, ""[0-9]+[a-f]?\."", """"))"),"Yanzu ina son ku gaya mini har zuwa wane matsayi kuka yarda ko baku yarda ba da waɗannan maganganun da zan zana muku.")</f>
        <v>Yanzu ina son ku gaya mini har zuwa wane matsayi kuka yarda ko baku yarda ba da waɗannan maganganun da zan zana muku.</v>
      </c>
      <c r="J465" s="113" t="str">
        <f t="shared" si="103"/>
        <v>164. Please tell me the degree to which you agree or disagree with the following statements.</v>
      </c>
      <c r="K465" s="113" t="str">
        <f t="shared" si="104"/>
        <v>164. Veuillez me dire dans quelle mesure vous êtes d'accord ou pas d'accord avec les énoncés suivants.</v>
      </c>
      <c r="L465" s="113" t="str">
        <f t="shared" si="105"/>
        <v>164. Yanzu ina son ku gaya mini har zuwa wane matsayi kuka yarda ko baku yarda ba da waɗannan maganganun da zan zana muku.</v>
      </c>
    </row>
    <row r="466">
      <c r="A466" s="114" t="s">
        <v>1041</v>
      </c>
      <c r="B466" s="165" t="s">
        <v>2533</v>
      </c>
      <c r="C466" s="76" t="s">
        <v>2534</v>
      </c>
      <c r="D466" s="76" t="s">
        <v>2535</v>
      </c>
      <c r="E466" s="76" t="s">
        <v>2536</v>
      </c>
      <c r="F466" s="110">
        <v>165.0</v>
      </c>
      <c r="G466" s="113" t="str">
        <f>IFERROR(__xludf.DUMMYFUNCTION("TRIM(REGEXREPLACE(C466, ""[0-9]+[a-f]?\."", """"))"),"Middle school education for males is more important than middle school education for females.")</f>
        <v>Middle school education for males is more important than middle school education for females.</v>
      </c>
      <c r="H466" s="113" t="str">
        <f>IFERROR(__xludf.DUMMYFUNCTION("TRIM(REGEXREPLACE(D466, ""[0-9]+[a-f]?\."", """"))"),"L'enseignement secondaire pour les hommes est plus important que l'enseignement secondaire pour les femmes.")</f>
        <v>L'enseignement secondaire pour les hommes est plus important que l'enseignement secondaire pour les femmes.</v>
      </c>
      <c r="I466" s="113" t="str">
        <f>IFERROR(__xludf.DUMMYFUNCTION("TRIM(REGEXREPLACE(E466, ""[0-9]+[a-f]?\."", """"))"),"Ilimin koleji ga maza yana da mahimmanci fiye da ilimin koleji ga mata.")</f>
        <v>Ilimin koleji ga maza yana da mahimmanci fiye da ilimin koleji ga mata.</v>
      </c>
      <c r="J466" s="113" t="str">
        <f t="shared" si="103"/>
        <v>165. Middle school education for males is more important than middle school education for females.</v>
      </c>
      <c r="K466" s="113" t="str">
        <f t="shared" si="104"/>
        <v>165. L'enseignement secondaire pour les hommes est plus important que l'enseignement secondaire pour les femmes.</v>
      </c>
      <c r="L466" s="113" t="str">
        <f t="shared" si="105"/>
        <v>165. Ilimin koleji ga maza yana da mahimmanci fiye da ilimin koleji ga mata.</v>
      </c>
    </row>
    <row r="467">
      <c r="A467" s="114" t="s">
        <v>1041</v>
      </c>
      <c r="B467" s="165" t="s">
        <v>2538</v>
      </c>
      <c r="C467" s="76" t="s">
        <v>2539</v>
      </c>
      <c r="D467" s="76" t="s">
        <v>2540</v>
      </c>
      <c r="E467" s="76" t="s">
        <v>2541</v>
      </c>
      <c r="F467" s="110">
        <v>166.0</v>
      </c>
      <c r="G467" s="113" t="str">
        <f>IFERROR(__xludf.DUMMYFUNCTION("TRIM(REGEXREPLACE(C467, ""[0-9]+[a-f]?\."", """"))"),"Women and men should have equal rights to their inheritance (Women should not be denied their right)")</f>
        <v>Women and men should have equal rights to their inheritance (Women should not be denied their right)</v>
      </c>
      <c r="H467" s="113" t="str">
        <f>IFERROR(__xludf.DUMMYFUNCTION("TRIM(REGEXREPLACE(D467, ""[0-9]+[a-f]?\."", """"))"),"Les femmes et les hommes devraient avoir des droits égaux à l'héritage (les femmes ne devraient pas être privées de leur droit)")</f>
        <v>Les femmes et les hommes devraient avoir des droits égaux à l'héritage (les femmes ne devraient pas être privées de leur droit)</v>
      </c>
      <c r="I467" s="113" t="str">
        <f>IFERROR(__xludf.DUMMYFUNCTION("TRIM(REGEXREPLACE(E467, ""[0-9]+[a-f]?\."", """"))"),"Ya kamata mata da maza su samu haƙƙi daidai akan gado (Bai Kamata a hana ma mata haƙƙinsu ba)")</f>
        <v>Ya kamata mata da maza su samu haƙƙi daidai akan gado (Bai Kamata a hana ma mata haƙƙinsu ba)</v>
      </c>
      <c r="J467" s="113" t="str">
        <f t="shared" si="103"/>
        <v>166. Women and men should have equal rights to their inheritance (Women should not be denied their right)</v>
      </c>
      <c r="K467" s="113" t="str">
        <f t="shared" si="104"/>
        <v>166. Les femmes et les hommes devraient avoir des droits égaux à l'héritage (les femmes ne devraient pas être privées de leur droit)</v>
      </c>
      <c r="L467" s="113" t="str">
        <f t="shared" si="105"/>
        <v>166. Ya kamata mata da maza su samu haƙƙi daidai akan gado (Bai Kamata a hana ma mata haƙƙinsu ba)</v>
      </c>
    </row>
    <row r="468">
      <c r="A468" s="114" t="s">
        <v>1041</v>
      </c>
      <c r="B468" s="165" t="s">
        <v>2546</v>
      </c>
      <c r="C468" s="76" t="s">
        <v>2547</v>
      </c>
      <c r="D468" s="76" t="s">
        <v>2548</v>
      </c>
      <c r="E468" s="76" t="s">
        <v>2549</v>
      </c>
      <c r="F468" s="110">
        <v>167.0</v>
      </c>
      <c r="G468" s="113" t="str">
        <f>IFERROR(__xludf.DUMMYFUNCTION("TRIM(REGEXREPLACE(C468, ""[0-9]+[a-f]?\."", """"))"),"A woman can reject a marriage that her family chose for her without her consent")</f>
        <v>A woman can reject a marriage that her family chose for her without her consent</v>
      </c>
      <c r="H468" s="113" t="str">
        <f>IFERROR(__xludf.DUMMYFUNCTION("TRIM(REGEXREPLACE(D468, ""[0-9]+[a-f]?\."", """"))"),"Une femme peut refuser un mariage que sa famille a choisi pour elle sans son consentement")</f>
        <v>Une femme peut refuser un mariage que sa famille a choisi pour elle sans son consentement</v>
      </c>
      <c r="I468" s="113" t="str">
        <f>IFERROR(__xludf.DUMMYFUNCTION("TRIM(REGEXREPLACE(E468, ""[0-9]+[a-f]?\."", """"))"),"Mace za ta iya ƙin auren da danginta suka zaɓa mata idan bata yarda ba")</f>
        <v>Mace za ta iya ƙin auren da danginta suka zaɓa mata idan bata yarda ba</v>
      </c>
      <c r="J468" s="113" t="str">
        <f t="shared" si="103"/>
        <v>167. A woman can reject a marriage that her family chose for her without her consent</v>
      </c>
      <c r="K468" s="113" t="str">
        <f t="shared" si="104"/>
        <v>167. Une femme peut refuser un mariage que sa famille a choisi pour elle sans son consentement</v>
      </c>
      <c r="L468" s="113" t="str">
        <f t="shared" si="105"/>
        <v>167. Mace za ta iya ƙin auren da danginta suka zaɓa mata idan bata yarda ba</v>
      </c>
    </row>
    <row r="469" hidden="1">
      <c r="B469" s="119"/>
      <c r="C469" s="119"/>
      <c r="D469" s="119"/>
      <c r="E469" s="119"/>
      <c r="F469" s="110">
        <v>269.0</v>
      </c>
      <c r="G469" s="113" t="str">
        <f>IFERROR(__xludf.DUMMYFUNCTION("TRIM(REGEXREPLACE(C469, ""[0-9]+[a-f]?\."", """"))"),"")</f>
        <v/>
      </c>
      <c r="H469" s="113" t="str">
        <f>IFERROR(__xludf.DUMMYFUNCTION("TRIM(REGEXREPLACE(D469, ""[0-9]+[a-f]?\."", """"))"),"")</f>
        <v/>
      </c>
      <c r="I469" s="113" t="str">
        <f>IFERROR(__xludf.DUMMYFUNCTION("TRIM(REGEXREPLACE(E469, ""[0-9]+[a-f]?\."", """"))"),"")</f>
        <v/>
      </c>
      <c r="J469" s="113" t="s">
        <v>2556</v>
      </c>
      <c r="K469" s="113" t="s">
        <v>2557</v>
      </c>
      <c r="L469" s="113" t="s">
        <v>2558</v>
      </c>
    </row>
    <row r="470" hidden="1">
      <c r="B470" s="119"/>
      <c r="C470" s="119"/>
      <c r="D470" s="119"/>
      <c r="E470" s="119"/>
      <c r="F470" s="110">
        <v>272.0</v>
      </c>
      <c r="G470" s="113" t="str">
        <f>IFERROR(__xludf.DUMMYFUNCTION("TRIM(REGEXREPLACE(C470, ""[0-9]+[a-f]?\."", """"))"),"")</f>
        <v/>
      </c>
      <c r="H470" s="113" t="str">
        <f>IFERROR(__xludf.DUMMYFUNCTION("TRIM(REGEXREPLACE(D470, ""[0-9]+[a-f]?\."", """"))"),"")</f>
        <v/>
      </c>
      <c r="I470" s="113" t="str">
        <f>IFERROR(__xludf.DUMMYFUNCTION("TRIM(REGEXREPLACE(E470, ""[0-9]+[a-f]?\."", """"))"),"")</f>
        <v/>
      </c>
      <c r="J470" s="113" t="s">
        <v>2563</v>
      </c>
      <c r="K470" s="113" t="s">
        <v>2564</v>
      </c>
      <c r="L470" s="113" t="s">
        <v>2565</v>
      </c>
    </row>
    <row r="471">
      <c r="A471" s="114" t="s">
        <v>1041</v>
      </c>
      <c r="B471" s="165" t="s">
        <v>2566</v>
      </c>
      <c r="C471" s="76" t="s">
        <v>2567</v>
      </c>
      <c r="D471" s="76" t="s">
        <v>2568</v>
      </c>
      <c r="E471" s="76" t="s">
        <v>2569</v>
      </c>
      <c r="F471" s="110">
        <v>168.0</v>
      </c>
      <c r="G471" s="113" t="str">
        <f>IFERROR(__xludf.DUMMYFUNCTION("TRIM(REGEXREPLACE(C471, ""[0-9]+[a-f]?\."", """"))"),"Women and men should have equal rights in making the decision to divorce.")</f>
        <v>Women and men should have equal rights in making the decision to divorce.</v>
      </c>
      <c r="H471" s="113" t="str">
        <f>IFERROR(__xludf.DUMMYFUNCTION("TRIM(REGEXREPLACE(D471, ""[0-9]+[a-f]?\."", """"))"),"Les femmes et les hommes devraient avoir des droits égaux dans la décision de divorcer.")</f>
        <v>Les femmes et les hommes devraient avoir des droits égaux dans la décision de divorcer.</v>
      </c>
      <c r="I471" s="113" t="str">
        <f>IFERROR(__xludf.DUMMYFUNCTION("TRIM(REGEXREPLACE(E471, ""[0-9]+[a-f]?\."", """"))"),"Yakamata a ce mata da maza suna da haƙƙi daidai wajen yanke shawarar rabuwar aure.")</f>
        <v>Yakamata a ce mata da maza suna da haƙƙi daidai wajen yanke shawarar rabuwar aure.</v>
      </c>
      <c r="J471" s="113" t="str">
        <f t="shared" ref="J471:J472" si="106">F471 &amp; ". " &amp;G471</f>
        <v>168. Women and men should have equal rights in making the decision to divorce.</v>
      </c>
      <c r="K471" s="113" t="str">
        <f t="shared" ref="K471:K472" si="107">F471 &amp; ". " &amp;H471</f>
        <v>168. Les femmes et les hommes devraient avoir des droits égaux dans la décision de divorcer.</v>
      </c>
      <c r="L471" s="113" t="str">
        <f t="shared" ref="L471:L472" si="108">F471 &amp; ". " &amp;I471</f>
        <v>168. Yakamata a ce mata da maza suna da haƙƙi daidai wajen yanke shawarar rabuwar aure.</v>
      </c>
    </row>
    <row r="472">
      <c r="A472" s="114" t="s">
        <v>1041</v>
      </c>
      <c r="B472" s="165" t="s">
        <v>2572</v>
      </c>
      <c r="C472" s="76" t="s">
        <v>1279</v>
      </c>
      <c r="D472" s="76" t="s">
        <v>1281</v>
      </c>
      <c r="E472" s="76" t="s">
        <v>1282</v>
      </c>
      <c r="F472" s="110">
        <v>169.0</v>
      </c>
      <c r="G472" s="113" t="str">
        <f>IFERROR(__xludf.DUMMYFUNCTION("TRIM(REGEXREPLACE(C472, ""[0-9]+[a-f]?\."", """"))"),"The law should not allow a man to marry more than one woman.")</f>
        <v>The law should not allow a man to marry more than one woman.</v>
      </c>
      <c r="H472" s="113" t="str">
        <f>IFERROR(__xludf.DUMMYFUNCTION("TRIM(REGEXREPLACE(D472, ""[0-9]+[a-f]?\."", """"))"),"La loi ne devrait pas permettre à un homme d'épouser plus d'une femme.")</f>
        <v>La loi ne devrait pas permettre à un homme d'épouser plus d'une femme.</v>
      </c>
      <c r="I472" s="113" t="str">
        <f>IFERROR(__xludf.DUMMYFUNCTION("TRIM(REGEXREPLACE(E472, ""[0-9]+[a-f]?\."", """"))"),"Yakamata doka ta hana ma namiji ya auri fiye da mace ɗaya.")</f>
        <v>Yakamata doka ta hana ma namiji ya auri fiye da mace ɗaya.</v>
      </c>
      <c r="J472" s="113" t="str">
        <f t="shared" si="106"/>
        <v>169. The law should not allow a man to marry more than one woman.</v>
      </c>
      <c r="K472" s="113" t="str">
        <f t="shared" si="107"/>
        <v>169. La loi ne devrait pas permettre à un homme d'épouser plus d'une femme.</v>
      </c>
      <c r="L472" s="113" t="str">
        <f t="shared" si="108"/>
        <v>169. Yakamata doka ta hana ma namiji ya auri fiye da mace ɗaya.</v>
      </c>
    </row>
    <row r="473" hidden="1">
      <c r="A473" s="150" t="s">
        <v>161</v>
      </c>
      <c r="B473" s="82" t="s">
        <v>2574</v>
      </c>
      <c r="C473" s="82"/>
      <c r="D473" s="83"/>
      <c r="E473" s="83"/>
      <c r="F473" s="110">
        <v>271.0</v>
      </c>
      <c r="G473" s="113" t="str">
        <f>IFERROR(__xludf.DUMMYFUNCTION("TRIM(REGEXREPLACE(C473, ""[0-9]+[a-f]?\."", """"))"),"")</f>
        <v/>
      </c>
      <c r="H473" s="113" t="str">
        <f>IFERROR(__xludf.DUMMYFUNCTION("TRIM(REGEXREPLACE(D473, ""[0-9]+[a-f]?\."", """"))"),"")</f>
        <v/>
      </c>
      <c r="I473" s="113" t="str">
        <f>IFERROR(__xludf.DUMMYFUNCTION("TRIM(REGEXREPLACE(E473, ""[0-9]+[a-f]?\."", """"))"),"")</f>
        <v/>
      </c>
      <c r="J473" s="113" t="s">
        <v>2575</v>
      </c>
      <c r="K473" s="113" t="s">
        <v>2576</v>
      </c>
      <c r="L473" s="113" t="s">
        <v>2577</v>
      </c>
    </row>
    <row r="474" hidden="1">
      <c r="B474" s="119"/>
      <c r="C474" s="119"/>
      <c r="D474" s="119"/>
      <c r="E474" s="119"/>
      <c r="F474" s="110">
        <v>275.0</v>
      </c>
      <c r="G474" s="113" t="str">
        <f>IFERROR(__xludf.DUMMYFUNCTION("TRIM(REGEXREPLACE(C474, ""[0-9]+[a-f]?\."", """"))"),"")</f>
        <v/>
      </c>
      <c r="H474" s="113" t="str">
        <f>IFERROR(__xludf.DUMMYFUNCTION("TRIM(REGEXREPLACE(D474, ""[0-9]+[a-f]?\."", """"))"),"")</f>
        <v/>
      </c>
      <c r="I474" s="113" t="str">
        <f>IFERROR(__xludf.DUMMYFUNCTION("TRIM(REGEXREPLACE(E474, ""[0-9]+[a-f]?\."", """"))"),"")</f>
        <v/>
      </c>
      <c r="J474" s="113" t="s">
        <v>2578</v>
      </c>
      <c r="K474" s="113" t="s">
        <v>2579</v>
      </c>
      <c r="L474" s="113" t="s">
        <v>2580</v>
      </c>
    </row>
    <row r="475" hidden="1">
      <c r="B475" s="119"/>
      <c r="C475" s="119"/>
      <c r="D475" s="119"/>
      <c r="E475" s="119"/>
      <c r="F475" s="110">
        <v>277.0</v>
      </c>
      <c r="G475" s="113" t="str">
        <f>IFERROR(__xludf.DUMMYFUNCTION("TRIM(REGEXREPLACE(C475, ""[0-9]+[a-f]?\."", """"))"),"")</f>
        <v/>
      </c>
      <c r="H475" s="113" t="str">
        <f>IFERROR(__xludf.DUMMYFUNCTION("TRIM(REGEXREPLACE(D475, ""[0-9]+[a-f]?\."", """"))"),"")</f>
        <v/>
      </c>
      <c r="I475" s="113" t="str">
        <f>IFERROR(__xludf.DUMMYFUNCTION("TRIM(REGEXREPLACE(E475, ""[0-9]+[a-f]?\."", """"))"),"")</f>
        <v/>
      </c>
    </row>
    <row r="476" hidden="1">
      <c r="B476" s="119"/>
      <c r="C476" s="119"/>
      <c r="D476" s="119"/>
      <c r="E476" s="119"/>
      <c r="F476" s="110">
        <v>276.0</v>
      </c>
      <c r="G476" s="113" t="str">
        <f>IFERROR(__xludf.DUMMYFUNCTION("TRIM(REGEXREPLACE(C476, ""[0-9]+[a-f]?\."", """"))"),"")</f>
        <v/>
      </c>
      <c r="H476" s="113" t="str">
        <f>IFERROR(__xludf.DUMMYFUNCTION("TRIM(REGEXREPLACE(D476, ""[0-9]+[a-f]?\."", """"))"),"")</f>
        <v/>
      </c>
      <c r="I476" s="113" t="str">
        <f>IFERROR(__xludf.DUMMYFUNCTION("TRIM(REGEXREPLACE(E476, ""[0-9]+[a-f]?\."", """"))"),"")</f>
        <v/>
      </c>
      <c r="J476" s="113" t="s">
        <v>2586</v>
      </c>
      <c r="K476" s="113" t="s">
        <v>2587</v>
      </c>
      <c r="L476" s="113" t="s">
        <v>2587</v>
      </c>
    </row>
    <row r="477" hidden="1">
      <c r="B477" s="119"/>
      <c r="C477" s="119"/>
      <c r="D477" s="119"/>
      <c r="E477" s="119"/>
      <c r="F477" s="110">
        <v>277.0</v>
      </c>
      <c r="G477" s="113" t="str">
        <f>IFERROR(__xludf.DUMMYFUNCTION("TRIM(REGEXREPLACE(C477, ""[0-9]+[a-f]?\."", """"))"),"")</f>
        <v/>
      </c>
      <c r="H477" s="113" t="str">
        <f>IFERROR(__xludf.DUMMYFUNCTION("TRIM(REGEXREPLACE(D477, ""[0-9]+[a-f]?\."", """"))"),"")</f>
        <v/>
      </c>
      <c r="I477" s="113" t="str">
        <f>IFERROR(__xludf.DUMMYFUNCTION("TRIM(REGEXREPLACE(E477, ""[0-9]+[a-f]?\."", """"))"),"")</f>
        <v/>
      </c>
      <c r="J477" s="113" t="s">
        <v>2589</v>
      </c>
      <c r="K477" s="113" t="s">
        <v>2590</v>
      </c>
      <c r="L477" s="113" t="s">
        <v>2590</v>
      </c>
    </row>
    <row r="478">
      <c r="A478" s="114" t="s">
        <v>541</v>
      </c>
      <c r="B478" s="165" t="s">
        <v>2591</v>
      </c>
      <c r="C478" s="76" t="s">
        <v>1285</v>
      </c>
      <c r="D478" s="76" t="s">
        <v>1286</v>
      </c>
      <c r="E478" s="76" t="s">
        <v>1287</v>
      </c>
      <c r="F478" s="110">
        <v>170.0</v>
      </c>
      <c r="G478" s="113" t="str">
        <f>IFERROR(__xludf.DUMMYFUNCTION("TRIM(REGEXREPLACE(C478, ""[0-9]+[a-f]?\."", """"))"),"In your opinion, is a husband justified in hitting or beating his wife if:")</f>
        <v>In your opinion, is a husband justified in hitting or beating his wife if:</v>
      </c>
      <c r="H478" s="113" t="str">
        <f>IFERROR(__xludf.DUMMYFUNCTION("TRIM(REGEXREPLACE(D478, ""[0-9]+[a-f]?\."", """"))"),"A votre avis, est-il justifié pour un mari de frapper ou de battre sa femme si :")</f>
        <v>A votre avis, est-il justifié pour un mari de frapper ou de battre sa femme si :</v>
      </c>
      <c r="I478" s="113" t="str">
        <f>IFERROR(__xludf.DUMMYFUNCTION("TRIM(REGEXREPLACE(E478, ""[0-9]+[a-f]?\."", """"))"),"A ganinku, ko ya cancanta miji ya bugi matarshi ko ya bata kashi idan:")</f>
        <v>A ganinku, ko ya cancanta miji ya bugi matarshi ko ya bata kashi idan:</v>
      </c>
      <c r="J478" s="113" t="str">
        <f t="shared" ref="J478:J479" si="109">F478 &amp; ". " &amp;G478</f>
        <v>170. In your opinion, is a husband justified in hitting or beating his wife if:</v>
      </c>
      <c r="K478" s="113" t="str">
        <f t="shared" ref="K478:K479" si="110">F478 &amp; ". " &amp;H478</f>
        <v>170. A votre avis, est-il justifié pour un mari de frapper ou de battre sa femme si :</v>
      </c>
      <c r="L478" s="113" t="str">
        <f t="shared" ref="L478:L479" si="111">F478 &amp; ". " &amp;I478</f>
        <v>170. A ganinku, ko ya cancanta miji ya bugi matarshi ko ya bata kashi idan:</v>
      </c>
    </row>
    <row r="479">
      <c r="A479" s="114" t="s">
        <v>541</v>
      </c>
      <c r="B479" s="165" t="s">
        <v>2599</v>
      </c>
      <c r="C479" s="76" t="s">
        <v>2600</v>
      </c>
      <c r="D479" s="76" t="s">
        <v>2601</v>
      </c>
      <c r="E479" s="76" t="s">
        <v>2606</v>
      </c>
      <c r="F479" s="110">
        <v>171.0</v>
      </c>
      <c r="G479" s="113" t="str">
        <f>IFERROR(__xludf.DUMMYFUNCTION("TRIM(REGEXREPLACE(C479, ""[0-9]+[a-f]?\."", """"))"),"She neglects the children")</f>
        <v>She neglects the children</v>
      </c>
      <c r="H479" s="113" t="str">
        <f>IFERROR(__xludf.DUMMYFUNCTION("TRIM(REGEXREPLACE(D479, ""[0-9]+[a-f]?\."", """"))"),"Elle néglige les enfants")</f>
        <v>Elle néglige les enfants</v>
      </c>
      <c r="I479" s="113" t="str">
        <f>IFERROR(__xludf.DUMMYFUNCTION("TRIM(REGEXREPLACE(E479, ""[0-9]+[a-f]?\."", """"))"),"Ta yi sakaci da yara")</f>
        <v>Ta yi sakaci da yara</v>
      </c>
      <c r="J479" s="113" t="str">
        <f t="shared" si="109"/>
        <v>171. She neglects the children</v>
      </c>
      <c r="K479" s="113" t="str">
        <f t="shared" si="110"/>
        <v>171. Elle néglige les enfants</v>
      </c>
      <c r="L479" s="113" t="str">
        <f t="shared" si="111"/>
        <v>171. Ta yi sakaci da yara</v>
      </c>
    </row>
    <row r="480" hidden="1">
      <c r="C480" s="119"/>
      <c r="D480" s="119"/>
      <c r="E480" s="119"/>
      <c r="F480" s="110">
        <v>283.0</v>
      </c>
      <c r="G480" s="113" t="str">
        <f>IFERROR(__xludf.DUMMYFUNCTION("TRIM(REGEXREPLACE(C480, ""[0-9]+[a-f]?\."", """"))"),"")</f>
        <v/>
      </c>
      <c r="H480" s="113" t="str">
        <f>IFERROR(__xludf.DUMMYFUNCTION("TRIM(REGEXREPLACE(D480, ""[0-9]+[a-f]?\."", """"))"),"")</f>
        <v/>
      </c>
      <c r="I480" s="113" t="str">
        <f>IFERROR(__xludf.DUMMYFUNCTION("TRIM(REGEXREPLACE(E480, ""[0-9]+[a-f]?\."", """"))"),"")</f>
        <v/>
      </c>
      <c r="J480" s="113" t="s">
        <v>2611</v>
      </c>
      <c r="K480" s="113" t="s">
        <v>2612</v>
      </c>
      <c r="L480" s="113" t="s">
        <v>2613</v>
      </c>
    </row>
    <row r="481">
      <c r="A481" s="114" t="s">
        <v>541</v>
      </c>
      <c r="B481" s="165" t="s">
        <v>2614</v>
      </c>
      <c r="C481" s="76" t="s">
        <v>2615</v>
      </c>
      <c r="D481" s="76" t="s">
        <v>2616</v>
      </c>
      <c r="E481" s="76" t="s">
        <v>2617</v>
      </c>
      <c r="F481" s="110">
        <v>172.0</v>
      </c>
      <c r="G481" s="113" t="str">
        <f>IFERROR(__xludf.DUMMYFUNCTION("TRIM(REGEXREPLACE(C481, ""[0-9]+[a-f]?\."", """"))"),"She argues with him")</f>
        <v>She argues with him</v>
      </c>
      <c r="H481" s="113" t="str">
        <f>IFERROR(__xludf.DUMMYFUNCTION("TRIM(REGEXREPLACE(D481, ""[0-9]+[a-f]?\."", """"))"),"Elle se dispute avec lui")</f>
        <v>Elle se dispute avec lui</v>
      </c>
      <c r="I481" s="113" t="str">
        <f>IFERROR(__xludf.DUMMYFUNCTION("TRIM(REGEXREPLACE(E481, ""[0-9]+[a-f]?\."", """"))"),"Ta yi mishi gardama")</f>
        <v>Ta yi mishi gardama</v>
      </c>
      <c r="J481" s="113" t="str">
        <f>F481 &amp; ". " &amp;G481</f>
        <v>172. She argues with him</v>
      </c>
      <c r="K481" s="113" t="str">
        <f>F481 &amp; ". " &amp;H481</f>
        <v>172. Elle se dispute avec lui</v>
      </c>
      <c r="L481" s="113" t="str">
        <f>F481 &amp; ". " &amp;I481</f>
        <v>172. Ta yi mishi gardama</v>
      </c>
    </row>
    <row r="482" hidden="1">
      <c r="C482" s="119"/>
      <c r="D482" s="119"/>
      <c r="E482" s="119"/>
      <c r="F482" s="110">
        <v>278.0</v>
      </c>
      <c r="G482" s="113" t="str">
        <f>IFERROR(__xludf.DUMMYFUNCTION("TRIM(REGEXREPLACE(C482, ""[0-9]+[a-f]?\."", """"))"),"")</f>
        <v/>
      </c>
      <c r="H482" s="113" t="str">
        <f>IFERROR(__xludf.DUMMYFUNCTION("TRIM(REGEXREPLACE(D482, ""[0-9]+[a-f]?\."", """"))"),"")</f>
        <v/>
      </c>
      <c r="I482" s="113" t="str">
        <f>IFERROR(__xludf.DUMMYFUNCTION("TRIM(REGEXREPLACE(E482, ""[0-9]+[a-f]?\."", """"))"),"")</f>
        <v/>
      </c>
    </row>
    <row r="483">
      <c r="A483" s="114" t="s">
        <v>541</v>
      </c>
      <c r="B483" s="165" t="s">
        <v>2622</v>
      </c>
      <c r="C483" s="76" t="s">
        <v>2623</v>
      </c>
      <c r="D483" s="76" t="s">
        <v>2624</v>
      </c>
      <c r="E483" s="76" t="s">
        <v>2625</v>
      </c>
      <c r="F483" s="110">
        <v>173.0</v>
      </c>
      <c r="G483" s="113" t="str">
        <f>IFERROR(__xludf.DUMMYFUNCTION("TRIM(REGEXREPLACE(C483, ""[0-9]+[a-f]?\."", """"))"),"She refuses to pray")</f>
        <v>She refuses to pray</v>
      </c>
      <c r="H483" s="113" t="str">
        <f>IFERROR(__xludf.DUMMYFUNCTION("TRIM(REGEXREPLACE(D483, ""[0-9]+[a-f]?\."", """"))"),"Elle refuse de prier")</f>
        <v>Elle refuse de prier</v>
      </c>
      <c r="I483" s="113" t="str">
        <f>IFERROR(__xludf.DUMMYFUNCTION("TRIM(REGEXREPLACE(E483, ""[0-9]+[a-f]?\."", """"))"),"Ta ƙi yin sallah")</f>
        <v>Ta ƙi yin sallah</v>
      </c>
      <c r="J483" s="113" t="str">
        <f t="shared" ref="J483:J484" si="112">F483 &amp; ". " &amp;G483</f>
        <v>173. She refuses to pray</v>
      </c>
      <c r="K483" s="113" t="str">
        <f t="shared" ref="K483:K484" si="113">F483 &amp; ". " &amp;H483</f>
        <v>173. Elle refuse de prier</v>
      </c>
      <c r="L483" s="113" t="str">
        <f t="shared" ref="L483:L484" si="114">F483 &amp; ". " &amp;I483</f>
        <v>173. Ta ƙi yin sallah</v>
      </c>
    </row>
    <row r="484">
      <c r="A484" s="114" t="s">
        <v>541</v>
      </c>
      <c r="B484" s="165" t="s">
        <v>2628</v>
      </c>
      <c r="C484" s="76" t="s">
        <v>2629</v>
      </c>
      <c r="D484" s="76" t="s">
        <v>2631</v>
      </c>
      <c r="E484" s="76" t="s">
        <v>2632</v>
      </c>
      <c r="F484" s="110">
        <v>174.0</v>
      </c>
      <c r="G484" s="113" t="str">
        <f>IFERROR(__xludf.DUMMYFUNCTION("TRIM(REGEXREPLACE(C484, ""[0-9]+[a-f]?\."", """"))"),"She burns the food")</f>
        <v>She burns the food</v>
      </c>
      <c r="H484" s="113" t="str">
        <f>IFERROR(__xludf.DUMMYFUNCTION("TRIM(REGEXREPLACE(D484, ""[0-9]+[a-f]?\."", """"))"),"Elle brûle la nourriture")</f>
        <v>Elle brûle la nourriture</v>
      </c>
      <c r="I484" s="113" t="str">
        <f>IFERROR(__xludf.DUMMYFUNCTION("TRIM(REGEXREPLACE(E484, ""[0-9]+[a-f]?\."", """"))"),"Ta ƙona abincin")</f>
        <v>Ta ƙona abincin</v>
      </c>
      <c r="J484" s="113" t="str">
        <f t="shared" si="112"/>
        <v>174. She burns the food</v>
      </c>
      <c r="K484" s="113" t="str">
        <f t="shared" si="113"/>
        <v>174. Elle brûle la nourriture</v>
      </c>
      <c r="L484" s="113" t="str">
        <f t="shared" si="114"/>
        <v>174. Ta ƙona abincin</v>
      </c>
    </row>
    <row r="485" hidden="1">
      <c r="A485" s="150" t="s">
        <v>343</v>
      </c>
      <c r="B485" s="83" t="s">
        <v>2574</v>
      </c>
      <c r="C485" s="83"/>
      <c r="D485" s="83"/>
      <c r="E485" s="83"/>
      <c r="F485" s="110">
        <v>277.0</v>
      </c>
      <c r="G485" s="113" t="str">
        <f>IFERROR(__xludf.DUMMYFUNCTION("TRIM(REGEXREPLACE(C485, ""[0-9]+[a-f]?\."", """"))"),"")</f>
        <v/>
      </c>
      <c r="H485" s="113" t="str">
        <f>IFERROR(__xludf.DUMMYFUNCTION("TRIM(REGEXREPLACE(D485, ""[0-9]+[a-f]?\."", """"))"),"")</f>
        <v/>
      </c>
      <c r="I485" s="113" t="str">
        <f>IFERROR(__xludf.DUMMYFUNCTION("TRIM(REGEXREPLACE(E485, ""[0-9]+[a-f]?\."", """"))"),"")</f>
        <v/>
      </c>
      <c r="J485" s="113" t="s">
        <v>2636</v>
      </c>
      <c r="K485" s="113" t="s">
        <v>2637</v>
      </c>
      <c r="L485" s="113" t="s">
        <v>2638</v>
      </c>
    </row>
    <row r="486" hidden="1">
      <c r="C486" s="119"/>
      <c r="D486" s="119"/>
      <c r="E486" s="119"/>
      <c r="F486" s="110">
        <v>280.0</v>
      </c>
      <c r="G486" s="113" t="str">
        <f>IFERROR(__xludf.DUMMYFUNCTION("TRIM(REGEXREPLACE(C486, ""[0-9]+[a-f]?\."", """"))"),"")</f>
        <v/>
      </c>
      <c r="H486" s="113" t="str">
        <f>IFERROR(__xludf.DUMMYFUNCTION("TRIM(REGEXREPLACE(D486, ""[0-9]+[a-f]?\."", """"))"),"")</f>
        <v/>
      </c>
      <c r="I486" s="113" t="str">
        <f>IFERROR(__xludf.DUMMYFUNCTION("TRIM(REGEXREPLACE(E486, ""[0-9]+[a-f]?\."", """"))"),"")</f>
        <v/>
      </c>
      <c r="J486" s="113" t="s">
        <v>2639</v>
      </c>
      <c r="K486" s="113" t="s">
        <v>2640</v>
      </c>
      <c r="L486" s="113" t="s">
        <v>2641</v>
      </c>
    </row>
    <row r="487">
      <c r="A487" s="114" t="s">
        <v>2642</v>
      </c>
      <c r="B487" s="165" t="s">
        <v>2643</v>
      </c>
      <c r="C487" s="76" t="s">
        <v>2645</v>
      </c>
      <c r="D487" s="76" t="s">
        <v>2647</v>
      </c>
      <c r="E487" s="76" t="s">
        <v>2649</v>
      </c>
      <c r="F487" s="110">
        <v>175.0</v>
      </c>
      <c r="G487" s="113" t="str">
        <f>IFERROR(__xludf.DUMMYFUNCTION("TRIM(REGEXREPLACE(C487,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487" s="113" t="str">
        <f>IFERROR(__xludf.DUMMYFUNCTION("TRIM(REGEXREPLACE(D487,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487" s="113" t="str">
        <f>IFERROR(__xludf.DUMMYFUNCTION("TRIM(REGEXREPLACE(E487,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487" s="113" t="str">
        <f t="shared" ref="J487:J488" si="115">F487 &amp; ". " &amp;G487</f>
        <v>175. I've asked you a lot of questions about your life in the past period in order to better understand your experiences. Is there anything else that has happened recently to you that has changed your life in an important way?</v>
      </c>
      <c r="K487" s="113" t="str">
        <f t="shared" ref="K487:K488" si="116">F487 &amp; ". " &amp;H487</f>
        <v>175. Je vous ai posé beaucoup de questions sur votre vie au cours de la période écoulée afin de mieux comprendre vos expériences. Y a-t-il autre chose qui vous est arrivé récemment qui a changé votre vie de manière importante ?</v>
      </c>
      <c r="L487" s="113" t="str">
        <f t="shared" ref="L487:L488" si="117">F487 &amp; ". " &amp;I487</f>
        <v>175. Na yi muku tambayoyi da yawa game da rayuwarku a cikin kwanakin da suka wuce don in gane yanda kuke tahiyar rayuwarku. Ko akwai wani abu da ya faru da ku cikin kwanan nan wanda ya kawo wani mahimmin canji ga rayuwarku ?</v>
      </c>
    </row>
    <row r="488">
      <c r="A488" s="162" t="s">
        <v>217</v>
      </c>
      <c r="B488" s="166" t="s">
        <v>2651</v>
      </c>
      <c r="C488" s="76" t="s">
        <v>2652</v>
      </c>
      <c r="D488" s="76" t="s">
        <v>2653</v>
      </c>
      <c r="E488" s="76" t="s">
        <v>2654</v>
      </c>
      <c r="F488" s="110">
        <v>176.0</v>
      </c>
      <c r="G488" s="113" t="str">
        <f>IFERROR(__xludf.DUMMYFUNCTION("TRIM(REGEXREPLACE(C488, ""[0-9]+[a-f]?\."", """"))"),"Enumerator: Briefly summarize the changes described by the respondent")</f>
        <v>Enumerator: Briefly summarize the changes described by the respondent</v>
      </c>
      <c r="H488" s="113" t="str">
        <f>IFERROR(__xludf.DUMMYFUNCTION("TRIM(REGEXREPLACE(D488, ""[0-9]+[a-f]?\."", """"))"),"Enquêteur : Résumez brièvement les changements décrits par le répondant")</f>
        <v>Enquêteur : Résumez brièvement les changements décrits par le répondant</v>
      </c>
      <c r="I488" s="113" t="str">
        <f>IFERROR(__xludf.DUMMYFUNCTION("TRIM(REGEXREPLACE(E488, ""[0-9]+[a-f]?\."", """"))"),"Ɗan bincike: A taƙaice rubuta canje-canjen da mai bada amsa ya gaya maka")</f>
        <v>Ɗan bincike: A taƙaice rubuta canje-canjen da mai bada amsa ya gaya maka</v>
      </c>
      <c r="J488" s="113" t="str">
        <f t="shared" si="115"/>
        <v>176. Enumerator: Briefly summarize the changes described by the respondent</v>
      </c>
      <c r="K488" s="113" t="str">
        <f t="shared" si="116"/>
        <v>176. Enquêteur : Résumez brièvement les changements décrits par le répondant</v>
      </c>
      <c r="L488" s="113" t="str">
        <f t="shared" si="117"/>
        <v>176. Ɗan bincike: A taƙaice rubuta canje-canjen da mai bada amsa ya gaya maka</v>
      </c>
    </row>
    <row r="489" hidden="1">
      <c r="C489" s="119"/>
      <c r="D489" s="119"/>
      <c r="E489" s="119"/>
      <c r="F489" s="110">
        <v>283.0</v>
      </c>
      <c r="G489" s="113" t="str">
        <f>IFERROR(__xludf.DUMMYFUNCTION("TRIM(REGEXREPLACE(C489, ""[0-9]+[a-f]?\."", """"))"),"")</f>
        <v/>
      </c>
      <c r="H489" s="113" t="str">
        <f>IFERROR(__xludf.DUMMYFUNCTION("TRIM(REGEXREPLACE(D489, ""[0-9]+[a-f]?\."", """"))"),"")</f>
        <v/>
      </c>
      <c r="I489" s="113" t="str">
        <f>IFERROR(__xludf.DUMMYFUNCTION("TRIM(REGEXREPLACE(E489, ""[0-9]+[a-f]?\."", """"))"),"")</f>
        <v/>
      </c>
    </row>
    <row r="490" hidden="1">
      <c r="C490" s="119"/>
      <c r="D490" s="119"/>
      <c r="E490" s="119"/>
      <c r="F490" s="110">
        <v>284.0</v>
      </c>
      <c r="G490" s="113" t="str">
        <f>IFERROR(__xludf.DUMMYFUNCTION("TRIM(REGEXREPLACE(C490, ""[0-9]+[a-f]?\."", """"))"),"")</f>
        <v/>
      </c>
      <c r="H490" s="113" t="str">
        <f>IFERROR(__xludf.DUMMYFUNCTION("TRIM(REGEXREPLACE(D490, ""[0-9]+[a-f]?\."", """"))"),"")</f>
        <v/>
      </c>
      <c r="I490" s="113" t="str">
        <f>IFERROR(__xludf.DUMMYFUNCTION("TRIM(REGEXREPLACE(E490, ""[0-9]+[a-f]?\."", """"))"),"")</f>
        <v/>
      </c>
    </row>
    <row r="491" hidden="1">
      <c r="C491" s="119"/>
      <c r="D491" s="119"/>
      <c r="E491" s="119"/>
      <c r="F491" s="110">
        <v>283.0</v>
      </c>
      <c r="G491" s="113" t="str">
        <f>IFERROR(__xludf.DUMMYFUNCTION("TRIM(REGEXREPLACE(C491, ""[0-9]+[a-f]?\."", """"))"),"")</f>
        <v/>
      </c>
      <c r="H491" s="113" t="str">
        <f>IFERROR(__xludf.DUMMYFUNCTION("TRIM(REGEXREPLACE(D491, ""[0-9]+[a-f]?\."", """"))"),"")</f>
        <v/>
      </c>
      <c r="I491" s="113" t="str">
        <f>IFERROR(__xludf.DUMMYFUNCTION("TRIM(REGEXREPLACE(E491, ""[0-9]+[a-f]?\."", """"))"),"")</f>
        <v/>
      </c>
      <c r="J491" s="113" t="s">
        <v>2656</v>
      </c>
      <c r="K491" s="113" t="s">
        <v>2657</v>
      </c>
      <c r="L491" s="113" t="s">
        <v>2658</v>
      </c>
    </row>
    <row r="492" hidden="1">
      <c r="C492" s="119"/>
      <c r="D492" s="119"/>
      <c r="E492" s="119"/>
      <c r="F492" s="110">
        <v>284.0</v>
      </c>
      <c r="G492" s="113" t="str">
        <f>IFERROR(__xludf.DUMMYFUNCTION("TRIM(REGEXREPLACE(C492, ""[0-9]+[a-f]?\."", """"))"),"")</f>
        <v/>
      </c>
      <c r="H492" s="113" t="str">
        <f>IFERROR(__xludf.DUMMYFUNCTION("TRIM(REGEXREPLACE(D492, ""[0-9]+[a-f]?\."", """"))"),"")</f>
        <v/>
      </c>
      <c r="I492" s="113" t="str">
        <f>IFERROR(__xludf.DUMMYFUNCTION("TRIM(REGEXREPLACE(E492, ""[0-9]+[a-f]?\."", """"))"),"")</f>
        <v/>
      </c>
      <c r="J492" s="113" t="s">
        <v>2660</v>
      </c>
      <c r="K492" s="113" t="s">
        <v>2661</v>
      </c>
      <c r="L492" s="113" t="s">
        <v>2662</v>
      </c>
    </row>
    <row r="493" hidden="1">
      <c r="A493" s="80" t="s">
        <v>343</v>
      </c>
      <c r="B493" s="81" t="s">
        <v>884</v>
      </c>
      <c r="C493" s="82"/>
      <c r="D493" s="83"/>
      <c r="E493" s="83"/>
      <c r="F493" s="110">
        <v>280.0</v>
      </c>
      <c r="G493" s="113" t="str">
        <f>IFERROR(__xludf.DUMMYFUNCTION("TRIM(REGEXREPLACE(C493, ""[0-9]+[a-f]?\."", """"))"),"")</f>
        <v/>
      </c>
      <c r="H493" s="113" t="str">
        <f>IFERROR(__xludf.DUMMYFUNCTION("TRIM(REGEXREPLACE(D493, ""[0-9]+[a-f]?\."", """"))"),"")</f>
        <v/>
      </c>
      <c r="I493" s="113" t="str">
        <f>IFERROR(__xludf.DUMMYFUNCTION("TRIM(REGEXREPLACE(E493, ""[0-9]+[a-f]?\."", """"))"),"")</f>
        <v/>
      </c>
      <c r="J493" s="113" t="s">
        <v>2667</v>
      </c>
      <c r="K493" s="113" t="s">
        <v>2668</v>
      </c>
      <c r="L493" s="113" t="s">
        <v>2669</v>
      </c>
    </row>
    <row r="494" hidden="1">
      <c r="A494" s="136" t="s">
        <v>150</v>
      </c>
      <c r="B494" s="249" t="s">
        <v>2670</v>
      </c>
      <c r="C494" s="172"/>
      <c r="D494" s="172"/>
      <c r="E494" s="172"/>
      <c r="F494" s="110">
        <v>281.0</v>
      </c>
      <c r="G494" s="113" t="str">
        <f>IFERROR(__xludf.DUMMYFUNCTION("TRIM(REGEXREPLACE(C494, ""[0-9]+[a-f]?\."", """"))"),"")</f>
        <v/>
      </c>
      <c r="H494" s="113" t="str">
        <f>IFERROR(__xludf.DUMMYFUNCTION("TRIM(REGEXREPLACE(D494, ""[0-9]+[a-f]?\."", """"))"),"")</f>
        <v/>
      </c>
      <c r="I494" s="113" t="str">
        <f>IFERROR(__xludf.DUMMYFUNCTION("TRIM(REGEXREPLACE(E494, ""[0-9]+[a-f]?\."", """"))"),"")</f>
        <v/>
      </c>
      <c r="J494" s="113" t="s">
        <v>2672</v>
      </c>
      <c r="K494" s="113" t="s">
        <v>2673</v>
      </c>
      <c r="L494" s="113" t="s">
        <v>2674</v>
      </c>
    </row>
    <row r="495" hidden="1">
      <c r="A495" s="136" t="s">
        <v>115</v>
      </c>
      <c r="B495" s="249" t="s">
        <v>2675</v>
      </c>
      <c r="C495" s="172"/>
      <c r="D495" s="172"/>
      <c r="E495" s="172"/>
      <c r="F495" s="110">
        <v>282.0</v>
      </c>
      <c r="G495" s="113" t="str">
        <f>IFERROR(__xludf.DUMMYFUNCTION("TRIM(REGEXREPLACE(C495, ""[0-9]+[a-f]?\."", """"))"),"")</f>
        <v/>
      </c>
      <c r="H495" s="113" t="str">
        <f>IFERROR(__xludf.DUMMYFUNCTION("TRIM(REGEXREPLACE(D495, ""[0-9]+[a-f]?\."", """"))"),"")</f>
        <v/>
      </c>
      <c r="I495" s="113" t="str">
        <f>IFERROR(__xludf.DUMMYFUNCTION("TRIM(REGEXREPLACE(E495, ""[0-9]+[a-f]?\."", """"))"),"")</f>
        <v/>
      </c>
      <c r="J495" s="113" t="s">
        <v>2677</v>
      </c>
      <c r="K495" s="113" t="s">
        <v>2679</v>
      </c>
      <c r="L495" s="113" t="s">
        <v>2681</v>
      </c>
    </row>
    <row r="496" hidden="1">
      <c r="A496" s="150" t="s">
        <v>161</v>
      </c>
      <c r="B496" s="82" t="s">
        <v>2682</v>
      </c>
      <c r="C496" s="82"/>
      <c r="D496" s="83"/>
      <c r="E496" s="83"/>
      <c r="F496" s="110">
        <v>283.0</v>
      </c>
      <c r="G496" s="113" t="str">
        <f>IFERROR(__xludf.DUMMYFUNCTION("TRIM(REGEXREPLACE(C496, ""[0-9]+[a-f]?\."", """"))"),"")</f>
        <v/>
      </c>
      <c r="H496" s="113" t="str">
        <f>IFERROR(__xludf.DUMMYFUNCTION("TRIM(REGEXREPLACE(D496, ""[0-9]+[a-f]?\."", """"))"),"")</f>
        <v/>
      </c>
      <c r="I496" s="113" t="str">
        <f>IFERROR(__xludf.DUMMYFUNCTION("TRIM(REGEXREPLACE(E496, ""[0-9]+[a-f]?\."", """"))"),"")</f>
        <v/>
      </c>
      <c r="J496" s="113" t="s">
        <v>2684</v>
      </c>
      <c r="K496" s="113" t="s">
        <v>2685</v>
      </c>
      <c r="L496" s="113" t="s">
        <v>2686</v>
      </c>
    </row>
    <row r="497">
      <c r="A497" s="114" t="s">
        <v>541</v>
      </c>
      <c r="B497" s="165" t="s">
        <v>2687</v>
      </c>
      <c r="C497" s="76" t="s">
        <v>2689</v>
      </c>
      <c r="D497" s="76" t="s">
        <v>2690</v>
      </c>
      <c r="E497" s="76" t="s">
        <v>2692</v>
      </c>
      <c r="F497" s="110">
        <v>177.0</v>
      </c>
      <c r="G497" s="113" t="str">
        <f>IFERROR(__xludf.DUMMYFUNCTION("TRIM(REGEXREPLACE(C497, ""[0-9]+[a-f]?\."", """"))"),"Now I would like to ask you questions about some other important aspects of a woman's life. I know that some of these questions are very personal. Let me assure you that your answers are completely confidential and will not be told to anyone.
 In the pa"&amp;"st three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H497" s="113" t="str">
        <f>IFERROR(__xludf.DUMMYFUNCTION("TRIM(REGEXREPLACE(D497, ""[0-9]+[a-f]?\."", """"))"),"Maintenant, j'aimerais vous poser des questions sur d'autres aspects importants de la vie d'une femme. Je sais que certaines de ces questions sont très personnelles. Permettez-moi de vous assurer que vos réponses sont entièrement confidentielles et ne ser"&amp;"ont divulguées à personne.
 Au cours des trois derniers mois, votre mari ou un autre membre de votre ménage vous a-t-il empêché de")</f>
        <v>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I497" s="113" t="str">
        <f>IFERROR(__xludf.DUMMYFUNCTION("TRIM(REGEXREPLACE(E497, ""[0-9]+[a-f]?\."", """"))"),"Yanzu zan ina son yi muku tambayoyi game da wasu muhimman al'amura na rayuwar mace. Na san cewa wasu daga cikin waɗannan tambayoyin na sirri ne. Bari in tabbatar muku cewa amsoshin ku na sirri ne gaba ɗaya kuma ba za a faɗa wa kowa ba.
 A cikin wata uku"&amp;" da suka wuce mijinku ko wani ɗan gidanku ya hana ku")</f>
        <v>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c r="J497" s="113" t="str">
        <f>F497 &amp; ". " &amp;G497</f>
        <v>177.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v>
      </c>
      <c r="K497" s="113" t="str">
        <f>F497 &amp; ". " &amp;H497</f>
        <v>177.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v>
      </c>
      <c r="L497" s="113" t="str">
        <f>F497 &amp; ". " &amp;I497</f>
        <v>177.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v>
      </c>
    </row>
    <row r="498" hidden="1">
      <c r="C498" s="119"/>
      <c r="D498" s="119"/>
      <c r="E498" s="119"/>
      <c r="F498" s="110">
        <v>287.0</v>
      </c>
      <c r="G498" s="113" t="str">
        <f>IFERROR(__xludf.DUMMYFUNCTION("TRIM(REGEXREPLACE(C498, ""[0-9]+[a-f]?\."", """"))"),"")</f>
        <v/>
      </c>
      <c r="H498" s="113" t="str">
        <f>IFERROR(__xludf.DUMMYFUNCTION("TRIM(REGEXREPLACE(D498, ""[0-9]+[a-f]?\."", """"))"),"")</f>
        <v/>
      </c>
      <c r="I498" s="113" t="str">
        <f>IFERROR(__xludf.DUMMYFUNCTION("TRIM(REGEXREPLACE(E498, ""[0-9]+[a-f]?\."", """"))"),"")</f>
        <v/>
      </c>
      <c r="J498" s="113" t="s">
        <v>2699</v>
      </c>
      <c r="K498" s="113" t="s">
        <v>2700</v>
      </c>
      <c r="L498" s="113" t="s">
        <v>2701</v>
      </c>
    </row>
    <row r="499" hidden="1">
      <c r="B499" s="119"/>
      <c r="C499" s="119"/>
      <c r="D499" s="119"/>
      <c r="E499" s="119"/>
      <c r="F499" s="110">
        <v>286.0</v>
      </c>
      <c r="G499" s="113" t="str">
        <f>IFERROR(__xludf.DUMMYFUNCTION("TRIM(REGEXREPLACE(C499, ""[0-9]+[a-f]?\."", """"))"),"")</f>
        <v/>
      </c>
      <c r="H499" s="113" t="str">
        <f>IFERROR(__xludf.DUMMYFUNCTION("TRIM(REGEXREPLACE(D499, ""[0-9]+[a-f]?\."", """"))"),"")</f>
        <v/>
      </c>
      <c r="I499" s="113" t="str">
        <f>IFERROR(__xludf.DUMMYFUNCTION("TRIM(REGEXREPLACE(E499, ""[0-9]+[a-f]?\."", """"))"),"")</f>
        <v/>
      </c>
      <c r="J499" s="113" t="s">
        <v>2705</v>
      </c>
      <c r="K499" s="113" t="s">
        <v>2706</v>
      </c>
      <c r="L499" s="113" t="s">
        <v>2706</v>
      </c>
    </row>
    <row r="500" hidden="1">
      <c r="C500" s="119"/>
      <c r="D500" s="119"/>
      <c r="E500" s="119"/>
      <c r="F500" s="110">
        <v>288.0</v>
      </c>
      <c r="G500" s="113" t="str">
        <f>IFERROR(__xludf.DUMMYFUNCTION("TRIM(REGEXREPLACE(C500, ""[0-9]+[a-f]?\."", """"))"),"")</f>
        <v/>
      </c>
      <c r="H500" s="113" t="str">
        <f>IFERROR(__xludf.DUMMYFUNCTION("TRIM(REGEXREPLACE(D500, ""[0-9]+[a-f]?\."", """"))"),"")</f>
        <v/>
      </c>
      <c r="I500" s="113" t="str">
        <f>IFERROR(__xludf.DUMMYFUNCTION("TRIM(REGEXREPLACE(E500, ""[0-9]+[a-f]?\."", """"))"),"")</f>
        <v/>
      </c>
      <c r="J500" s="113" t="s">
        <v>2707</v>
      </c>
      <c r="K500" s="113" t="s">
        <v>2708</v>
      </c>
      <c r="L500" s="113" t="s">
        <v>2710</v>
      </c>
    </row>
    <row r="501" hidden="1">
      <c r="B501" s="119"/>
      <c r="C501" s="119"/>
      <c r="D501" s="119"/>
      <c r="E501" s="119"/>
      <c r="F501" s="110">
        <v>287.0</v>
      </c>
      <c r="G501" s="113" t="str">
        <f>IFERROR(__xludf.DUMMYFUNCTION("TRIM(REGEXREPLACE(C501, ""[0-9]+[a-f]?\."", """"))"),"")</f>
        <v/>
      </c>
      <c r="H501" s="113" t="str">
        <f>IFERROR(__xludf.DUMMYFUNCTION("TRIM(REGEXREPLACE(D501, ""[0-9]+[a-f]?\."", """"))"),"")</f>
        <v/>
      </c>
      <c r="I501" s="113" t="str">
        <f>IFERROR(__xludf.DUMMYFUNCTION("TRIM(REGEXREPLACE(E501, ""[0-9]+[a-f]?\."", """"))"),"")</f>
        <v/>
      </c>
    </row>
    <row r="502" hidden="1">
      <c r="B502" s="119"/>
      <c r="C502" s="119"/>
      <c r="D502" s="119"/>
      <c r="E502" s="119"/>
      <c r="F502" s="110">
        <v>288.0</v>
      </c>
      <c r="G502" s="113" t="str">
        <f>IFERROR(__xludf.DUMMYFUNCTION("TRIM(REGEXREPLACE(C502, ""[0-9]+[a-f]?\."", """"))"),"")</f>
        <v/>
      </c>
      <c r="H502" s="113" t="str">
        <f>IFERROR(__xludf.DUMMYFUNCTION("TRIM(REGEXREPLACE(D502, ""[0-9]+[a-f]?\."", """"))"),"")</f>
        <v/>
      </c>
      <c r="I502" s="113" t="str">
        <f>IFERROR(__xludf.DUMMYFUNCTION("TRIM(REGEXREPLACE(E502, ""[0-9]+[a-f]?\."", """"))"),"")</f>
        <v/>
      </c>
    </row>
    <row r="503">
      <c r="A503" s="114" t="s">
        <v>541</v>
      </c>
      <c r="B503" s="165" t="s">
        <v>2711</v>
      </c>
      <c r="C503" s="76" t="s">
        <v>2712</v>
      </c>
      <c r="D503" s="76" t="s">
        <v>2713</v>
      </c>
      <c r="E503" s="76" t="s">
        <v>2714</v>
      </c>
      <c r="F503" s="110">
        <v>178.0</v>
      </c>
      <c r="G503" s="113" t="str">
        <f>IFERROR(__xludf.DUMMYFUNCTION("TRIM(REGEXREPLACE(C503, ""[0-9]+[a-f]?\."", """"))"),"visiting your family or friends?")</f>
        <v>visiting your family or friends?</v>
      </c>
      <c r="H503" s="113" t="str">
        <f>IFERROR(__xludf.DUMMYFUNCTION("TRIM(REGEXREPLACE(D503, ""[0-9]+[a-f]?\."", """"))"),"rendre visite à votre famille ou à vos amis ?")</f>
        <v>rendre visite à votre famille ou à vos amis ?</v>
      </c>
      <c r="I503" s="113" t="str">
        <f>IFERROR(__xludf.DUMMYFUNCTION("TRIM(REGEXREPLACE(E503, ""[0-9]+[a-f]?\."", """"))"),"ziyartar danginku ko abokananku?")</f>
        <v>ziyartar danginku ko abokananku?</v>
      </c>
      <c r="J503" s="113" t="str">
        <f t="shared" ref="J503:J504" si="118">F503 &amp; ". " &amp;G503</f>
        <v>178. visiting your family or friends?</v>
      </c>
      <c r="K503" s="113" t="str">
        <f t="shared" ref="K503:K504" si="119">F503 &amp; ". " &amp;H503</f>
        <v>178. rendre visite à votre famille ou à vos amis ?</v>
      </c>
      <c r="L503" s="113" t="str">
        <f t="shared" ref="L503:L504" si="120">F503 &amp; ". " &amp;I503</f>
        <v>178. ziyartar danginku ko abokananku?</v>
      </c>
    </row>
    <row r="504">
      <c r="A504" s="114" t="s">
        <v>541</v>
      </c>
      <c r="B504" s="165" t="s">
        <v>2715</v>
      </c>
      <c r="C504" s="76" t="s">
        <v>2716</v>
      </c>
      <c r="D504" s="76" t="s">
        <v>2717</v>
      </c>
      <c r="E504" s="76" t="s">
        <v>2718</v>
      </c>
      <c r="F504" s="110">
        <v>179.0</v>
      </c>
      <c r="G504" s="113" t="str">
        <f>IFERROR(__xludf.DUMMYFUNCTION("TRIM(REGEXREPLACE(C504, ""[0-9]+[a-f]?\."", """"))"),"working outside the household?")</f>
        <v>working outside the household?</v>
      </c>
      <c r="H504" s="113" t="str">
        <f>IFERROR(__xludf.DUMMYFUNCTION("TRIM(REGEXREPLACE(D504, ""[0-9]+[a-f]?\."", """"))"),"travailler en dehors du ménage ?")</f>
        <v>travailler en dehors du ménage ?</v>
      </c>
      <c r="I504" s="113" t="str">
        <f>IFERROR(__xludf.DUMMYFUNCTION("TRIM(REGEXREPLACE(E504, ""[0-9]+[a-f]?\."", """"))"),"aiki a wajen gidanku?")</f>
        <v>aiki a wajen gidanku?</v>
      </c>
      <c r="J504" s="113" t="str">
        <f t="shared" si="118"/>
        <v>179. working outside the household?</v>
      </c>
      <c r="K504" s="113" t="str">
        <f t="shared" si="119"/>
        <v>179. travailler en dehors du ménage ?</v>
      </c>
      <c r="L504" s="113" t="str">
        <f t="shared" si="120"/>
        <v>179. aiki a wajen gidanku?</v>
      </c>
    </row>
    <row r="505" hidden="1">
      <c r="A505" s="150" t="s">
        <v>343</v>
      </c>
      <c r="B505" s="83" t="s">
        <v>2682</v>
      </c>
      <c r="C505" s="83"/>
      <c r="D505" s="83"/>
      <c r="E505" s="83"/>
      <c r="F505" s="110">
        <v>287.0</v>
      </c>
      <c r="G505" s="113" t="str">
        <f>IFERROR(__xludf.DUMMYFUNCTION("TRIM(REGEXREPLACE(C505, ""[0-9]+[a-f]?\."", """"))"),"")</f>
        <v/>
      </c>
      <c r="H505" s="113" t="str">
        <f>IFERROR(__xludf.DUMMYFUNCTION("TRIM(REGEXREPLACE(D505, ""[0-9]+[a-f]?\."", """"))"),"")</f>
        <v/>
      </c>
      <c r="I505" s="113" t="str">
        <f>IFERROR(__xludf.DUMMYFUNCTION("TRIM(REGEXREPLACE(E505, ""[0-9]+[a-f]?\."", """"))"),"")</f>
        <v/>
      </c>
      <c r="J505" s="113" t="s">
        <v>2719</v>
      </c>
      <c r="K505" s="113" t="s">
        <v>2720</v>
      </c>
      <c r="L505" s="113" t="s">
        <v>2721</v>
      </c>
    </row>
    <row r="506" hidden="1">
      <c r="B506" s="119"/>
      <c r="C506" s="119"/>
      <c r="D506" s="119"/>
      <c r="E506" s="119"/>
      <c r="F506" s="110">
        <v>290.0</v>
      </c>
      <c r="G506" s="113" t="str">
        <f>IFERROR(__xludf.DUMMYFUNCTION("TRIM(REGEXREPLACE(C506, ""[0-9]+[a-f]?\."", """"))"),"")</f>
        <v/>
      </c>
      <c r="H506" s="113" t="str">
        <f>IFERROR(__xludf.DUMMYFUNCTION("TRIM(REGEXREPLACE(D506, ""[0-9]+[a-f]?\."", """"))"),"")</f>
        <v/>
      </c>
      <c r="I506" s="113" t="str">
        <f>IFERROR(__xludf.DUMMYFUNCTION("TRIM(REGEXREPLACE(E506, ""[0-9]+[a-f]?\."", """"))"),"")</f>
        <v/>
      </c>
      <c r="J506" s="113" t="s">
        <v>2724</v>
      </c>
      <c r="K506" s="113" t="s">
        <v>2725</v>
      </c>
      <c r="L506" s="113" t="s">
        <v>2727</v>
      </c>
    </row>
    <row r="507" hidden="1">
      <c r="B507" s="119"/>
      <c r="C507" s="119"/>
      <c r="D507" s="119"/>
      <c r="E507" s="119"/>
      <c r="F507" s="110">
        <v>291.0</v>
      </c>
      <c r="G507" s="113" t="str">
        <f>IFERROR(__xludf.DUMMYFUNCTION("TRIM(REGEXREPLACE(C507, ""[0-9]+[a-f]?\."", """"))"),"")</f>
        <v/>
      </c>
      <c r="H507" s="113" t="str">
        <f>IFERROR(__xludf.DUMMYFUNCTION("TRIM(REGEXREPLACE(D507, ""[0-9]+[a-f]?\."", """"))"),"")</f>
        <v/>
      </c>
      <c r="I507" s="113" t="str">
        <f>IFERROR(__xludf.DUMMYFUNCTION("TRIM(REGEXREPLACE(E507, ""[0-9]+[a-f]?\."", """"))"),"")</f>
        <v/>
      </c>
      <c r="J507" s="113" t="s">
        <v>2732</v>
      </c>
      <c r="K507" s="113" t="s">
        <v>2733</v>
      </c>
      <c r="L507" s="113" t="s">
        <v>2734</v>
      </c>
    </row>
    <row r="508" hidden="1">
      <c r="B508" s="119"/>
      <c r="C508" s="119"/>
      <c r="D508" s="119"/>
      <c r="E508" s="119"/>
      <c r="F508" s="110">
        <v>293.0</v>
      </c>
      <c r="G508" s="113" t="str">
        <f>IFERROR(__xludf.DUMMYFUNCTION("TRIM(REGEXREPLACE(C508, ""[0-9]+[a-f]?\."", """"))"),"")</f>
        <v/>
      </c>
      <c r="H508" s="113" t="str">
        <f>IFERROR(__xludf.DUMMYFUNCTION("TRIM(REGEXREPLACE(D508, ""[0-9]+[a-f]?\."", """"))"),"")</f>
        <v/>
      </c>
      <c r="I508" s="113" t="str">
        <f>IFERROR(__xludf.DUMMYFUNCTION("TRIM(REGEXREPLACE(E508, ""[0-9]+[a-f]?\."", """"))"),"")</f>
        <v/>
      </c>
    </row>
    <row r="509" hidden="1">
      <c r="B509" s="119"/>
      <c r="C509" s="119"/>
      <c r="D509" s="119"/>
      <c r="E509" s="119"/>
      <c r="F509" s="110">
        <v>292.0</v>
      </c>
      <c r="G509" s="113" t="str">
        <f>IFERROR(__xludf.DUMMYFUNCTION("TRIM(REGEXREPLACE(C509, ""[0-9]+[a-f]?\."", """"))"),"")</f>
        <v/>
      </c>
      <c r="H509" s="113" t="str">
        <f>IFERROR(__xludf.DUMMYFUNCTION("TRIM(REGEXREPLACE(D509, ""[0-9]+[a-f]?\."", """"))"),"")</f>
        <v/>
      </c>
      <c r="I509" s="113" t="str">
        <f>IFERROR(__xludf.DUMMYFUNCTION("TRIM(REGEXREPLACE(E509, ""[0-9]+[a-f]?\."", """"))"),"")</f>
        <v/>
      </c>
      <c r="J509" s="113" t="s">
        <v>2735</v>
      </c>
      <c r="K509" s="113" t="s">
        <v>2736</v>
      </c>
      <c r="L509" s="113" t="s">
        <v>2737</v>
      </c>
    </row>
    <row r="510" hidden="1">
      <c r="A510" s="150"/>
      <c r="B510" s="82"/>
      <c r="C510" s="82"/>
      <c r="D510" s="83"/>
      <c r="E510" s="83"/>
      <c r="F510" s="110">
        <v>288.0</v>
      </c>
      <c r="G510" s="113" t="str">
        <f>IFERROR(__xludf.DUMMYFUNCTION("TRIM(REGEXREPLACE(C510, ""[0-9]+[a-f]?\."", """"))"),"")</f>
        <v/>
      </c>
      <c r="H510" s="113" t="str">
        <f>IFERROR(__xludf.DUMMYFUNCTION("TRIM(REGEXREPLACE(D510, ""[0-9]+[a-f]?\."", """"))"),"")</f>
        <v/>
      </c>
      <c r="I510" s="113" t="str">
        <f>IFERROR(__xludf.DUMMYFUNCTION("TRIM(REGEXREPLACE(E510, ""[0-9]+[a-f]?\."", """"))"),"")</f>
        <v/>
      </c>
      <c r="J510" s="113" t="s">
        <v>2740</v>
      </c>
      <c r="K510" s="113" t="s">
        <v>2742</v>
      </c>
      <c r="L510" s="113" t="s">
        <v>2743</v>
      </c>
    </row>
    <row r="511" hidden="1">
      <c r="B511" s="119"/>
      <c r="C511" s="119"/>
      <c r="D511" s="119"/>
      <c r="E511" s="119"/>
      <c r="F511" s="110">
        <v>294.0</v>
      </c>
      <c r="G511" s="113" t="str">
        <f>IFERROR(__xludf.DUMMYFUNCTION("TRIM(REGEXREPLACE(C511, ""[0-9]+[a-f]?\."", """"))"),"")</f>
        <v/>
      </c>
      <c r="H511" s="113" t="str">
        <f>IFERROR(__xludf.DUMMYFUNCTION("TRIM(REGEXREPLACE(D511, ""[0-9]+[a-f]?\."", """"))"),"")</f>
        <v/>
      </c>
      <c r="I511" s="113" t="str">
        <f>IFERROR(__xludf.DUMMYFUNCTION("TRIM(REGEXREPLACE(E511, ""[0-9]+[a-f]?\."", """"))"),"")</f>
        <v/>
      </c>
      <c r="J511" s="113" t="s">
        <v>2745</v>
      </c>
      <c r="K511" s="113" t="s">
        <v>2746</v>
      </c>
      <c r="L511" s="113" t="s">
        <v>2747</v>
      </c>
    </row>
    <row r="512" hidden="1">
      <c r="A512" s="141"/>
      <c r="B512" s="141"/>
      <c r="C512" s="141"/>
      <c r="D512" s="141"/>
      <c r="E512" s="141"/>
      <c r="F512" s="110">
        <v>289.0</v>
      </c>
      <c r="G512" s="113" t="str">
        <f>IFERROR(__xludf.DUMMYFUNCTION("TRIM(REGEXREPLACE(C512, ""[0-9]+[a-f]?\."", """"))"),"")</f>
        <v/>
      </c>
      <c r="H512" s="113" t="str">
        <f>IFERROR(__xludf.DUMMYFUNCTION("TRIM(REGEXREPLACE(D512, ""[0-9]+[a-f]?\."", """"))"),"")</f>
        <v/>
      </c>
      <c r="I512" s="113" t="str">
        <f>IFERROR(__xludf.DUMMYFUNCTION("TRIM(REGEXREPLACE(E512, ""[0-9]+[a-f]?\."", """"))"),"")</f>
        <v/>
      </c>
      <c r="J512" s="113" t="s">
        <v>2748</v>
      </c>
      <c r="K512" s="113" t="s">
        <v>2749</v>
      </c>
      <c r="L512" s="113" t="s">
        <v>2749</v>
      </c>
    </row>
    <row r="513" hidden="1">
      <c r="A513" s="150" t="s">
        <v>161</v>
      </c>
      <c r="B513" s="82" t="s">
        <v>2750</v>
      </c>
      <c r="C513" s="82"/>
      <c r="D513" s="83"/>
      <c r="E513" s="83"/>
      <c r="F513" s="110">
        <v>290.0</v>
      </c>
      <c r="G513" s="113" t="str">
        <f>IFERROR(__xludf.DUMMYFUNCTION("TRIM(REGEXREPLACE(C513, ""[0-9]+[a-f]?\."", """"))"),"")</f>
        <v/>
      </c>
      <c r="H513" s="113" t="str">
        <f>IFERROR(__xludf.DUMMYFUNCTION("TRIM(REGEXREPLACE(D513, ""[0-9]+[a-f]?\."", """"))"),"")</f>
        <v/>
      </c>
      <c r="I513" s="113" t="str">
        <f>IFERROR(__xludf.DUMMYFUNCTION("TRIM(REGEXREPLACE(E513, ""[0-9]+[a-f]?\."", """"))"),"")</f>
        <v/>
      </c>
      <c r="J513" s="113" t="s">
        <v>2751</v>
      </c>
      <c r="K513" s="113" t="s">
        <v>2752</v>
      </c>
      <c r="L513" s="113" t="s">
        <v>2753</v>
      </c>
    </row>
    <row r="514" hidden="1">
      <c r="A514" s="150" t="s">
        <v>161</v>
      </c>
      <c r="B514" s="82" t="s">
        <v>2754</v>
      </c>
      <c r="C514" s="82"/>
      <c r="D514" s="83"/>
      <c r="E514" s="83"/>
      <c r="F514" s="110">
        <v>291.0</v>
      </c>
      <c r="G514" s="113" t="str">
        <f>IFERROR(__xludf.DUMMYFUNCTION("TRIM(REGEXREPLACE(C514, ""[0-9]+[a-f]?\."", """"))"),"")</f>
        <v/>
      </c>
      <c r="H514" s="113" t="str">
        <f>IFERROR(__xludf.DUMMYFUNCTION("TRIM(REGEXREPLACE(D514, ""[0-9]+[a-f]?\."", """"))"),"")</f>
        <v/>
      </c>
      <c r="I514" s="113" t="str">
        <f>IFERROR(__xludf.DUMMYFUNCTION("TRIM(REGEXREPLACE(E514, ""[0-9]+[a-f]?\."", """"))"),"")</f>
        <v/>
      </c>
      <c r="J514" s="113" t="s">
        <v>2755</v>
      </c>
      <c r="K514" s="113" t="s">
        <v>2756</v>
      </c>
      <c r="L514" s="113" t="s">
        <v>2758</v>
      </c>
    </row>
    <row r="515">
      <c r="A515" s="121" t="s">
        <v>44</v>
      </c>
      <c r="B515" s="157" t="s">
        <v>2759</v>
      </c>
      <c r="C515" s="76" t="s">
        <v>2760</v>
      </c>
      <c r="D515" s="76">
        <v>178.0</v>
      </c>
      <c r="E515" s="76">
        <v>178.0</v>
      </c>
      <c r="F515" s="110">
        <v>180.0</v>
      </c>
      <c r="G515" s="113" t="str">
        <f>IFERROR(__xludf.DUMMYFUNCTION("TRIM(REGEXREPLACE(C515, ""[0-9]+[a-f]?\."", """"))"),"The next set of questions are for married women only")</f>
        <v>The next set of questions are for married women only</v>
      </c>
      <c r="H515" s="113" t="str">
        <f>IFERROR(__xludf.DUMMYFUNCTION("TRIM(REGEXREPLACE(D515, ""[0-9]+[a-f]?\."", """"))"),"#VALUE!")</f>
        <v>#VALUE!</v>
      </c>
      <c r="I515" s="113" t="str">
        <f>IFERROR(__xludf.DUMMYFUNCTION("TRIM(REGEXREPLACE(E515, ""[0-9]+[a-f]?\."", """"))"),"#VALUE!")</f>
        <v>#VALUE!</v>
      </c>
      <c r="J515" s="113" t="str">
        <f t="shared" ref="J515:J516" si="121">F515 &amp; ". " &amp;G515</f>
        <v>180. The next set of questions are for married women only</v>
      </c>
      <c r="K515" s="113" t="str">
        <f t="shared" ref="K515:K516" si="122">F515 &amp; ". " &amp;H515</f>
        <v>#VALUE!</v>
      </c>
      <c r="L515" s="113" t="str">
        <f t="shared" ref="L515:L516" si="123">F515 &amp; ". " &amp;I515</f>
        <v>#VALUE!</v>
      </c>
    </row>
    <row r="516">
      <c r="A516" s="114" t="s">
        <v>979</v>
      </c>
      <c r="B516" s="165" t="s">
        <v>2762</v>
      </c>
      <c r="C516" s="76" t="s">
        <v>2763</v>
      </c>
      <c r="D516" s="76" t="s">
        <v>2764</v>
      </c>
      <c r="E516" s="76" t="s">
        <v>2765</v>
      </c>
      <c r="F516" s="110">
        <v>181.0</v>
      </c>
      <c r="G516" s="113" t="str">
        <f>IFERROR(__xludf.DUMMYFUNCTION("TRIM(REGEXREPLACE(C516,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516" s="113" t="str">
        <f>IFERROR(__xludf.DUMMYFUNCTION("TRIM(REGEXREPLACE(D516,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516" s="113" t="str">
        <f>IFERROR(__xludf.DUMMYFUNCTION("TRIM(REGEXREPLACE(E516,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516" s="113" t="str">
        <f t="shared" si="121"/>
        <v>181. When two people marry or live together, they share both good and bad moments. In your relationship with your husband/partner do the following happen frequently, only sometimes, or never?</v>
      </c>
      <c r="K516" s="113" t="str">
        <f t="shared" si="122"/>
        <v>181. Lorsque deux personnes se marient ou vivent ensemble, elles partagent de bons et de mauvais moments. Dans votre relation avec votre mari/partenaire, les situations suivantes se produisent-elles a quelle frequence?</v>
      </c>
      <c r="L516" s="113" t="str">
        <f t="shared" si="123"/>
        <v>181. Idan mutum biyu suka yi aure ko suna zaune tare, suna raba lokutta masu daɗi da marasa daɗi. A cikin zamantakewarku da mijinki/abokin zaman, ko waɗannan abubuwan suna faruwa kai-aka?</v>
      </c>
    </row>
    <row r="517" hidden="1">
      <c r="B517" s="119"/>
      <c r="C517" s="119"/>
      <c r="D517" s="119"/>
      <c r="E517" s="119"/>
      <c r="F517" s="110">
        <v>296.0</v>
      </c>
      <c r="G517" s="113" t="str">
        <f>IFERROR(__xludf.DUMMYFUNCTION("TRIM(REGEXREPLACE(C517, ""[0-9]+[a-f]?\."", """"))"),"")</f>
        <v/>
      </c>
      <c r="H517" s="113" t="str">
        <f>IFERROR(__xludf.DUMMYFUNCTION("TRIM(REGEXREPLACE(D517, ""[0-9]+[a-f]?\."", """"))"),"")</f>
        <v/>
      </c>
      <c r="I517" s="113" t="str">
        <f>IFERROR(__xludf.DUMMYFUNCTION("TRIM(REGEXREPLACE(E517, ""[0-9]+[a-f]?\."", """"))"),"")</f>
        <v/>
      </c>
      <c r="J517" s="113" t="s">
        <v>2767</v>
      </c>
      <c r="K517" s="113" t="s">
        <v>2768</v>
      </c>
      <c r="L517" s="113" t="s">
        <v>2769</v>
      </c>
    </row>
    <row r="518">
      <c r="A518" s="114" t="s">
        <v>979</v>
      </c>
      <c r="B518" s="165" t="s">
        <v>2770</v>
      </c>
      <c r="C518" s="76" t="s">
        <v>1450</v>
      </c>
      <c r="D518" s="76" t="s">
        <v>1451</v>
      </c>
      <c r="E518" s="76" t="s">
        <v>1452</v>
      </c>
      <c r="F518" s="110">
        <v>182.0</v>
      </c>
      <c r="G518" s="113" t="str">
        <f>IFERROR(__xludf.DUMMYFUNCTION("TRIM(REGEXREPLACE(C518, ""[0-9]+[a-f]?\."", """"))"),"He is affectionnate with you")</f>
        <v>He is affectionnate with you</v>
      </c>
      <c r="H518" s="113" t="str">
        <f>IFERROR(__xludf.DUMMYFUNCTION("TRIM(REGEXREPLACE(D518, ""[0-9]+[a-f]?\."", """"))"),"Il est affectueux avec vous")</f>
        <v>Il est affectueux avec vous</v>
      </c>
      <c r="I518" s="113" t="str">
        <f>IFERROR(__xludf.DUMMYFUNCTION("TRIM(REGEXREPLACE(E518, ""[0-9]+[a-f]?\."", """"))"),"Yana nuna muku soyayya")</f>
        <v>Yana nuna muku soyayya</v>
      </c>
      <c r="J518" s="113" t="str">
        <f t="shared" ref="J518:J519" si="124">F518 &amp; ". " &amp;G518</f>
        <v>182. He is affectionnate with you</v>
      </c>
      <c r="K518" s="113" t="str">
        <f t="shared" ref="K518:K519" si="125">F518 &amp; ". " &amp;H518</f>
        <v>182. Il est affectueux avec vous</v>
      </c>
      <c r="L518" s="113" t="str">
        <f t="shared" ref="L518:L519" si="126">F518 &amp; ". " &amp;I518</f>
        <v>182. Yana nuna muku soyayya</v>
      </c>
    </row>
    <row r="519">
      <c r="A519" s="114" t="s">
        <v>979</v>
      </c>
      <c r="B519" s="165" t="s">
        <v>2771</v>
      </c>
      <c r="C519" s="76" t="s">
        <v>1460</v>
      </c>
      <c r="D519" s="76" t="s">
        <v>1461</v>
      </c>
      <c r="E519" s="76" t="s">
        <v>1462</v>
      </c>
      <c r="F519" s="110">
        <v>183.0</v>
      </c>
      <c r="G519" s="113" t="str">
        <f>IFERROR(__xludf.DUMMYFUNCTION("TRIM(REGEXREPLACE(C519, ""[0-9]+[a-f]?\."", """"))"),"He respects you and your wishes")</f>
        <v>He respects you and your wishes</v>
      </c>
      <c r="H519" s="113" t="str">
        <f>IFERROR(__xludf.DUMMYFUNCTION("TRIM(REGEXREPLACE(D519, ""[0-9]+[a-f]?\."", """"))"),"Il vous respecte et respecte vos souhaits")</f>
        <v>Il vous respecte et respecte vos souhaits</v>
      </c>
      <c r="I519" s="113" t="str">
        <f>IFERROR(__xludf.DUMMYFUNCTION("TRIM(REGEXREPLACE(E519, ""[0-9]+[a-f]?\."", """"))"),"Yana girmama ku kuma ya na girmama buƙatuntu")</f>
        <v>Yana girmama ku kuma ya na girmama buƙatuntu</v>
      </c>
      <c r="J519" s="113" t="str">
        <f t="shared" si="124"/>
        <v>183. He respects you and your wishes</v>
      </c>
      <c r="K519" s="113" t="str">
        <f t="shared" si="125"/>
        <v>183. Il vous respecte et respecte vos souhaits</v>
      </c>
      <c r="L519" s="113" t="str">
        <f t="shared" si="126"/>
        <v>183. Yana girmama ku kuma ya na girmama buƙatuntu</v>
      </c>
    </row>
    <row r="520" hidden="1">
      <c r="A520" s="150" t="s">
        <v>343</v>
      </c>
      <c r="B520" s="83" t="s">
        <v>2754</v>
      </c>
      <c r="C520" s="83"/>
      <c r="D520" s="83"/>
      <c r="E520" s="83"/>
      <c r="F520" s="110">
        <v>296.0</v>
      </c>
      <c r="G520" s="113" t="str">
        <f>IFERROR(__xludf.DUMMYFUNCTION("TRIM(REGEXREPLACE(C520, ""[0-9]+[a-f]?\."", """"))"),"")</f>
        <v/>
      </c>
      <c r="H520" s="113" t="str">
        <f>IFERROR(__xludf.DUMMYFUNCTION("TRIM(REGEXREPLACE(D520, ""[0-9]+[a-f]?\."", """"))"),"")</f>
        <v/>
      </c>
      <c r="I520" s="113" t="str">
        <f>IFERROR(__xludf.DUMMYFUNCTION("TRIM(REGEXREPLACE(E520, ""[0-9]+[a-f]?\."", """"))"),"")</f>
        <v/>
      </c>
      <c r="J520" s="113" t="s">
        <v>2775</v>
      </c>
      <c r="K520" s="113" t="s">
        <v>2776</v>
      </c>
      <c r="L520" s="113" t="s">
        <v>2777</v>
      </c>
    </row>
    <row r="521" hidden="1">
      <c r="B521" s="119"/>
      <c r="C521" s="119"/>
      <c r="D521" s="119"/>
      <c r="E521" s="119"/>
      <c r="F521" s="110">
        <v>298.0</v>
      </c>
      <c r="G521" s="113" t="str">
        <f>IFERROR(__xludf.DUMMYFUNCTION("TRIM(REGEXREPLACE(C521, ""[0-9]+[a-f]?\."", """"))"),"")</f>
        <v/>
      </c>
      <c r="H521" s="113" t="str">
        <f>IFERROR(__xludf.DUMMYFUNCTION("TRIM(REGEXREPLACE(D521, ""[0-9]+[a-f]?\."", """"))"),"")</f>
        <v/>
      </c>
      <c r="I521" s="113" t="str">
        <f>IFERROR(__xludf.DUMMYFUNCTION("TRIM(REGEXREPLACE(E521, ""[0-9]+[a-f]?\."", """"))"),"")</f>
        <v/>
      </c>
    </row>
    <row r="522" hidden="1">
      <c r="B522" s="119"/>
      <c r="C522" s="119"/>
      <c r="D522" s="119"/>
      <c r="E522" s="119"/>
      <c r="F522" s="110">
        <v>297.0</v>
      </c>
      <c r="G522" s="113" t="str">
        <f>IFERROR(__xludf.DUMMYFUNCTION("TRIM(REGEXREPLACE(C522, ""[0-9]+[a-f]?\."", """"))"),"")</f>
        <v/>
      </c>
      <c r="H522" s="113" t="str">
        <f>IFERROR(__xludf.DUMMYFUNCTION("TRIM(REGEXREPLACE(D522, ""[0-9]+[a-f]?\."", """"))"),"")</f>
        <v/>
      </c>
      <c r="I522" s="113" t="str">
        <f>IFERROR(__xludf.DUMMYFUNCTION("TRIM(REGEXREPLACE(E522, ""[0-9]+[a-f]?\."", """"))"),"")</f>
        <v/>
      </c>
      <c r="J522" s="113" t="s">
        <v>2778</v>
      </c>
      <c r="K522" s="113" t="s">
        <v>2779</v>
      </c>
      <c r="L522" s="113" t="s">
        <v>2780</v>
      </c>
    </row>
    <row r="523" hidden="1">
      <c r="B523" s="119"/>
      <c r="C523" s="119"/>
      <c r="D523" s="119"/>
      <c r="E523" s="119"/>
      <c r="F523" s="110">
        <v>298.0</v>
      </c>
      <c r="G523" s="113" t="str">
        <f>IFERROR(__xludf.DUMMYFUNCTION("TRIM(REGEXREPLACE(C523, ""[0-9]+[a-f]?\."", """"))"),"")</f>
        <v/>
      </c>
      <c r="H523" s="113" t="str">
        <f>IFERROR(__xludf.DUMMYFUNCTION("TRIM(REGEXREPLACE(D523, ""[0-9]+[a-f]?\."", """"))"),"")</f>
        <v/>
      </c>
      <c r="I523" s="113" t="str">
        <f>IFERROR(__xludf.DUMMYFUNCTION("TRIM(REGEXREPLACE(E523, ""[0-9]+[a-f]?\."", """"))"),"")</f>
        <v/>
      </c>
      <c r="J523" s="113" t="s">
        <v>2783</v>
      </c>
      <c r="K523" s="113" t="s">
        <v>2785</v>
      </c>
      <c r="L523" s="113" t="s">
        <v>2786</v>
      </c>
    </row>
    <row r="524" hidden="1">
      <c r="B524" s="119"/>
      <c r="C524" s="119"/>
      <c r="D524" s="119"/>
      <c r="E524" s="119"/>
      <c r="F524" s="110">
        <v>299.0</v>
      </c>
      <c r="G524" s="113" t="str">
        <f>IFERROR(__xludf.DUMMYFUNCTION("TRIM(REGEXREPLACE(C524, ""[0-9]+[a-f]?\."", """"))"),"")</f>
        <v/>
      </c>
      <c r="H524" s="113" t="str">
        <f>IFERROR(__xludf.DUMMYFUNCTION("TRIM(REGEXREPLACE(D524, ""[0-9]+[a-f]?\."", """"))"),"")</f>
        <v/>
      </c>
      <c r="I524" s="113" t="str">
        <f>IFERROR(__xludf.DUMMYFUNCTION("TRIM(REGEXREPLACE(E524, ""[0-9]+[a-f]?\."", """"))"),"")</f>
        <v/>
      </c>
      <c r="J524" s="113" t="s">
        <v>2787</v>
      </c>
      <c r="K524" s="113" t="s">
        <v>2788</v>
      </c>
      <c r="L524" s="113" t="s">
        <v>2789</v>
      </c>
    </row>
    <row r="525" hidden="1">
      <c r="C525" s="119"/>
      <c r="D525" s="119"/>
      <c r="E525" s="119"/>
      <c r="F525" s="110">
        <v>305.0</v>
      </c>
      <c r="G525" s="113" t="str">
        <f>IFERROR(__xludf.DUMMYFUNCTION("TRIM(REGEXREPLACE(C525, ""[0-9]+[a-f]?\."", """"))"),"")</f>
        <v/>
      </c>
      <c r="H525" s="113" t="str">
        <f>IFERROR(__xludf.DUMMYFUNCTION("TRIM(REGEXREPLACE(D525, ""[0-9]+[a-f]?\."", """"))"),"")</f>
        <v/>
      </c>
      <c r="I525" s="113" t="str">
        <f>IFERROR(__xludf.DUMMYFUNCTION("TRIM(REGEXREPLACE(E525, ""[0-9]+[a-f]?\."", """"))"),"")</f>
        <v/>
      </c>
      <c r="J525" s="113" t="s">
        <v>2790</v>
      </c>
      <c r="K525" s="113" t="s">
        <v>2791</v>
      </c>
      <c r="L525" s="113" t="s">
        <v>2792</v>
      </c>
    </row>
    <row r="526" hidden="1">
      <c r="C526" s="119"/>
      <c r="D526" s="119"/>
      <c r="E526" s="119"/>
      <c r="F526" s="110">
        <v>306.0</v>
      </c>
      <c r="G526" s="113" t="str">
        <f>IFERROR(__xludf.DUMMYFUNCTION("TRIM(REGEXREPLACE(C526, ""[0-9]+[a-f]?\."", """"))"),"")</f>
        <v/>
      </c>
      <c r="H526" s="113" t="str">
        <f>IFERROR(__xludf.DUMMYFUNCTION("TRIM(REGEXREPLACE(D526, ""[0-9]+[a-f]?\."", """"))"),"")</f>
        <v/>
      </c>
      <c r="I526" s="113" t="str">
        <f>IFERROR(__xludf.DUMMYFUNCTION("TRIM(REGEXREPLACE(E526, ""[0-9]+[a-f]?\."", """"))"),"")</f>
        <v/>
      </c>
      <c r="J526" s="113" t="s">
        <v>2793</v>
      </c>
      <c r="K526" s="113" t="s">
        <v>2794</v>
      </c>
      <c r="L526" s="113" t="s">
        <v>2796</v>
      </c>
    </row>
    <row r="527" hidden="1">
      <c r="A527" s="150" t="s">
        <v>161</v>
      </c>
      <c r="B527" s="82" t="s">
        <v>2799</v>
      </c>
      <c r="C527" s="82"/>
      <c r="D527" s="83"/>
      <c r="E527" s="83"/>
      <c r="F527" s="110">
        <v>297.0</v>
      </c>
      <c r="G527" s="113" t="str">
        <f>IFERROR(__xludf.DUMMYFUNCTION("TRIM(REGEXREPLACE(C527, ""[0-9]+[a-f]?\."", """"))"),"")</f>
        <v/>
      </c>
      <c r="H527" s="113" t="str">
        <f>IFERROR(__xludf.DUMMYFUNCTION("TRIM(REGEXREPLACE(D527, ""[0-9]+[a-f]?\."", """"))"),"")</f>
        <v/>
      </c>
      <c r="I527" s="113" t="str">
        <f>IFERROR(__xludf.DUMMYFUNCTION("TRIM(REGEXREPLACE(E527, ""[0-9]+[a-f]?\."", """"))"),"")</f>
        <v/>
      </c>
      <c r="J527" s="113" t="s">
        <v>2800</v>
      </c>
      <c r="K527" s="113" t="s">
        <v>2801</v>
      </c>
      <c r="L527" s="113" t="s">
        <v>2802</v>
      </c>
    </row>
    <row r="528">
      <c r="A528" s="114" t="s">
        <v>680</v>
      </c>
      <c r="B528" s="165" t="s">
        <v>2803</v>
      </c>
      <c r="C528" s="76" t="s">
        <v>2804</v>
      </c>
      <c r="D528" s="76" t="s">
        <v>2805</v>
      </c>
      <c r="E528" s="76" t="s">
        <v>2806</v>
      </c>
      <c r="F528" s="110">
        <v>184.0</v>
      </c>
      <c r="G528" s="113" t="str">
        <f>IFERROR(__xludf.DUMMYFUNCTION("TRIM(REGEXREPLACE(C528,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528" s="113" t="str">
        <f>IFERROR(__xludf.DUMMYFUNCTION("TRIM(REGEXREPLACE(D528,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528" s="113" t="str">
        <f>IFERROR(__xludf.DUMMYFUNCTION("TRIM(REGEXREPLACE(E528,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528" s="113" t="str">
        <f>F528 &amp; ". " &amp;G528</f>
        <v>184. Now I am going to ask you about some situations which happen to some women. Please tell me if these apply to your relationship with your husband?</v>
      </c>
      <c r="K528" s="113" t="str">
        <f>F528 &amp; ". " &amp;H528</f>
        <v>184. Maintenant, je vais vous poser des questions sur certaines situations qui arrivent à certaines femmes. Veuillez me dire si cela s'applique à votre relation avec votre mari ?</v>
      </c>
      <c r="L528" s="113" t="str">
        <f>F528 &amp; ". " &amp;I528</f>
        <v>184. To, yanzu zan tambaye ku game da wasu al’amura da suke faruwa ga wasu mata. Ko kun gaya mini idan waɗannan sun shafi zamantakewarku da mijinku?</v>
      </c>
    </row>
    <row r="529" hidden="1">
      <c r="C529" s="119"/>
      <c r="D529" s="119"/>
      <c r="E529" s="119"/>
      <c r="F529" s="110">
        <v>309.0</v>
      </c>
      <c r="G529" s="113" t="str">
        <f>IFERROR(__xludf.DUMMYFUNCTION("TRIM(REGEXREPLACE(C529, ""[0-9]+[a-f]?\."", """"))"),"")</f>
        <v/>
      </c>
      <c r="H529" s="113" t="str">
        <f>IFERROR(__xludf.DUMMYFUNCTION("TRIM(REGEXREPLACE(D529, ""[0-9]+[a-f]?\."", """"))"),"")</f>
        <v/>
      </c>
      <c r="I529" s="113" t="str">
        <f>IFERROR(__xludf.DUMMYFUNCTION("TRIM(REGEXREPLACE(E529, ""[0-9]+[a-f]?\."", """"))"),"")</f>
        <v/>
      </c>
      <c r="J529" s="113" t="s">
        <v>2810</v>
      </c>
      <c r="K529" s="113" t="s">
        <v>2811</v>
      </c>
      <c r="L529" s="113" t="s">
        <v>2812</v>
      </c>
    </row>
    <row r="530" hidden="1"/>
    <row r="531" hidden="1"/>
    <row r="532" hidden="1">
      <c r="B532" s="119"/>
      <c r="C532" s="119"/>
      <c r="D532" s="119"/>
      <c r="E532" s="119"/>
      <c r="F532" s="110">
        <v>300.0</v>
      </c>
      <c r="G532" s="113" t="str">
        <f>IFERROR(__xludf.DUMMYFUNCTION("TRIM(REGEXREPLACE(C532, ""[0-9]+[a-f]?\."", """"))"),"")</f>
        <v/>
      </c>
      <c r="H532" s="113" t="str">
        <f>IFERROR(__xludf.DUMMYFUNCTION("TRIM(REGEXREPLACE(D532, ""[0-9]+[a-f]?\."", """"))"),"")</f>
        <v/>
      </c>
      <c r="I532" s="113" t="str">
        <f>IFERROR(__xludf.DUMMYFUNCTION("TRIM(REGEXREPLACE(E532, ""[0-9]+[a-f]?\."", """"))"),"")</f>
        <v/>
      </c>
    </row>
    <row r="533">
      <c r="A533" s="114" t="s">
        <v>680</v>
      </c>
      <c r="B533" s="165" t="s">
        <v>2813</v>
      </c>
      <c r="C533" s="76" t="s">
        <v>1503</v>
      </c>
      <c r="D533" s="76" t="s">
        <v>1505</v>
      </c>
      <c r="E533" s="76" t="s">
        <v>1506</v>
      </c>
      <c r="F533" s="110">
        <v>185.0</v>
      </c>
      <c r="G533" s="113" t="str">
        <f>IFERROR(__xludf.DUMMYFUNCTION("TRIM(REGEXREPLACE(C533, ""[0-9]+[a-f]?\."", """"))"),"He does not trust your fidelty")</f>
        <v>He does not trust your fidelty</v>
      </c>
      <c r="H533" s="113" t="str">
        <f>IFERROR(__xludf.DUMMYFUNCTION("TRIM(REGEXREPLACE(D533, ""[0-9]+[a-f]?\."", """"))"),"Il est jaloux et vous montre qu'il n’a pas confiance en vous ?")</f>
        <v>Il est jaloux et vous montre qu'il n’a pas confiance en vous ?</v>
      </c>
      <c r="I533" s="113" t="str">
        <f>IFERROR(__xludf.DUMMYFUNCTION("TRIM(REGEXREPLACE(E533, ""[0-9]+[a-f]?\."", """"))"),"Yana zargin ku kullum da nuna rashin yarda?")</f>
        <v>Yana zargin ku kullum da nuna rashin yarda?</v>
      </c>
      <c r="J533" s="113" t="str">
        <f t="shared" ref="J533:J535" si="127">F533 &amp; ". " &amp;G533</f>
        <v>185. He does not trust your fidelty</v>
      </c>
      <c r="K533" s="113" t="str">
        <f t="shared" ref="K533:K535" si="128">F533 &amp; ". " &amp;H533</f>
        <v>185. Il est jaloux et vous montre qu'il n’a pas confiance en vous ?</v>
      </c>
      <c r="L533" s="113" t="str">
        <f t="shared" ref="L533:L535" si="129">F533 &amp; ". " &amp;I533</f>
        <v>185. Yana zargin ku kullum da nuna rashin yarda?</v>
      </c>
    </row>
    <row r="534">
      <c r="A534" s="114" t="s">
        <v>680</v>
      </c>
      <c r="B534" s="165" t="s">
        <v>2817</v>
      </c>
      <c r="C534" s="76" t="s">
        <v>1514</v>
      </c>
      <c r="D534" s="76" t="s">
        <v>1515</v>
      </c>
      <c r="E534" s="76" t="s">
        <v>1517</v>
      </c>
      <c r="F534" s="110">
        <v>186.0</v>
      </c>
      <c r="G534" s="113" t="str">
        <f>IFERROR(__xludf.DUMMYFUNCTION("TRIM(REGEXREPLACE(C534, ""[0-9]+[a-f]?\."", """"))"),"He (does/did) not permit you to meet your girl friends?")</f>
        <v>He (does/did) not permit you to meet your girl friends?</v>
      </c>
      <c r="H534" s="113" t="str">
        <f>IFERROR(__xludf.DUMMYFUNCTION("TRIM(REGEXREPLACE(D534, ""[0-9]+[a-f]?\."", """"))"),"Il ne vous a pas permis de rencontrer vos copines ?")</f>
        <v>Il ne vous a pas permis de rencontrer vos copines ?</v>
      </c>
      <c r="I534" s="113" t="str">
        <f>IFERROR(__xludf.DUMMYFUNCTION("TRIM(REGEXREPLACE(E534, ""[0-9]+[a-f]?\."", """"))"),"Bai baku izinin ganin ƙawayenku ba?")</f>
        <v>Bai baku izinin ganin ƙawayenku ba?</v>
      </c>
      <c r="J534" s="113" t="str">
        <f t="shared" si="127"/>
        <v>186. He (does/did) not permit you to meet your girl friends?</v>
      </c>
      <c r="K534" s="113" t="str">
        <f t="shared" si="128"/>
        <v>186. Il ne vous a pas permis de rencontrer vos copines ?</v>
      </c>
      <c r="L534" s="113" t="str">
        <f t="shared" si="129"/>
        <v>186. Bai baku izinin ganin ƙawayenku ba?</v>
      </c>
    </row>
    <row r="535">
      <c r="A535" s="114" t="s">
        <v>680</v>
      </c>
      <c r="B535" s="165" t="s">
        <v>2818</v>
      </c>
      <c r="C535" s="76" t="s">
        <v>2819</v>
      </c>
      <c r="D535" s="76" t="s">
        <v>2820</v>
      </c>
      <c r="E535" s="76" t="s">
        <v>2821</v>
      </c>
      <c r="F535" s="110">
        <v>187.0</v>
      </c>
      <c r="G535" s="113" t="str">
        <f>IFERROR(__xludf.DUMMYFUNCTION("TRIM(REGEXREPLACE(C535, ""[0-9]+[a-f]?\."", """"))"),"He (tries/tried) to limit your contact with your family?")</f>
        <v>He (tries/tried) to limit your contact with your family?</v>
      </c>
      <c r="H535" s="113" t="str">
        <f>IFERROR(__xludf.DUMMYFUNCTION("TRIM(REGEXREPLACE(D535, ""[0-9]+[a-f]?\."", """"))"),"Il essaie de limiter vos contacts avec votre famille ?")</f>
        <v>Il essaie de limiter vos contacts avec votre famille ?</v>
      </c>
      <c r="I535" s="113" t="str">
        <f>IFERROR(__xludf.DUMMYFUNCTION("TRIM(REGEXREPLACE(E535, ""[0-9]+[a-f]?\."", """"))"),"Ya na ƙoƙarin ya rage hulɗarku da danginku?")</f>
        <v>Ya na ƙoƙarin ya rage hulɗarku da danginku?</v>
      </c>
      <c r="J535" s="113" t="str">
        <f t="shared" si="127"/>
        <v>187. He (tries/tried) to limit your contact with your family?</v>
      </c>
      <c r="K535" s="113" t="str">
        <f t="shared" si="128"/>
        <v>187. Il essaie de limiter vos contacts avec votre famille ?</v>
      </c>
      <c r="L535" s="113" t="str">
        <f t="shared" si="129"/>
        <v>187. Ya na ƙoƙarin ya rage hulɗarku da danginku?</v>
      </c>
    </row>
    <row r="536" hidden="1"/>
    <row r="537" hidden="1">
      <c r="B537" s="119"/>
      <c r="C537" s="119"/>
      <c r="D537" s="119"/>
      <c r="E537" s="119"/>
      <c r="F537" s="110">
        <v>302.0</v>
      </c>
      <c r="G537" s="113" t="str">
        <f>IFERROR(__xludf.DUMMYFUNCTION("TRIM(REGEXREPLACE(C537, ""[0-9]+[a-f]?\."", """"))"),"")</f>
        <v/>
      </c>
      <c r="H537" s="113" t="str">
        <f>IFERROR(__xludf.DUMMYFUNCTION("TRIM(REGEXREPLACE(D537, ""[0-9]+[a-f]?\."", """"))"),"")</f>
        <v/>
      </c>
      <c r="I537" s="113" t="str">
        <f>IFERROR(__xludf.DUMMYFUNCTION("TRIM(REGEXREPLACE(E537, ""[0-9]+[a-f]?\."", """"))"),"")</f>
        <v/>
      </c>
    </row>
    <row r="538" hidden="1">
      <c r="B538" s="119"/>
      <c r="C538" s="119"/>
      <c r="D538" s="119"/>
      <c r="E538" s="119"/>
      <c r="F538" s="110">
        <v>303.0</v>
      </c>
      <c r="G538" s="113" t="str">
        <f>IFERROR(__xludf.DUMMYFUNCTION("TRIM(REGEXREPLACE(C538, ""[0-9]+[a-f]?\."", """"))"),"")</f>
        <v/>
      </c>
      <c r="H538" s="113" t="str">
        <f>IFERROR(__xludf.DUMMYFUNCTION("TRIM(REGEXREPLACE(D538, ""[0-9]+[a-f]?\."", """"))"),"")</f>
        <v/>
      </c>
      <c r="I538" s="113" t="str">
        <f>IFERROR(__xludf.DUMMYFUNCTION("TRIM(REGEXREPLACE(E538, ""[0-9]+[a-f]?\."", """"))"),"")</f>
        <v/>
      </c>
    </row>
    <row r="539" hidden="1">
      <c r="B539" s="119"/>
      <c r="C539" s="119"/>
      <c r="D539" s="119"/>
      <c r="E539" s="119"/>
      <c r="F539" s="110">
        <v>302.0</v>
      </c>
      <c r="G539" s="113" t="str">
        <f>IFERROR(__xludf.DUMMYFUNCTION("TRIM(REGEXREPLACE(C539, ""[0-9]+[a-f]?\."", """"))"),"")</f>
        <v/>
      </c>
      <c r="H539" s="113" t="str">
        <f>IFERROR(__xludf.DUMMYFUNCTION("TRIM(REGEXREPLACE(D539, ""[0-9]+[a-f]?\."", """"))"),"")</f>
        <v/>
      </c>
      <c r="I539" s="113" t="str">
        <f>IFERROR(__xludf.DUMMYFUNCTION("TRIM(REGEXREPLACE(E539, ""[0-9]+[a-f]?\."", """"))"),"")</f>
        <v/>
      </c>
      <c r="J539" s="113" t="s">
        <v>2823</v>
      </c>
      <c r="K539" s="113" t="s">
        <v>2824</v>
      </c>
      <c r="L539" s="113" t="s">
        <v>2825</v>
      </c>
    </row>
    <row r="540" hidden="1">
      <c r="B540" s="119"/>
      <c r="C540" s="119"/>
      <c r="D540" s="119"/>
      <c r="E540" s="119"/>
      <c r="F540" s="110">
        <v>303.0</v>
      </c>
      <c r="G540" s="113" t="str">
        <f>IFERROR(__xludf.DUMMYFUNCTION("TRIM(REGEXREPLACE(C540, ""[0-9]+[a-f]?\."", """"))"),"")</f>
        <v/>
      </c>
      <c r="H540" s="113" t="str">
        <f>IFERROR(__xludf.DUMMYFUNCTION("TRIM(REGEXREPLACE(D540, ""[0-9]+[a-f]?\."", """"))"),"")</f>
        <v/>
      </c>
      <c r="I540" s="113" t="str">
        <f>IFERROR(__xludf.DUMMYFUNCTION("TRIM(REGEXREPLACE(E540, ""[0-9]+[a-f]?\."", """"))"),"")</f>
        <v/>
      </c>
      <c r="J540" s="113" t="s">
        <v>2828</v>
      </c>
      <c r="K540" s="113" t="s">
        <v>2829</v>
      </c>
      <c r="L540" s="113" t="s">
        <v>2830</v>
      </c>
    </row>
    <row r="541" hidden="1">
      <c r="B541" s="119"/>
      <c r="C541" s="119"/>
      <c r="D541" s="119"/>
      <c r="E541" s="119"/>
      <c r="F541" s="110">
        <v>304.0</v>
      </c>
      <c r="G541" s="113" t="str">
        <f>IFERROR(__xludf.DUMMYFUNCTION("TRIM(REGEXREPLACE(C541, ""[0-9]+[a-f]?\."", """"))"),"")</f>
        <v/>
      </c>
      <c r="H541" s="113" t="str">
        <f>IFERROR(__xludf.DUMMYFUNCTION("TRIM(REGEXREPLACE(D541, ""[0-9]+[a-f]?\."", """"))"),"")</f>
        <v/>
      </c>
      <c r="I541" s="113" t="str">
        <f>IFERROR(__xludf.DUMMYFUNCTION("TRIM(REGEXREPLACE(E541, ""[0-9]+[a-f]?\."", """"))"),"")</f>
        <v/>
      </c>
      <c r="J541" s="113" t="s">
        <v>2831</v>
      </c>
      <c r="K541" s="113" t="s">
        <v>2832</v>
      </c>
      <c r="L541" s="113" t="s">
        <v>2833</v>
      </c>
    </row>
    <row r="542" hidden="1"/>
    <row r="543" hidden="1">
      <c r="B543" s="119"/>
      <c r="C543" s="119"/>
      <c r="D543" s="119"/>
      <c r="E543" s="119"/>
      <c r="F543" s="110">
        <v>305.0</v>
      </c>
      <c r="G543" s="113" t="str">
        <f>IFERROR(__xludf.DUMMYFUNCTION("TRIM(REGEXREPLACE(C543, ""[0-9]+[a-f]?\."", """"))"),"")</f>
        <v/>
      </c>
      <c r="H543" s="113" t="str">
        <f>IFERROR(__xludf.DUMMYFUNCTION("TRIM(REGEXREPLACE(D543, ""[0-9]+[a-f]?\."", """"))"),"")</f>
        <v/>
      </c>
      <c r="I543" s="113" t="str">
        <f>IFERROR(__xludf.DUMMYFUNCTION("TRIM(REGEXREPLACE(E543, ""[0-9]+[a-f]?\."", """"))"),"")</f>
        <v/>
      </c>
    </row>
    <row r="544" hidden="1">
      <c r="B544" s="119"/>
      <c r="C544" s="119"/>
      <c r="D544" s="119"/>
      <c r="E544" s="119"/>
      <c r="F544" s="110">
        <v>306.0</v>
      </c>
      <c r="G544" s="113" t="str">
        <f>IFERROR(__xludf.DUMMYFUNCTION("TRIM(REGEXREPLACE(C544, ""[0-9]+[a-f]?\."", """"))"),"")</f>
        <v/>
      </c>
      <c r="H544" s="113" t="str">
        <f>IFERROR(__xludf.DUMMYFUNCTION("TRIM(REGEXREPLACE(D544, ""[0-9]+[a-f]?\."", """"))"),"")</f>
        <v/>
      </c>
      <c r="I544" s="113" t="str">
        <f>IFERROR(__xludf.DUMMYFUNCTION("TRIM(REGEXREPLACE(E544, ""[0-9]+[a-f]?\."", """"))"),"")</f>
        <v/>
      </c>
    </row>
    <row r="545" hidden="1">
      <c r="A545" s="150" t="s">
        <v>343</v>
      </c>
      <c r="B545" s="83" t="s">
        <v>2799</v>
      </c>
      <c r="C545" s="83"/>
      <c r="D545" s="83"/>
      <c r="E545" s="83"/>
      <c r="F545" s="110">
        <v>302.0</v>
      </c>
      <c r="G545" s="113" t="str">
        <f>IFERROR(__xludf.DUMMYFUNCTION("TRIM(REGEXREPLACE(C545, ""[0-9]+[a-f]?\."", """"))"),"")</f>
        <v/>
      </c>
      <c r="H545" s="113" t="str">
        <f>IFERROR(__xludf.DUMMYFUNCTION("TRIM(REGEXREPLACE(D545, ""[0-9]+[a-f]?\."", """"))"),"")</f>
        <v/>
      </c>
      <c r="I545" s="113" t="str">
        <f>IFERROR(__xludf.DUMMYFUNCTION("TRIM(REGEXREPLACE(E545, ""[0-9]+[a-f]?\."", """"))"),"")</f>
        <v/>
      </c>
      <c r="J545" s="113" t="s">
        <v>2839</v>
      </c>
      <c r="K545" s="113" t="s">
        <v>2841</v>
      </c>
      <c r="L545" s="113" t="s">
        <v>2842</v>
      </c>
    </row>
    <row r="546" hidden="1">
      <c r="A546" s="150" t="s">
        <v>161</v>
      </c>
      <c r="B546" s="82" t="s">
        <v>2843</v>
      </c>
      <c r="C546" s="82"/>
      <c r="D546" s="83"/>
      <c r="E546" s="83"/>
      <c r="F546" s="110">
        <v>303.0</v>
      </c>
      <c r="G546" s="113" t="str">
        <f>IFERROR(__xludf.DUMMYFUNCTION("TRIM(REGEXREPLACE(C546, ""[0-9]+[a-f]?\."", """"))"),"")</f>
        <v/>
      </c>
      <c r="H546" s="113" t="str">
        <f>IFERROR(__xludf.DUMMYFUNCTION("TRIM(REGEXREPLACE(D546, ""[0-9]+[a-f]?\."", """"))"),"")</f>
        <v/>
      </c>
      <c r="I546" s="113" t="str">
        <f>IFERROR(__xludf.DUMMYFUNCTION("TRIM(REGEXREPLACE(E546, ""[0-9]+[a-f]?\."", """"))"),"")</f>
        <v/>
      </c>
      <c r="J546" s="113" t="s">
        <v>2844</v>
      </c>
      <c r="K546" s="113" t="s">
        <v>2845</v>
      </c>
      <c r="L546" s="113" t="s">
        <v>2846</v>
      </c>
    </row>
    <row r="547" hidden="1">
      <c r="B547" s="119"/>
      <c r="C547" s="119"/>
      <c r="D547" s="119"/>
      <c r="E547" s="119"/>
      <c r="F547" s="110">
        <v>307.0</v>
      </c>
      <c r="G547" s="113" t="str">
        <f>IFERROR(__xludf.DUMMYFUNCTION("TRIM(REGEXREPLACE(C547, ""[0-9]+[a-f]?\."", """"))"),"")</f>
        <v/>
      </c>
      <c r="H547" s="113" t="str">
        <f>IFERROR(__xludf.DUMMYFUNCTION("TRIM(REGEXREPLACE(D547, ""[0-9]+[a-f]?\."", """"))"),"")</f>
        <v/>
      </c>
      <c r="I547" s="113" t="str">
        <f>IFERROR(__xludf.DUMMYFUNCTION("TRIM(REGEXREPLACE(E547, ""[0-9]+[a-f]?\."", """"))"),"")</f>
        <v/>
      </c>
      <c r="J547" s="113" t="s">
        <v>2850</v>
      </c>
      <c r="K547" s="113" t="s">
        <v>2851</v>
      </c>
      <c r="L547" s="113" t="s">
        <v>2852</v>
      </c>
    </row>
    <row r="548" hidden="1">
      <c r="B548" s="119"/>
      <c r="C548" s="119"/>
      <c r="D548" s="119"/>
      <c r="E548" s="119"/>
      <c r="F548" s="110">
        <v>308.0</v>
      </c>
      <c r="G548" s="113" t="str">
        <f>IFERROR(__xludf.DUMMYFUNCTION("TRIM(REGEXREPLACE(C548, ""[0-9]+[a-f]?\."", """"))"),"")</f>
        <v/>
      </c>
      <c r="H548" s="113" t="str">
        <f>IFERROR(__xludf.DUMMYFUNCTION("TRIM(REGEXREPLACE(D548, ""[0-9]+[a-f]?\."", """"))"),"")</f>
        <v/>
      </c>
      <c r="I548" s="113" t="str">
        <f>IFERROR(__xludf.DUMMYFUNCTION("TRIM(REGEXREPLACE(E548, ""[0-9]+[a-f]?\."", """"))"),"")</f>
        <v/>
      </c>
      <c r="J548" s="113" t="s">
        <v>2853</v>
      </c>
      <c r="K548" s="113" t="s">
        <v>2854</v>
      </c>
      <c r="L548" s="113" t="s">
        <v>2855</v>
      </c>
    </row>
    <row r="549" hidden="1">
      <c r="B549" s="119"/>
      <c r="C549" s="119"/>
      <c r="D549" s="119"/>
      <c r="E549" s="119"/>
      <c r="F549" s="110">
        <v>309.0</v>
      </c>
      <c r="G549" s="113" t="str">
        <f>IFERROR(__xludf.DUMMYFUNCTION("TRIM(REGEXREPLACE(C549, ""[0-9]+[a-f]?\."", """"))"),"")</f>
        <v/>
      </c>
      <c r="H549" s="113" t="str">
        <f>IFERROR(__xludf.DUMMYFUNCTION("TRIM(REGEXREPLACE(D549, ""[0-9]+[a-f]?\."", """"))"),"")</f>
        <v/>
      </c>
      <c r="I549" s="113" t="str">
        <f>IFERROR(__xludf.DUMMYFUNCTION("TRIM(REGEXREPLACE(E549, ""[0-9]+[a-f]?\."", """"))"),"")</f>
        <v/>
      </c>
      <c r="J549" s="113" t="s">
        <v>2859</v>
      </c>
      <c r="K549" s="113" t="s">
        <v>2860</v>
      </c>
      <c r="L549" s="113" t="s">
        <v>2861</v>
      </c>
    </row>
    <row r="550">
      <c r="A550" s="114" t="s">
        <v>541</v>
      </c>
      <c r="B550" s="165" t="s">
        <v>2862</v>
      </c>
      <c r="C550" s="76" t="s">
        <v>1546</v>
      </c>
      <c r="D550" s="76" t="s">
        <v>1548</v>
      </c>
      <c r="E550" s="76" t="s">
        <v>1550</v>
      </c>
      <c r="F550" s="110">
        <v>188.0</v>
      </c>
      <c r="G550" s="113" t="str">
        <f>IFERROR(__xludf.DUMMYFUNCTION("TRIM(REGEXREPLACE(C550, ""[0-9]+[a-f]?\."", """"))"),"Now if you will permit me, I need to ask some more questions about your relationship with your husband. Does he ever?")</f>
        <v>Now if you will permit me, I need to ask some more questions about your relationship with your husband. Does he ever?</v>
      </c>
      <c r="H550" s="113" t="str">
        <f>IFERROR(__xludf.DUMMYFUNCTION("TRIM(REGEXREPLACE(D550,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550" s="113" t="str">
        <f>IFERROR(__xludf.DUMMYFUNCTION("TRIM(REGEXREPLACE(E550, ""[0-9]+[a-f]?\."", """"))"),"Yanzu idan za ki ba ni izini, Ina bukatar yin wasu tambayoyi game da dangantakarki da mijinki. Ko ya taba?")</f>
        <v>Yanzu idan za ki ba ni izini, Ina bukatar yin wasu tambayoyi game da dangantakarki da mijinki. Ko ya taba?</v>
      </c>
      <c r="J550" s="113" t="str">
        <f t="shared" ref="J550:J552" si="130">F550 &amp; ". " &amp;G550</f>
        <v>188. Now if you will permit me, I need to ask some more questions about your relationship with your husband. Does he ever?</v>
      </c>
      <c r="K550" s="113" t="str">
        <f t="shared" ref="K550:K552" si="131">F550 &amp; ". " &amp;H550</f>
        <v>188. Maintenant, si vous me le permettez, je dois poser quelques questions supplémentaires sur votre relation avec votre mari. Est-ce qu'il a jamais?</v>
      </c>
      <c r="L550" s="113" t="str">
        <f t="shared" ref="L550:L552" si="132">F550 &amp; ". " &amp;I550</f>
        <v>188. Yanzu idan za ki ba ni izini, Ina bukatar yin wasu tambayoyi game da dangantakarki da mijinki. Ko ya taba?</v>
      </c>
    </row>
    <row r="551">
      <c r="A551" s="114" t="s">
        <v>541</v>
      </c>
      <c r="B551" s="165" t="s">
        <v>2863</v>
      </c>
      <c r="C551" s="76" t="s">
        <v>2864</v>
      </c>
      <c r="D551" s="76" t="s">
        <v>2865</v>
      </c>
      <c r="E551" s="76" t="s">
        <v>2866</v>
      </c>
      <c r="F551" s="110">
        <v>189.0</v>
      </c>
      <c r="G551" s="113" t="str">
        <f>IFERROR(__xludf.DUMMYFUNCTION("TRIM(REGEXREPLACE(C551, ""[0-9]+[a-f]?\."", """"))"),"Say or do something to humiliate you in front of others")</f>
        <v>Say or do something to humiliate you in front of others</v>
      </c>
      <c r="H551" s="113" t="str">
        <f>IFERROR(__xludf.DUMMYFUNCTION("TRIM(REGEXREPLACE(D551, ""[0-9]+[a-f]?\."", """"))"),"Dit ou fait quelque chose pour vous humilier devant les autres")</f>
        <v>Dit ou fait quelque chose pour vous humilier devant les autres</v>
      </c>
      <c r="I551" s="113" t="str">
        <f>IFERROR(__xludf.DUMMYFUNCTION("TRIM(REGEXREPLACE(E551, ""[0-9]+[a-f]?\."", """"))"),"Fadi ko yin wani abu don wulaƙanta ku a gaban wasu")</f>
        <v>Fadi ko yin wani abu don wulaƙanta ku a gaban wasu</v>
      </c>
      <c r="J551" s="113" t="str">
        <f t="shared" si="130"/>
        <v>189. Say or do something to humiliate you in front of others</v>
      </c>
      <c r="K551" s="113" t="str">
        <f t="shared" si="131"/>
        <v>189. Dit ou fait quelque chose pour vous humilier devant les autres</v>
      </c>
      <c r="L551" s="113" t="str">
        <f t="shared" si="132"/>
        <v>189. Fadi ko yin wani abu don wulaƙanta ku a gaban wasu</v>
      </c>
    </row>
    <row r="552">
      <c r="A552" s="114" t="s">
        <v>541</v>
      </c>
      <c r="B552" s="165" t="s">
        <v>2871</v>
      </c>
      <c r="C552" s="76" t="s">
        <v>1575</v>
      </c>
      <c r="D552" s="76" t="s">
        <v>1576</v>
      </c>
      <c r="E552" s="76" t="s">
        <v>1577</v>
      </c>
      <c r="F552" s="110">
        <v>190.0</v>
      </c>
      <c r="G552" s="113" t="str">
        <f>IFERROR(__xludf.DUMMYFUNCTION("TRIM(REGEXREPLACE(C552, ""[0-9]+[a-f]?\."", """"))"),"Threaten you or someone close to you with harm")</f>
        <v>Threaten you or someone close to you with harm</v>
      </c>
      <c r="H552" s="113" t="str">
        <f>IFERROR(__xludf.DUMMYFUNCTION("TRIM(REGEXREPLACE(D552, ""[0-9]+[a-f]?\."", """"))"),"Vous menacer vous-même ou quelqu'un proche de vous à vous faire du mal")</f>
        <v>Vous menacer vous-même ou quelqu'un proche de vous à vous faire du mal</v>
      </c>
      <c r="I552" s="113" t="str">
        <f>IFERROR(__xludf.DUMMYFUNCTION("TRIM(REGEXREPLACE(E552, ""[0-9]+[a-f]?\."", """"))"),"Yi muku barazana ko wani na kusa da ku da cutarwa")</f>
        <v>Yi muku barazana ko wani na kusa da ku da cutarwa</v>
      </c>
      <c r="J552" s="113" t="str">
        <f t="shared" si="130"/>
        <v>190. Threaten you or someone close to you with harm</v>
      </c>
      <c r="K552" s="113" t="str">
        <f t="shared" si="131"/>
        <v>190. Vous menacer vous-même ou quelqu'un proche de vous à vous faire du mal</v>
      </c>
      <c r="L552" s="113" t="str">
        <f t="shared" si="132"/>
        <v>190. Yi muku barazana ko wani na kusa da ku da cutarwa</v>
      </c>
    </row>
    <row r="553" hidden="1">
      <c r="B553" s="119"/>
      <c r="C553" s="119"/>
      <c r="D553" s="119"/>
      <c r="E553" s="119"/>
      <c r="F553" s="110">
        <v>312.0</v>
      </c>
      <c r="G553" s="113" t="str">
        <f>IFERROR(__xludf.DUMMYFUNCTION("TRIM(REGEXREPLACE(C553, ""[0-9]+[a-f]?\."", """"))"),"")</f>
        <v/>
      </c>
      <c r="H553" s="113" t="str">
        <f>IFERROR(__xludf.DUMMYFUNCTION("TRIM(REGEXREPLACE(D553, ""[0-9]+[a-f]?\."", """"))"),"")</f>
        <v/>
      </c>
      <c r="I553" s="113" t="str">
        <f>IFERROR(__xludf.DUMMYFUNCTION("TRIM(REGEXREPLACE(E553, ""[0-9]+[a-f]?\."", """"))"),"")</f>
        <v/>
      </c>
      <c r="J553" s="113" t="s">
        <v>2882</v>
      </c>
      <c r="K553" s="113" t="s">
        <v>2883</v>
      </c>
      <c r="L553" s="113" t="s">
        <v>2884</v>
      </c>
    </row>
    <row r="554" hidden="1">
      <c r="B554" s="119"/>
      <c r="C554" s="119"/>
      <c r="D554" s="119"/>
      <c r="E554" s="119"/>
      <c r="F554" s="110">
        <v>313.0</v>
      </c>
      <c r="G554" s="113" t="str">
        <f>IFERROR(__xludf.DUMMYFUNCTION("TRIM(REGEXREPLACE(C554, ""[0-9]+[a-f]?\."", """"))"),"")</f>
        <v/>
      </c>
      <c r="H554" s="113" t="str">
        <f>IFERROR(__xludf.DUMMYFUNCTION("TRIM(REGEXREPLACE(D554, ""[0-9]+[a-f]?\."", """"))"),"")</f>
        <v/>
      </c>
      <c r="I554" s="113" t="str">
        <f>IFERROR(__xludf.DUMMYFUNCTION("TRIM(REGEXREPLACE(E554, ""[0-9]+[a-f]?\."", """"))"),"")</f>
        <v/>
      </c>
      <c r="J554" s="113" t="s">
        <v>2885</v>
      </c>
      <c r="K554" s="113" t="s">
        <v>2886</v>
      </c>
      <c r="L554" s="113" t="s">
        <v>2887</v>
      </c>
    </row>
    <row r="555" hidden="1">
      <c r="B555" s="119"/>
      <c r="C555" s="119"/>
      <c r="D555" s="119"/>
      <c r="E555" s="119"/>
      <c r="F555" s="110">
        <v>314.0</v>
      </c>
      <c r="G555" s="113" t="str">
        <f>IFERROR(__xludf.DUMMYFUNCTION("TRIM(REGEXREPLACE(C555, ""[0-9]+[a-f]?\."", """"))"),"")</f>
        <v/>
      </c>
      <c r="H555" s="113" t="str">
        <f>IFERROR(__xludf.DUMMYFUNCTION("TRIM(REGEXREPLACE(D555, ""[0-9]+[a-f]?\."", """"))"),"")</f>
        <v/>
      </c>
      <c r="I555" s="113" t="str">
        <f>IFERROR(__xludf.DUMMYFUNCTION("TRIM(REGEXREPLACE(E555, ""[0-9]+[a-f]?\."", """"))"),"")</f>
        <v/>
      </c>
      <c r="J555" s="113" t="s">
        <v>2891</v>
      </c>
      <c r="K555" s="113" t="s">
        <v>2892</v>
      </c>
      <c r="L555" s="113" t="s">
        <v>2893</v>
      </c>
    </row>
    <row r="556">
      <c r="A556" s="114" t="s">
        <v>541</v>
      </c>
      <c r="B556" s="165" t="s">
        <v>2894</v>
      </c>
      <c r="C556" s="76" t="s">
        <v>1585</v>
      </c>
      <c r="D556" s="76" t="s">
        <v>1587</v>
      </c>
      <c r="E556" s="76" t="s">
        <v>1589</v>
      </c>
      <c r="F556" s="110">
        <v>191.0</v>
      </c>
      <c r="G556" s="113" t="str">
        <f>IFERROR(__xludf.DUMMYFUNCTION("TRIM(REGEXREPLACE(C556, ""[0-9]+[a-f]?\."", """"))"),"Push you shake you or throw something at you")</f>
        <v>Push you shake you or throw something at you</v>
      </c>
      <c r="H556" s="113" t="str">
        <f>IFERROR(__xludf.DUMMYFUNCTION("TRIM(REGEXREPLACE(D556, ""[0-9]+[a-f]?\."", """"))"),"Vous pousser, vous secouer ou jeter quelque chose sur vous")</f>
        <v>Vous pousser, vous secouer ou jeter quelque chose sur vous</v>
      </c>
      <c r="I556" s="113" t="str">
        <f>IFERROR(__xludf.DUMMYFUNCTION("TRIM(REGEXREPLACE(E556, ""[0-9]+[a-f]?\."", """"))"),"Tura ku girgiza ku ko jefar da wani abu bisanku")</f>
        <v>Tura ku girgiza ku ko jefar da wani abu bisanku</v>
      </c>
      <c r="J556" s="113" t="str">
        <f t="shared" ref="J556:J561" si="133">F556 &amp; ". " &amp;G556</f>
        <v>191. Push you shake you or throw something at you</v>
      </c>
      <c r="K556" s="113" t="str">
        <f t="shared" ref="K556:K561" si="134">F556 &amp; ". " &amp;H556</f>
        <v>191. Vous pousser, vous secouer ou jeter quelque chose sur vous</v>
      </c>
      <c r="L556" s="113" t="str">
        <f t="shared" ref="L556:L561" si="135">F556 &amp; ". " &amp;I556</f>
        <v>191. Tura ku girgiza ku ko jefar da wani abu bisanku</v>
      </c>
    </row>
    <row r="557">
      <c r="A557" s="114" t="s">
        <v>541</v>
      </c>
      <c r="B557" s="165" t="s">
        <v>2902</v>
      </c>
      <c r="C557" s="76" t="s">
        <v>2903</v>
      </c>
      <c r="D557" s="76" t="s">
        <v>2904</v>
      </c>
      <c r="E557" s="76" t="s">
        <v>2905</v>
      </c>
      <c r="F557" s="110">
        <v>192.0</v>
      </c>
      <c r="G557" s="113" t="str">
        <f>IFERROR(__xludf.DUMMYFUNCTION("TRIM(REGEXREPLACE(C557, ""[0-9]+[a-f]?\."", """"))"),"Slap you or twist your arm")</f>
        <v>Slap you or twist your arm</v>
      </c>
      <c r="H557" s="113" t="str">
        <f>IFERROR(__xludf.DUMMYFUNCTION("TRIM(REGEXREPLACE(D557, ""[0-9]+[a-f]?\."", """"))"),"Vous gifler ou vous tordre le bras")</f>
        <v>Vous gifler ou vous tordre le bras</v>
      </c>
      <c r="I557" s="113" t="str">
        <f>IFERROR(__xludf.DUMMYFUNCTION("TRIM(REGEXREPLACE(E557, ""[0-9]+[a-f]?\."", """"))"),"Mari ko murɗa hannunku")</f>
        <v>Mari ko murɗa hannunku</v>
      </c>
      <c r="J557" s="113" t="str">
        <f t="shared" si="133"/>
        <v>192. Slap you or twist your arm</v>
      </c>
      <c r="K557" s="113" t="str">
        <f t="shared" si="134"/>
        <v>192. Vous gifler ou vous tordre le bras</v>
      </c>
      <c r="L557" s="113" t="str">
        <f t="shared" si="135"/>
        <v>192. Mari ko murɗa hannunku</v>
      </c>
    </row>
    <row r="558">
      <c r="A558" s="114" t="s">
        <v>541</v>
      </c>
      <c r="B558" s="165" t="s">
        <v>2906</v>
      </c>
      <c r="C558" s="76" t="s">
        <v>1593</v>
      </c>
      <c r="D558" s="76" t="s">
        <v>1594</v>
      </c>
      <c r="E558" s="76" t="s">
        <v>1596</v>
      </c>
      <c r="F558" s="110">
        <v>193.0</v>
      </c>
      <c r="G558" s="113" t="str">
        <f>IFERROR(__xludf.DUMMYFUNCTION("TRIM(REGEXREPLACE(C558, ""[0-9]+[a-f]?\."", """"))"),"Punch you with his fist or with something that could hurt you")</f>
        <v>Punch you with his fist or with something that could hurt you</v>
      </c>
      <c r="H558" s="113" t="str">
        <f>IFERROR(__xludf.DUMMYFUNCTION("TRIM(REGEXREPLACE(D558, ""[0-9]+[a-f]?\."", """"))"),"Vous frapper avec son poing ou avec quelque chose qui pourrait vous blesser")</f>
        <v>Vous frapper avec son poing ou avec quelque chose qui pourrait vous blesser</v>
      </c>
      <c r="I558" s="113" t="str">
        <f>IFERROR(__xludf.DUMMYFUNCTION("TRIM(REGEXREPLACE(E558, ""[0-9]+[a-f]?\."", """"))"),"Yi muku naushi da hannu ko da wani abu da zai iya cutar da ku")</f>
        <v>Yi muku naushi da hannu ko da wani abu da zai iya cutar da ku</v>
      </c>
      <c r="J558" s="113" t="str">
        <f t="shared" si="133"/>
        <v>193. Punch you with his fist or with something that could hurt you</v>
      </c>
      <c r="K558" s="113" t="str">
        <f t="shared" si="134"/>
        <v>193. Vous frapper avec son poing ou avec quelque chose qui pourrait vous blesser</v>
      </c>
      <c r="L558" s="113" t="str">
        <f t="shared" si="135"/>
        <v>193. Yi muku naushi da hannu ko da wani abu da zai iya cutar da ku</v>
      </c>
    </row>
    <row r="559">
      <c r="A559" s="114" t="s">
        <v>541</v>
      </c>
      <c r="B559" s="165" t="s">
        <v>2910</v>
      </c>
      <c r="C559" s="76" t="s">
        <v>1599</v>
      </c>
      <c r="D559" s="76" t="s">
        <v>1600</v>
      </c>
      <c r="E559" s="76" t="s">
        <v>1601</v>
      </c>
      <c r="F559" s="110">
        <v>194.0</v>
      </c>
      <c r="G559" s="113" t="str">
        <f>IFERROR(__xludf.DUMMYFUNCTION("TRIM(REGEXREPLACE(C559, ""[0-9]+[a-f]?\."", """"))"),"Kick you or drag you")</f>
        <v>Kick you or drag you</v>
      </c>
      <c r="H559" s="113" t="str">
        <f>IFERROR(__xludf.DUMMYFUNCTION("TRIM(REGEXREPLACE(D559, ""[0-9]+[a-f]?\."", """"))"),"Vous donner un coup de pied ou vous traîner")</f>
        <v>Vous donner un coup de pied ou vous traîner</v>
      </c>
      <c r="I559" s="113" t="str">
        <f>IFERROR(__xludf.DUMMYFUNCTION("TRIM(REGEXREPLACE(E559, ""[0-9]+[a-f]?\."", """"))"),"Habre ku ko jan ku")</f>
        <v>Habre ku ko jan ku</v>
      </c>
      <c r="J559" s="113" t="str">
        <f t="shared" si="133"/>
        <v>194. Kick you or drag you</v>
      </c>
      <c r="K559" s="113" t="str">
        <f t="shared" si="134"/>
        <v>194. Vous donner un coup de pied ou vous traîner</v>
      </c>
      <c r="L559" s="113" t="str">
        <f t="shared" si="135"/>
        <v>194. Habre ku ko jan ku</v>
      </c>
    </row>
    <row r="560">
      <c r="A560" s="114" t="s">
        <v>541</v>
      </c>
      <c r="B560" s="165" t="s">
        <v>2912</v>
      </c>
      <c r="C560" s="76" t="s">
        <v>2913</v>
      </c>
      <c r="D560" s="76" t="s">
        <v>2914</v>
      </c>
      <c r="E560" s="76" t="s">
        <v>2915</v>
      </c>
      <c r="F560" s="110">
        <v>195.0</v>
      </c>
      <c r="G560" s="113" t="str">
        <f>IFERROR(__xludf.DUMMYFUNCTION("TRIM(REGEXREPLACE(C560, ""[0-9]+[a-f]?\."", """"))"),"Try to strangle you or burn you")</f>
        <v>Try to strangle you or burn you</v>
      </c>
      <c r="H560" s="113" t="str">
        <f>IFERROR(__xludf.DUMMYFUNCTION("TRIM(REGEXREPLACE(D560, ""[0-9]+[a-f]?\."", """"))"),"Essayer de vous étrangler ou de vous brûler")</f>
        <v>Essayer de vous étrangler ou de vous brûler</v>
      </c>
      <c r="I560" s="113" t="str">
        <f>IFERROR(__xludf.DUMMYFUNCTION("TRIM(REGEXREPLACE(E560, ""[0-9]+[a-f]?\."", """"))"),"Yi ƙoƙarin shake ku ko kona ku")</f>
        <v>Yi ƙoƙarin shake ku ko kona ku</v>
      </c>
      <c r="J560" s="113" t="str">
        <f t="shared" si="133"/>
        <v>195. Try to strangle you or burn you</v>
      </c>
      <c r="K560" s="113" t="str">
        <f t="shared" si="134"/>
        <v>195. Essayer de vous étrangler ou de vous brûler</v>
      </c>
      <c r="L560" s="113" t="str">
        <f t="shared" si="135"/>
        <v>195. Yi ƙoƙarin shake ku ko kona ku</v>
      </c>
    </row>
    <row r="561">
      <c r="A561" s="114" t="s">
        <v>541</v>
      </c>
      <c r="B561" s="165" t="s">
        <v>2916</v>
      </c>
      <c r="C561" s="76" t="s">
        <v>2918</v>
      </c>
      <c r="D561" s="76" t="s">
        <v>2919</v>
      </c>
      <c r="E561" s="76" t="s">
        <v>2920</v>
      </c>
      <c r="F561" s="110">
        <v>196.0</v>
      </c>
      <c r="G561" s="113" t="str">
        <f>IFERROR(__xludf.DUMMYFUNCTION("TRIM(REGEXREPLACE(C561, ""[0-9]+[a-f]?\."", """"))"),"threaten you with a knife, gun, or other type of weapon")</f>
        <v>threaten you with a knife, gun, or other type of weapon</v>
      </c>
      <c r="H561" s="113" t="str">
        <f>IFERROR(__xludf.DUMMYFUNCTION("TRIM(REGEXREPLACE(D561, ""[0-9]+[a-f]?\."", """"))"),"Vous menacer avec un couteau, une arme à feu ou tout autre type d'arme")</f>
        <v>Vous menacer avec un couteau, une arme à feu ou tout autre type d'arme</v>
      </c>
      <c r="I561" s="113" t="str">
        <f>IFERROR(__xludf.DUMMYFUNCTION("TRIM(REGEXREPLACE(E561, ""[0-9]+[a-f]?\."", """"))"),"yi muku barazana da wuka, bindiga, ko wani makami daban")</f>
        <v>yi muku barazana da wuka, bindiga, ko wani makami daban</v>
      </c>
      <c r="J561" s="113" t="str">
        <f t="shared" si="133"/>
        <v>196. threaten you with a knife, gun, or other type of weapon</v>
      </c>
      <c r="K561" s="113" t="str">
        <f t="shared" si="134"/>
        <v>196. Vous menacer avec un couteau, une arme à feu ou tout autre type d'arme</v>
      </c>
      <c r="L561" s="113" t="str">
        <f t="shared" si="135"/>
        <v>196. yi muku barazana da wuka, bindiga, ko wani makami daban</v>
      </c>
    </row>
    <row r="562" hidden="1">
      <c r="B562" s="119"/>
      <c r="C562" s="119"/>
      <c r="D562" s="119"/>
      <c r="E562" s="119"/>
      <c r="F562" s="110">
        <v>320.0</v>
      </c>
      <c r="G562" s="113" t="str">
        <f>IFERROR(__xludf.DUMMYFUNCTION("TRIM(REGEXREPLACE(C562, ""[0-9]+[a-f]?\."", """"))"),"")</f>
        <v/>
      </c>
      <c r="H562" s="113" t="str">
        <f>IFERROR(__xludf.DUMMYFUNCTION("TRIM(REGEXREPLACE(D562, ""[0-9]+[a-f]?\."", """"))"),"")</f>
        <v/>
      </c>
      <c r="I562" s="113" t="str">
        <f>IFERROR(__xludf.DUMMYFUNCTION("TRIM(REGEXREPLACE(E562, ""[0-9]+[a-f]?\."", """"))"),"")</f>
        <v/>
      </c>
      <c r="J562" s="113" t="s">
        <v>2921</v>
      </c>
      <c r="K562" s="113" t="s">
        <v>2922</v>
      </c>
      <c r="L562" s="113" t="s">
        <v>2923</v>
      </c>
    </row>
    <row r="563">
      <c r="A563" s="114" t="s">
        <v>541</v>
      </c>
      <c r="B563" s="165" t="s">
        <v>2924</v>
      </c>
      <c r="C563" s="76" t="s">
        <v>2925</v>
      </c>
      <c r="D563" s="76" t="s">
        <v>2926</v>
      </c>
      <c r="E563" s="76" t="s">
        <v>2927</v>
      </c>
      <c r="F563" s="110">
        <v>197.0</v>
      </c>
      <c r="G563" s="113" t="str">
        <f>IFERROR(__xludf.DUMMYFUNCTION("TRIM(REGEXREPLACE(C563, ""[0-9]+[a-f]?\."", """"))"),"attack you with a knife, gun, or other type of weapon")</f>
        <v>attack you with a knife, gun, or other type of weapon</v>
      </c>
      <c r="H563" s="113" t="str">
        <f>IFERROR(__xludf.DUMMYFUNCTION("TRIM(REGEXREPLACE(D563, ""[0-9]+[a-f]?\."", """"))"),"Vous attaquer avec un couteau, une arme à feu ou tout autre type d'arme")</f>
        <v>Vous attaquer avec un couteau, une arme à feu ou tout autre type d'arme</v>
      </c>
      <c r="I563" s="113" t="str">
        <f>IFERROR(__xludf.DUMMYFUNCTION("TRIM(REGEXREPLACE(E563, ""[0-9]+[a-f]?\."", """"))"),"Kawo muku hari da wuka, bindiga, ko wani makami daban")</f>
        <v>Kawo muku hari da wuka, bindiga, ko wani makami daban</v>
      </c>
      <c r="J563" s="113" t="str">
        <f t="shared" ref="J563:J564" si="136">F563 &amp; ". " &amp;G563</f>
        <v>197. attack you with a knife, gun, or other type of weapon</v>
      </c>
      <c r="K563" s="113" t="str">
        <f t="shared" ref="K563:K564" si="137">F563 &amp; ". " &amp;H563</f>
        <v>197. Vous attaquer avec un couteau, une arme à feu ou tout autre type d'arme</v>
      </c>
      <c r="L563" s="113" t="str">
        <f t="shared" ref="L563:L564" si="138">F563 &amp; ". " &amp;I563</f>
        <v>197. Kawo muku hari da wuka, bindiga, ko wani makami daban</v>
      </c>
    </row>
    <row r="564">
      <c r="A564" s="114" t="s">
        <v>541</v>
      </c>
      <c r="B564" s="165" t="s">
        <v>2931</v>
      </c>
      <c r="C564" s="76" t="s">
        <v>2932</v>
      </c>
      <c r="D564" s="76" t="s">
        <v>2934</v>
      </c>
      <c r="E564" s="76" t="s">
        <v>2937</v>
      </c>
      <c r="F564" s="110">
        <v>198.0</v>
      </c>
      <c r="G564" s="113" t="str">
        <f>IFERROR(__xludf.DUMMYFUNCTION("TRIM(REGEXREPLACE(C564, ""[0-9]+[a-f]?\."", """"))"),"force you to perform sexual actswith him even when you did not want to")</f>
        <v>force you to perform sexual actswith him even when you did not want to</v>
      </c>
      <c r="H564" s="113" t="str">
        <f>IFERROR(__xludf.DUMMYFUNCTION("TRIM(REGEXREPLACE(D564, ""[0-9]+[a-f]?\."", """"))"),"vous forcer à accomplir des actes sexuels avec lui même lorsque vous ne le vouliez pas")</f>
        <v>vous forcer à accomplir des actes sexuels avec lui même lorsque vous ne le vouliez pas</v>
      </c>
      <c r="I564" s="113" t="str">
        <f>IFERROR(__xludf.DUMMYFUNCTION("TRIM(REGEXREPLACE(E564, ""[0-9]+[a-f]?\."", """"))"),"tilasta muku ka yin jima'i da shi ko da ba ki da buƙata")</f>
        <v>tilasta muku ka yin jima'i da shi ko da ba ki da buƙata</v>
      </c>
      <c r="J564" s="113" t="str">
        <f t="shared" si="136"/>
        <v>198. force you to perform sexual actswith him even when you did not want to</v>
      </c>
      <c r="K564" s="113" t="str">
        <f t="shared" si="137"/>
        <v>198. vous forcer à accomplir des actes sexuels avec lui même lorsque vous ne le vouliez pas</v>
      </c>
      <c r="L564" s="113" t="str">
        <f t="shared" si="138"/>
        <v>198. tilasta muku ka yin jima'i da shi ko da ba ki da buƙata</v>
      </c>
    </row>
    <row r="565" hidden="1">
      <c r="A565" s="150" t="s">
        <v>343</v>
      </c>
      <c r="B565" s="83" t="s">
        <v>2843</v>
      </c>
      <c r="C565" s="83"/>
      <c r="D565" s="83"/>
      <c r="E565" s="83"/>
      <c r="F565" s="110">
        <v>315.0</v>
      </c>
      <c r="G565" s="113" t="str">
        <f>IFERROR(__xludf.DUMMYFUNCTION("TRIM(REGEXREPLACE(C565, ""[0-9]+[a-f]?\."", """"))"),"")</f>
        <v/>
      </c>
      <c r="H565" s="113" t="str">
        <f>IFERROR(__xludf.DUMMYFUNCTION("TRIM(REGEXREPLACE(D565, ""[0-9]+[a-f]?\."", """"))"),"")</f>
        <v/>
      </c>
      <c r="I565" s="113" t="str">
        <f>IFERROR(__xludf.DUMMYFUNCTION("TRIM(REGEXREPLACE(E565, ""[0-9]+[a-f]?\."", """"))"),"")</f>
        <v/>
      </c>
      <c r="J565" s="113" t="s">
        <v>2941</v>
      </c>
      <c r="K565" s="113" t="s">
        <v>2942</v>
      </c>
      <c r="L565" s="113" t="s">
        <v>2943</v>
      </c>
    </row>
    <row r="566" hidden="1">
      <c r="A566" s="150" t="s">
        <v>343</v>
      </c>
      <c r="B566" s="83" t="s">
        <v>2750</v>
      </c>
      <c r="C566" s="83"/>
      <c r="D566" s="83"/>
      <c r="E566" s="83"/>
      <c r="F566" s="110">
        <v>316.0</v>
      </c>
      <c r="G566" s="113" t="str">
        <f>IFERROR(__xludf.DUMMYFUNCTION("TRIM(REGEXREPLACE(C566, ""[0-9]+[a-f]?\."", """"))"),"")</f>
        <v/>
      </c>
      <c r="H566" s="113" t="str">
        <f>IFERROR(__xludf.DUMMYFUNCTION("TRIM(REGEXREPLACE(D566, ""[0-9]+[a-f]?\."", """"))"),"")</f>
        <v/>
      </c>
      <c r="I566" s="113" t="str">
        <f>IFERROR(__xludf.DUMMYFUNCTION("TRIM(REGEXREPLACE(E566, ""[0-9]+[a-f]?\."", """"))"),"")</f>
        <v/>
      </c>
      <c r="J566" s="113" t="s">
        <v>2944</v>
      </c>
      <c r="K566" s="113" t="s">
        <v>2945</v>
      </c>
      <c r="L566" s="113" t="s">
        <v>2946</v>
      </c>
    </row>
    <row r="567">
      <c r="A567" s="152" t="s">
        <v>44</v>
      </c>
      <c r="B567" s="77" t="s">
        <v>2947</v>
      </c>
      <c r="C567" s="76" t="s">
        <v>2949</v>
      </c>
      <c r="D567" s="76" t="s">
        <v>2951</v>
      </c>
      <c r="E567" s="76" t="s">
        <v>2953</v>
      </c>
      <c r="F567" s="110">
        <v>199.0</v>
      </c>
      <c r="G567" s="113" t="str">
        <f>IFERROR(__xludf.DUMMYFUNCTION("TRIM(REGEXREPLACE(C567, ""[0-9]+[a-f]?\."", """"))"),"Enumerator: THANK THE RESPONDENT FOR HER COOPERATION AND REASSURE HER ABOUT THE CONFIDENTIALITY OF HER ANSWERS.")</f>
        <v>Enumerator: THANK THE RESPONDENT FOR HER COOPERATION AND REASSURE HER ABOUT THE CONFIDENTIALITY OF HER ANSWERS.</v>
      </c>
      <c r="H567" s="113" t="str">
        <f>IFERROR(__xludf.DUMMYFUNCTION("TRIM(REGEXREPLACE(D567, ""[0-9]+[a-f]?\."", """"))"),"Enquêteur : REMERCIER LA RÉPONDANTE POUR SA COOPÉRATION ET LA RASSURER SUR LA CONFIDENTIALITÉ DE SES RÉPONSES.")</f>
        <v>Enquêteur : REMERCIER LA RÉPONDANTE POUR SA COOPÉRATION ET LA RASSURER SUR LA CONFIDENTIALITÉ DE SES RÉPONSES.</v>
      </c>
      <c r="I567" s="113" t="str">
        <f>IFERROR(__xludf.DUMMYFUNCTION("TRIM(REGEXREPLACE(E567, ""[0-9]+[a-f]?\."", """"))"),"Ɗan bincike: Ka gode wa mai bada amsa bisa haɗin kai da kuma ka tabbatar mata game da kiyaye SIRRIN HIRAR A KA YI DA ITA.")</f>
        <v>Ɗan bincike: Ka gode wa mai bada amsa bisa haɗin kai da kuma ka tabbatar mata game da kiyaye SIRRIN HIRAR A KA YI DA ITA.</v>
      </c>
      <c r="J567" s="113" t="str">
        <f>F567 &amp; ". " &amp;G567</f>
        <v>199. Enumerator: THANK THE RESPONDENT FOR HER COOPERATION AND REASSURE HER ABOUT THE CONFIDENTIALITY OF HER ANSWERS.</v>
      </c>
      <c r="K567" s="113" t="str">
        <f>F567 &amp; ". " &amp;H567</f>
        <v>199. Enquêteur : REMERCIER LA RÉPONDANTE POUR SA COOPÉRATION ET LA RASSURER SUR LA CONFIDENTIALITÉ DE SES RÉPONSES.</v>
      </c>
      <c r="L567" s="113" t="str">
        <f>F567 &amp; ". " &amp;I567</f>
        <v>199. Ɗan bincike: Ka gode wa mai bada amsa bisa haɗin kai da kuma ka tabbatar mata game da kiyaye SIRRIN HIRAR A KA YI DA ITA.</v>
      </c>
    </row>
    <row r="568" hidden="1">
      <c r="A568" s="150" t="s">
        <v>343</v>
      </c>
      <c r="B568" s="83" t="s">
        <v>659</v>
      </c>
      <c r="C568" s="83" t="s">
        <v>660</v>
      </c>
      <c r="D568" s="83"/>
      <c r="E568" s="83"/>
      <c r="F568" s="110">
        <v>318.0</v>
      </c>
      <c r="G568" s="113" t="str">
        <f>IFERROR(__xludf.DUMMYFUNCTION("TRIM(REGEXREPLACE(C568, ""[0-9]+[a-f]?\."", """"))"),"Woman Questionnaire")</f>
        <v>Woman Questionnaire</v>
      </c>
      <c r="H568" s="113" t="str">
        <f>IFERROR(__xludf.DUMMYFUNCTION("TRIM(REGEXREPLACE(D568, ""[0-9]+[a-f]?\."", """"))"),"")</f>
        <v/>
      </c>
      <c r="I568" s="113" t="str">
        <f>IFERROR(__xludf.DUMMYFUNCTION("TRIM(REGEXREPLACE(E568, ""[0-9]+[a-f]?\."", """"))"),"")</f>
        <v/>
      </c>
      <c r="J568" s="113" t="s">
        <v>2960</v>
      </c>
      <c r="K568" s="113" t="s">
        <v>2961</v>
      </c>
      <c r="L568" s="113" t="s">
        <v>2962</v>
      </c>
    </row>
    <row r="569" hidden="1">
      <c r="A569" s="80" t="s">
        <v>150</v>
      </c>
      <c r="B569" s="81" t="s">
        <v>2963</v>
      </c>
      <c r="C569" s="82"/>
      <c r="D569" s="83"/>
      <c r="E569" s="83"/>
      <c r="F569" s="110">
        <v>319.0</v>
      </c>
      <c r="G569" s="113" t="str">
        <f>IFERROR(__xludf.DUMMYFUNCTION("TRIM(REGEXREPLACE(C569, ""[0-9]+[a-f]?\."", """"))"),"")</f>
        <v/>
      </c>
      <c r="H569" s="113" t="str">
        <f>IFERROR(__xludf.DUMMYFUNCTION("TRIM(REGEXREPLACE(D569, ""[0-9]+[a-f]?\."", """"))"),"")</f>
        <v/>
      </c>
      <c r="I569" s="113" t="str">
        <f>IFERROR(__xludf.DUMMYFUNCTION("TRIM(REGEXREPLACE(E569, ""[0-9]+[a-f]?\."", """"))"),"")</f>
        <v/>
      </c>
      <c r="J569" s="113" t="s">
        <v>2966</v>
      </c>
      <c r="K569" s="113" t="s">
        <v>2968</v>
      </c>
      <c r="L569" s="113" t="s">
        <v>2969</v>
      </c>
    </row>
    <row r="570" hidden="1">
      <c r="A570" s="80" t="s">
        <v>115</v>
      </c>
      <c r="B570" s="81" t="s">
        <v>2970</v>
      </c>
      <c r="C570" s="82"/>
      <c r="D570" s="83"/>
      <c r="E570" s="83"/>
      <c r="F570" s="110">
        <v>320.0</v>
      </c>
      <c r="G570" s="113" t="str">
        <f>IFERROR(__xludf.DUMMYFUNCTION("TRIM(REGEXREPLACE(C570, ""[0-9]+[a-f]?\."", """"))"),"")</f>
        <v/>
      </c>
      <c r="H570" s="113" t="str">
        <f>IFERROR(__xludf.DUMMYFUNCTION("TRIM(REGEXREPLACE(D570, ""[0-9]+[a-f]?\."", """"))"),"")</f>
        <v/>
      </c>
      <c r="I570" s="113" t="str">
        <f>IFERROR(__xludf.DUMMYFUNCTION("TRIM(REGEXREPLACE(E570, ""[0-9]+[a-f]?\."", """"))"),"")</f>
        <v/>
      </c>
      <c r="J570" s="113" t="s">
        <v>2971</v>
      </c>
      <c r="K570" s="113" t="s">
        <v>2972</v>
      </c>
      <c r="L570" s="113" t="s">
        <v>2973</v>
      </c>
    </row>
    <row r="571" hidden="1">
      <c r="B571" s="119"/>
      <c r="C571" s="119"/>
      <c r="D571" s="119"/>
      <c r="E571" s="119"/>
      <c r="F571" s="110">
        <v>325.0</v>
      </c>
      <c r="G571" s="113" t="str">
        <f>IFERROR(__xludf.DUMMYFUNCTION("TRIM(REGEXREPLACE(C571, ""[0-9]+[a-f]?\."", """"))"),"")</f>
        <v/>
      </c>
      <c r="H571" s="113" t="str">
        <f>IFERROR(__xludf.DUMMYFUNCTION("TRIM(REGEXREPLACE(D571, ""[0-9]+[a-f]?\."", """"))"),"")</f>
        <v/>
      </c>
      <c r="I571" s="113" t="str">
        <f>IFERROR(__xludf.DUMMYFUNCTION("TRIM(REGEXREPLACE(E571, ""[0-9]+[a-f]?\."", """"))"),"")</f>
        <v/>
      </c>
    </row>
    <row r="572" hidden="1"/>
    <row r="573" hidden="1">
      <c r="B573" s="119"/>
      <c r="C573" s="119"/>
      <c r="D573" s="119"/>
      <c r="E573" s="119"/>
      <c r="F573" s="110">
        <v>325.0</v>
      </c>
      <c r="G573" s="113" t="str">
        <f>IFERROR(__xludf.DUMMYFUNCTION("TRIM(REGEXREPLACE(C573, ""[0-9]+[a-f]?\."", """"))"),"")</f>
        <v/>
      </c>
      <c r="H573" s="113" t="str">
        <f>IFERROR(__xludf.DUMMYFUNCTION("TRIM(REGEXREPLACE(D573, ""[0-9]+[a-f]?\."", """"))"),"")</f>
        <v/>
      </c>
      <c r="I573" s="113" t="str">
        <f>IFERROR(__xludf.DUMMYFUNCTION("TRIM(REGEXREPLACE(E573, ""[0-9]+[a-f]?\."", """"))"),"")</f>
        <v/>
      </c>
      <c r="J573" s="113" t="s">
        <v>2974</v>
      </c>
      <c r="K573" s="113" t="s">
        <v>2975</v>
      </c>
      <c r="L573" s="113" t="s">
        <v>2975</v>
      </c>
    </row>
    <row r="574" hidden="1"/>
    <row r="575" hidden="1">
      <c r="A575" s="141"/>
      <c r="B575" s="141"/>
      <c r="C575" s="141"/>
      <c r="D575" s="141"/>
      <c r="E575" s="141"/>
      <c r="F575" s="110">
        <v>321.0</v>
      </c>
      <c r="G575" s="113" t="str">
        <f>IFERROR(__xludf.DUMMYFUNCTION("TRIM(REGEXREPLACE(C575, ""[0-9]+[a-f]?\."", """"))"),"")</f>
        <v/>
      </c>
      <c r="H575" s="113" t="str">
        <f>IFERROR(__xludf.DUMMYFUNCTION("TRIM(REGEXREPLACE(D575, ""[0-9]+[a-f]?\."", """"))"),"")</f>
        <v/>
      </c>
      <c r="I575" s="113" t="str">
        <f>IFERROR(__xludf.DUMMYFUNCTION("TRIM(REGEXREPLACE(E575, ""[0-9]+[a-f]?\."", """"))"),"")</f>
        <v/>
      </c>
      <c r="J575" s="113" t="s">
        <v>2979</v>
      </c>
      <c r="K575" s="113" t="s">
        <v>2980</v>
      </c>
      <c r="L575" s="113" t="s">
        <v>2981</v>
      </c>
    </row>
    <row r="576" hidden="1">
      <c r="A576" s="80" t="s">
        <v>150</v>
      </c>
      <c r="B576" s="81" t="s">
        <v>2982</v>
      </c>
      <c r="C576" s="82"/>
      <c r="D576" s="83"/>
      <c r="E576" s="83"/>
      <c r="F576" s="110">
        <v>322.0</v>
      </c>
      <c r="G576" s="113" t="str">
        <f>IFERROR(__xludf.DUMMYFUNCTION("TRIM(REGEXREPLACE(C576, ""[0-9]+[a-f]?\."", """"))"),"")</f>
        <v/>
      </c>
      <c r="H576" s="113" t="str">
        <f>IFERROR(__xludf.DUMMYFUNCTION("TRIM(REGEXREPLACE(D576, ""[0-9]+[a-f]?\."", """"))"),"")</f>
        <v/>
      </c>
      <c r="I576" s="113" t="str">
        <f>IFERROR(__xludf.DUMMYFUNCTION("TRIM(REGEXREPLACE(E576, ""[0-9]+[a-f]?\."", """"))"),"")</f>
        <v/>
      </c>
      <c r="J576" s="113" t="s">
        <v>2983</v>
      </c>
      <c r="K576" s="113" t="s">
        <v>2984</v>
      </c>
      <c r="L576" s="113" t="s">
        <v>2985</v>
      </c>
    </row>
    <row r="577" hidden="1">
      <c r="A577" s="150" t="s">
        <v>161</v>
      </c>
      <c r="B577" s="252" t="s">
        <v>2986</v>
      </c>
      <c r="C577" s="82" t="s">
        <v>2990</v>
      </c>
      <c r="D577" s="84"/>
      <c r="E577" s="84"/>
      <c r="F577" s="110">
        <v>323.0</v>
      </c>
      <c r="G577" s="113" t="str">
        <f>IFERROR(__xludf.DUMMYFUNCTION("TRIM(REGEXREPLACE(C577, ""[0-9]+[a-f]?\."", """"))"),"HoH Questionnaire")</f>
        <v>HoH Questionnaire</v>
      </c>
      <c r="H577" s="113" t="str">
        <f>IFERROR(__xludf.DUMMYFUNCTION("TRIM(REGEXREPLACE(D577, ""[0-9]+[a-f]?\."", """"))"),"")</f>
        <v/>
      </c>
      <c r="I577" s="113" t="str">
        <f>IFERROR(__xludf.DUMMYFUNCTION("TRIM(REGEXREPLACE(E577, ""[0-9]+[a-f]?\."", """"))"),"")</f>
        <v/>
      </c>
      <c r="J577" s="113" t="s">
        <v>2991</v>
      </c>
      <c r="K577" s="113" t="s">
        <v>2992</v>
      </c>
      <c r="L577" s="113" t="s">
        <v>2993</v>
      </c>
    </row>
    <row r="578" hidden="1">
      <c r="B578" s="119"/>
      <c r="C578" s="119"/>
      <c r="D578" s="119"/>
      <c r="E578" s="119"/>
      <c r="F578" s="110">
        <v>327.0</v>
      </c>
      <c r="G578" s="113" t="str">
        <f>IFERROR(__xludf.DUMMYFUNCTION("TRIM(REGEXREPLACE(C578, ""[0-9]+[a-f]?\."", """"))"),"")</f>
        <v/>
      </c>
      <c r="H578" s="113" t="str">
        <f>IFERROR(__xludf.DUMMYFUNCTION("TRIM(REGEXREPLACE(D578, ""[0-9]+[a-f]?\."", """"))"),"")</f>
        <v/>
      </c>
      <c r="I578" s="113" t="str">
        <f>IFERROR(__xludf.DUMMYFUNCTION("TRIM(REGEXREPLACE(E578, ""[0-9]+[a-f]?\."", """"))"),"")</f>
        <v/>
      </c>
      <c r="J578" s="113" t="s">
        <v>2994</v>
      </c>
      <c r="K578" s="113" t="s">
        <v>2995</v>
      </c>
      <c r="L578" s="113" t="s">
        <v>2996</v>
      </c>
    </row>
    <row r="579">
      <c r="A579" s="152" t="s">
        <v>44</v>
      </c>
      <c r="B579" s="253" t="s">
        <v>2997</v>
      </c>
      <c r="C579" s="76" t="s">
        <v>1685</v>
      </c>
      <c r="D579" s="76">
        <v>198.0</v>
      </c>
      <c r="E579" s="76">
        <v>198.0</v>
      </c>
      <c r="F579" s="110">
        <v>200.0</v>
      </c>
      <c r="G579" s="113" t="str">
        <f>IFERROR(__xludf.DUMMYFUNCTION("TRIM(REGEXREPLACE(C579, ""[0-9]+[a-f]?\."", """"))"),"HoH Questions")</f>
        <v>HoH Questions</v>
      </c>
      <c r="H579" s="113" t="str">
        <f>IFERROR(__xludf.DUMMYFUNCTION("TRIM(REGEXREPLACE(D579, ""[0-9]+[a-f]?\."", """"))"),"#VALUE!")</f>
        <v>#VALUE!</v>
      </c>
      <c r="I579" s="113" t="str">
        <f>IFERROR(__xludf.DUMMYFUNCTION("TRIM(REGEXREPLACE(E579, ""[0-9]+[a-f]?\."", """"))"),"#VALUE!")</f>
        <v>#VALUE!</v>
      </c>
      <c r="J579" s="113" t="str">
        <f>F579 &amp; ". " &amp;G579</f>
        <v>200. HoH Questions</v>
      </c>
      <c r="K579" s="113" t="str">
        <f>F579 &amp; ". " &amp;H579</f>
        <v>#VALUE!</v>
      </c>
      <c r="L579" s="113" t="str">
        <f>F579 &amp; ". " &amp;I579</f>
        <v>#VALUE!</v>
      </c>
    </row>
    <row r="580" hidden="1">
      <c r="A580" s="131" t="s">
        <v>115</v>
      </c>
      <c r="B580" s="142" t="s">
        <v>3001</v>
      </c>
      <c r="C580" s="133"/>
      <c r="D580" s="133"/>
      <c r="E580" s="133"/>
      <c r="F580" s="110">
        <v>325.0</v>
      </c>
      <c r="G580" s="113" t="str">
        <f>IFERROR(__xludf.DUMMYFUNCTION("TRIM(REGEXREPLACE(C580, ""[0-9]+[a-f]?\."", """"))"),"")</f>
        <v/>
      </c>
      <c r="H580" s="113" t="str">
        <f>IFERROR(__xludf.DUMMYFUNCTION("TRIM(REGEXREPLACE(D580, ""[0-9]+[a-f]?\."", """"))"),"")</f>
        <v/>
      </c>
      <c r="I580" s="113" t="str">
        <f>IFERROR(__xludf.DUMMYFUNCTION("TRIM(REGEXREPLACE(E580, ""[0-9]+[a-f]?\."", """"))"),"")</f>
        <v/>
      </c>
      <c r="J580" s="113" t="s">
        <v>3005</v>
      </c>
      <c r="K580" s="113" t="s">
        <v>3006</v>
      </c>
      <c r="L580" s="113" t="s">
        <v>3007</v>
      </c>
    </row>
    <row r="581" hidden="1">
      <c r="A581" s="167" t="s">
        <v>807</v>
      </c>
      <c r="B581" s="254" t="s">
        <v>3008</v>
      </c>
      <c r="C581" s="168" t="s">
        <v>3009</v>
      </c>
      <c r="D581" s="169"/>
      <c r="E581" s="169"/>
      <c r="F581" s="110">
        <v>326.0</v>
      </c>
      <c r="G581" s="113" t="str">
        <f>IFERROR(__xludf.DUMMYFUNCTION("TRIM(REGEXREPLACE(C581, ""[0-9]+[a-f]?\."", """"))"),"Create line separate list of hh members")</f>
        <v>Create line separate list of hh members</v>
      </c>
      <c r="H581" s="113" t="str">
        <f>IFERROR(__xludf.DUMMYFUNCTION("TRIM(REGEXREPLACE(D581, ""[0-9]+[a-f]?\."", """"))"),"")</f>
        <v/>
      </c>
      <c r="I581" s="113" t="str">
        <f>IFERROR(__xludf.DUMMYFUNCTION("TRIM(REGEXREPLACE(E581, ""[0-9]+[a-f]?\."", """"))"),"")</f>
        <v/>
      </c>
      <c r="J581" s="113" t="s">
        <v>3010</v>
      </c>
      <c r="K581" s="113" t="s">
        <v>3011</v>
      </c>
      <c r="L581" s="113" t="s">
        <v>3012</v>
      </c>
    </row>
    <row r="582" hidden="1"/>
    <row r="583" hidden="1"/>
    <row r="584" hidden="1">
      <c r="B584" s="119"/>
      <c r="C584" s="119"/>
      <c r="D584" s="119"/>
      <c r="E584" s="119"/>
      <c r="F584" s="110">
        <v>330.0</v>
      </c>
      <c r="G584" s="113" t="str">
        <f>IFERROR(__xludf.DUMMYFUNCTION("TRIM(REGEXREPLACE(C584, ""[0-9]+[a-f]?\."", """"))"),"")</f>
        <v/>
      </c>
      <c r="H584" s="113" t="str">
        <f>IFERROR(__xludf.DUMMYFUNCTION("TRIM(REGEXREPLACE(D584, ""[0-9]+[a-f]?\."", """"))"),"")</f>
        <v/>
      </c>
      <c r="I584" s="113" t="str">
        <f>IFERROR(__xludf.DUMMYFUNCTION("TRIM(REGEXREPLACE(E584, ""[0-9]+[a-f]?\."", """"))"),"")</f>
        <v/>
      </c>
    </row>
    <row r="585" hidden="1">
      <c r="B585" s="119"/>
      <c r="C585" s="119"/>
      <c r="D585" s="119"/>
      <c r="E585" s="119"/>
      <c r="F585" s="110">
        <v>331.0</v>
      </c>
      <c r="G585" s="113" t="str">
        <f>IFERROR(__xludf.DUMMYFUNCTION("TRIM(REGEXREPLACE(C585, ""[0-9]+[a-f]?\."", """"))"),"")</f>
        <v/>
      </c>
      <c r="H585" s="113" t="str">
        <f>IFERROR(__xludf.DUMMYFUNCTION("TRIM(REGEXREPLACE(D585, ""[0-9]+[a-f]?\."", """"))"),"")</f>
        <v/>
      </c>
      <c r="I585" s="113" t="str">
        <f>IFERROR(__xludf.DUMMYFUNCTION("TRIM(REGEXREPLACE(E585, ""[0-9]+[a-f]?\."", """"))"),"")</f>
        <v/>
      </c>
    </row>
    <row r="586" hidden="1">
      <c r="B586" s="119"/>
      <c r="C586" s="119"/>
      <c r="D586" s="119"/>
      <c r="E586" s="119"/>
      <c r="F586" s="110">
        <v>330.0</v>
      </c>
      <c r="G586" s="113" t="str">
        <f>IFERROR(__xludf.DUMMYFUNCTION("TRIM(REGEXREPLACE(C586, ""[0-9]+[a-f]?\."", """"))"),"")</f>
        <v/>
      </c>
      <c r="H586" s="113" t="str">
        <f>IFERROR(__xludf.DUMMYFUNCTION("TRIM(REGEXREPLACE(D586, ""[0-9]+[a-f]?\."", """"))"),"")</f>
        <v/>
      </c>
      <c r="I586" s="113" t="str">
        <f>IFERROR(__xludf.DUMMYFUNCTION("TRIM(REGEXREPLACE(E586, ""[0-9]+[a-f]?\."", """"))"),"")</f>
        <v/>
      </c>
      <c r="J586" s="113" t="s">
        <v>3016</v>
      </c>
      <c r="K586" s="113" t="s">
        <v>3017</v>
      </c>
      <c r="L586" s="113" t="s">
        <v>3018</v>
      </c>
    </row>
    <row r="587" hidden="1">
      <c r="A587" s="131" t="s">
        <v>115</v>
      </c>
      <c r="B587" s="142" t="s">
        <v>3019</v>
      </c>
      <c r="C587" s="133"/>
      <c r="D587" s="133"/>
      <c r="E587" s="133"/>
      <c r="F587" s="110">
        <v>327.0</v>
      </c>
      <c r="G587" s="113" t="str">
        <f>IFERROR(__xludf.DUMMYFUNCTION("TRIM(REGEXREPLACE(C587, ""[0-9]+[a-f]?\."", """"))"),"")</f>
        <v/>
      </c>
      <c r="H587" s="113" t="str">
        <f>IFERROR(__xludf.DUMMYFUNCTION("TRIM(REGEXREPLACE(D587, ""[0-9]+[a-f]?\."", """"))"),"")</f>
        <v/>
      </c>
      <c r="I587" s="113" t="str">
        <f>IFERROR(__xludf.DUMMYFUNCTION("TRIM(REGEXREPLACE(E587, ""[0-9]+[a-f]?\."", """"))"),"")</f>
        <v/>
      </c>
      <c r="J587" s="113" t="s">
        <v>3020</v>
      </c>
      <c r="K587" s="113" t="s">
        <v>3021</v>
      </c>
      <c r="L587" s="113" t="s">
        <v>3023</v>
      </c>
    </row>
    <row r="588" hidden="1">
      <c r="B588" s="119"/>
      <c r="C588" s="119"/>
      <c r="D588" s="119"/>
      <c r="E588" s="119"/>
      <c r="F588" s="110">
        <v>332.0</v>
      </c>
      <c r="G588" s="113" t="str">
        <f>IFERROR(__xludf.DUMMYFUNCTION("TRIM(REGEXREPLACE(C588, ""[0-9]+[a-f]?\."", """"))"),"")</f>
        <v/>
      </c>
      <c r="H588" s="113" t="str">
        <f>IFERROR(__xludf.DUMMYFUNCTION("TRIM(REGEXREPLACE(D588, ""[0-9]+[a-f]?\."", """"))"),"")</f>
        <v/>
      </c>
      <c r="I588" s="113" t="str">
        <f>IFERROR(__xludf.DUMMYFUNCTION("TRIM(REGEXREPLACE(E588, ""[0-9]+[a-f]?\."", """"))"),"")</f>
        <v/>
      </c>
      <c r="J588" s="113" t="s">
        <v>3026</v>
      </c>
      <c r="K588" s="113" t="s">
        <v>3027</v>
      </c>
      <c r="L588" s="113" t="s">
        <v>3028</v>
      </c>
    </row>
    <row r="589" hidden="1">
      <c r="B589" s="119"/>
      <c r="C589" s="119"/>
      <c r="D589" s="119"/>
      <c r="E589" s="119"/>
      <c r="F589" s="110">
        <v>334.0</v>
      </c>
      <c r="G589" s="113" t="str">
        <f>IFERROR(__xludf.DUMMYFUNCTION("TRIM(REGEXREPLACE(C589, ""[0-9]+[a-f]?\."", """"))"),"")</f>
        <v/>
      </c>
      <c r="H589" s="113" t="str">
        <f>IFERROR(__xludf.DUMMYFUNCTION("TRIM(REGEXREPLACE(D589, ""[0-9]+[a-f]?\."", """"))"),"")</f>
        <v/>
      </c>
      <c r="I589" s="113" t="str">
        <f>IFERROR(__xludf.DUMMYFUNCTION("TRIM(REGEXREPLACE(E589, ""[0-9]+[a-f]?\."", """"))"),"")</f>
        <v/>
      </c>
    </row>
    <row r="590" hidden="1">
      <c r="B590" s="119"/>
      <c r="C590" s="119"/>
      <c r="D590" s="119"/>
      <c r="E590" s="119"/>
      <c r="F590" s="110">
        <v>333.0</v>
      </c>
      <c r="G590" s="113" t="str">
        <f>IFERROR(__xludf.DUMMYFUNCTION("TRIM(REGEXREPLACE(C590, ""[0-9]+[a-f]?\."", """"))"),"")</f>
        <v/>
      </c>
      <c r="H590" s="113" t="str">
        <f>IFERROR(__xludf.DUMMYFUNCTION("TRIM(REGEXREPLACE(D590, ""[0-9]+[a-f]?\."", """"))"),"")</f>
        <v/>
      </c>
      <c r="I590" s="113" t="str">
        <f>IFERROR(__xludf.DUMMYFUNCTION("TRIM(REGEXREPLACE(E590, ""[0-9]+[a-f]?\."", """"))"),"")</f>
        <v/>
      </c>
      <c r="J590" s="113" t="s">
        <v>3029</v>
      </c>
      <c r="K590" s="113" t="s">
        <v>3030</v>
      </c>
      <c r="L590" s="113" t="s">
        <v>3032</v>
      </c>
    </row>
    <row r="591" hidden="1">
      <c r="A591" s="131" t="s">
        <v>115</v>
      </c>
      <c r="B591" s="142" t="s">
        <v>3035</v>
      </c>
      <c r="C591" s="133"/>
      <c r="D591" s="133"/>
      <c r="E591" s="133"/>
      <c r="F591" s="110">
        <v>328.0</v>
      </c>
      <c r="G591" s="113" t="str">
        <f>IFERROR(__xludf.DUMMYFUNCTION("TRIM(REGEXREPLACE(C591, ""[0-9]+[a-f]?\."", """"))"),"")</f>
        <v/>
      </c>
      <c r="H591" s="113" t="str">
        <f>IFERROR(__xludf.DUMMYFUNCTION("TRIM(REGEXREPLACE(D591, ""[0-9]+[a-f]?\."", """"))"),"")</f>
        <v/>
      </c>
      <c r="I591" s="113" t="str">
        <f>IFERROR(__xludf.DUMMYFUNCTION("TRIM(REGEXREPLACE(E591, ""[0-9]+[a-f]?\."", """"))"),"")</f>
        <v/>
      </c>
      <c r="J591" s="113" t="s">
        <v>3037</v>
      </c>
      <c r="K591" s="113" t="s">
        <v>3038</v>
      </c>
      <c r="L591" s="113" t="s">
        <v>3039</v>
      </c>
    </row>
    <row r="592" hidden="1">
      <c r="A592" s="131" t="s">
        <v>115</v>
      </c>
      <c r="B592" s="142" t="s">
        <v>3040</v>
      </c>
      <c r="C592" s="133"/>
      <c r="D592" s="133"/>
      <c r="E592" s="133"/>
      <c r="F592" s="110">
        <v>329.0</v>
      </c>
      <c r="G592" s="113" t="str">
        <f>IFERROR(__xludf.DUMMYFUNCTION("TRIM(REGEXREPLACE(C592, ""[0-9]+[a-f]?\."", """"))"),"")</f>
        <v/>
      </c>
      <c r="H592" s="113" t="str">
        <f>IFERROR(__xludf.DUMMYFUNCTION("TRIM(REGEXREPLACE(D592, ""[0-9]+[a-f]?\."", """"))"),"")</f>
        <v/>
      </c>
      <c r="I592" s="113" t="str">
        <f>IFERROR(__xludf.DUMMYFUNCTION("TRIM(REGEXREPLACE(E592, ""[0-9]+[a-f]?\."", """"))"),"")</f>
        <v/>
      </c>
      <c r="J592" s="113" t="s">
        <v>3041</v>
      </c>
      <c r="K592" s="113" t="s">
        <v>3042</v>
      </c>
      <c r="L592" s="113" t="s">
        <v>3043</v>
      </c>
    </row>
    <row r="593" hidden="1"/>
    <row r="594" hidden="1">
      <c r="A594" s="131" t="s">
        <v>115</v>
      </c>
      <c r="B594" s="142" t="s">
        <v>3044</v>
      </c>
      <c r="C594" s="133"/>
      <c r="D594" s="133"/>
      <c r="E594" s="133"/>
      <c r="F594" s="110">
        <v>330.0</v>
      </c>
      <c r="G594" s="113" t="str">
        <f>IFERROR(__xludf.DUMMYFUNCTION("TRIM(REGEXREPLACE(C594, ""[0-9]+[a-f]?\."", """"))"),"")</f>
        <v/>
      </c>
      <c r="H594" s="113" t="str">
        <f>IFERROR(__xludf.DUMMYFUNCTION("TRIM(REGEXREPLACE(D594, ""[0-9]+[a-f]?\."", """"))"),"")</f>
        <v/>
      </c>
      <c r="I594" s="113" t="str">
        <f>IFERROR(__xludf.DUMMYFUNCTION("TRIM(REGEXREPLACE(E594, ""[0-9]+[a-f]?\."", """"))"),"")</f>
        <v/>
      </c>
      <c r="J594" s="113" t="s">
        <v>3045</v>
      </c>
      <c r="K594" s="113" t="s">
        <v>3046</v>
      </c>
      <c r="L594" s="113" t="s">
        <v>3047</v>
      </c>
    </row>
    <row r="595" hidden="1">
      <c r="A595" s="131" t="s">
        <v>115</v>
      </c>
      <c r="B595" s="142" t="s">
        <v>3048</v>
      </c>
      <c r="C595" s="133"/>
      <c r="D595" s="133"/>
      <c r="E595" s="133"/>
      <c r="F595" s="110">
        <v>331.0</v>
      </c>
      <c r="G595" s="113" t="str">
        <f>IFERROR(__xludf.DUMMYFUNCTION("TRIM(REGEXREPLACE(C595, ""[0-9]+[a-f]?\."", """"))"),"")</f>
        <v/>
      </c>
      <c r="H595" s="113" t="str">
        <f>IFERROR(__xludf.DUMMYFUNCTION("TRIM(REGEXREPLACE(D595, ""[0-9]+[a-f]?\."", """"))"),"")</f>
        <v/>
      </c>
      <c r="I595" s="113" t="str">
        <f>IFERROR(__xludf.DUMMYFUNCTION("TRIM(REGEXREPLACE(E595, ""[0-9]+[a-f]?\."", """"))"),"")</f>
        <v/>
      </c>
      <c r="J595" s="113" t="s">
        <v>3049</v>
      </c>
      <c r="K595" s="113" t="s">
        <v>3050</v>
      </c>
      <c r="L595" s="113" t="s">
        <v>3051</v>
      </c>
    </row>
    <row r="596" hidden="1"/>
    <row r="597" hidden="1">
      <c r="B597" s="119"/>
      <c r="C597" s="119"/>
      <c r="D597" s="119"/>
      <c r="E597" s="119"/>
      <c r="F597" s="110">
        <v>336.0</v>
      </c>
      <c r="G597" s="113" t="str">
        <f>IFERROR(__xludf.DUMMYFUNCTION("TRIM(REGEXREPLACE(C597, ""[0-9]+[a-f]?\."", """"))"),"")</f>
        <v/>
      </c>
      <c r="H597" s="113" t="str">
        <f>IFERROR(__xludf.DUMMYFUNCTION("TRIM(REGEXREPLACE(D597, ""[0-9]+[a-f]?\."", """"))"),"")</f>
        <v/>
      </c>
      <c r="I597" s="113" t="str">
        <f>IFERROR(__xludf.DUMMYFUNCTION("TRIM(REGEXREPLACE(E597, ""[0-9]+[a-f]?\."", """"))"),"")</f>
        <v/>
      </c>
    </row>
    <row r="598" hidden="1">
      <c r="B598" s="119"/>
      <c r="C598" s="119"/>
      <c r="D598" s="119"/>
      <c r="E598" s="119"/>
      <c r="F598" s="110">
        <v>337.0</v>
      </c>
      <c r="G598" s="113" t="str">
        <f>IFERROR(__xludf.DUMMYFUNCTION("TRIM(REGEXREPLACE(C598, ""[0-9]+[a-f]?\."", """"))"),"")</f>
        <v/>
      </c>
      <c r="H598" s="113" t="str">
        <f>IFERROR(__xludf.DUMMYFUNCTION("TRIM(REGEXREPLACE(D598, ""[0-9]+[a-f]?\."", """"))"),"")</f>
        <v/>
      </c>
      <c r="I598" s="113" t="str">
        <f>IFERROR(__xludf.DUMMYFUNCTION("TRIM(REGEXREPLACE(E598, ""[0-9]+[a-f]?\."", """"))"),"")</f>
        <v/>
      </c>
    </row>
    <row r="599" hidden="1">
      <c r="B599" s="119"/>
      <c r="C599" s="119"/>
      <c r="D599" s="119"/>
      <c r="E599" s="119"/>
      <c r="F599" s="110">
        <v>336.0</v>
      </c>
      <c r="G599" s="113" t="str">
        <f>IFERROR(__xludf.DUMMYFUNCTION("TRIM(REGEXREPLACE(C599, ""[0-9]+[a-f]?\."", """"))"),"")</f>
        <v/>
      </c>
      <c r="H599" s="113" t="str">
        <f>IFERROR(__xludf.DUMMYFUNCTION("TRIM(REGEXREPLACE(D599, ""[0-9]+[a-f]?\."", """"))"),"")</f>
        <v/>
      </c>
      <c r="I599" s="113" t="str">
        <f>IFERROR(__xludf.DUMMYFUNCTION("TRIM(REGEXREPLACE(E599, ""[0-9]+[a-f]?\."", """"))"),"")</f>
        <v/>
      </c>
      <c r="J599" s="113" t="s">
        <v>3053</v>
      </c>
      <c r="K599" s="113" t="s">
        <v>3054</v>
      </c>
      <c r="L599" s="113" t="s">
        <v>3055</v>
      </c>
    </row>
    <row r="600" hidden="1">
      <c r="A600" s="167" t="s">
        <v>842</v>
      </c>
      <c r="B600" s="167" t="s">
        <v>3008</v>
      </c>
      <c r="C600" s="169"/>
      <c r="D600" s="169"/>
      <c r="E600" s="169"/>
      <c r="F600" s="110">
        <v>332.0</v>
      </c>
      <c r="G600" s="113" t="str">
        <f>IFERROR(__xludf.DUMMYFUNCTION("TRIM(REGEXREPLACE(C600, ""[0-9]+[a-f]?\."", """"))"),"")</f>
        <v/>
      </c>
      <c r="H600" s="113" t="str">
        <f>IFERROR(__xludf.DUMMYFUNCTION("TRIM(REGEXREPLACE(D600, ""[0-9]+[a-f]?\."", """"))"),"")</f>
        <v/>
      </c>
      <c r="I600" s="113" t="str">
        <f>IFERROR(__xludf.DUMMYFUNCTION("TRIM(REGEXREPLACE(E600, ""[0-9]+[a-f]?\."", """"))"),"")</f>
        <v/>
      </c>
      <c r="J600" s="113" t="s">
        <v>3056</v>
      </c>
      <c r="K600" s="113" t="s">
        <v>3057</v>
      </c>
      <c r="L600" s="113" t="s">
        <v>3058</v>
      </c>
    </row>
    <row r="601" hidden="1">
      <c r="A601" s="131" t="s">
        <v>115</v>
      </c>
      <c r="B601" s="142" t="s">
        <v>3059</v>
      </c>
      <c r="C601" s="133"/>
      <c r="D601" s="133"/>
      <c r="E601" s="133"/>
      <c r="F601" s="110">
        <v>333.0</v>
      </c>
      <c r="G601" s="113" t="str">
        <f>IFERROR(__xludf.DUMMYFUNCTION("TRIM(REGEXREPLACE(C601, ""[0-9]+[a-f]?\."", """"))"),"")</f>
        <v/>
      </c>
      <c r="H601" s="113" t="str">
        <f>IFERROR(__xludf.DUMMYFUNCTION("TRIM(REGEXREPLACE(D601, ""[0-9]+[a-f]?\."", """"))"),"")</f>
        <v/>
      </c>
      <c r="I601" s="113" t="str">
        <f>IFERROR(__xludf.DUMMYFUNCTION("TRIM(REGEXREPLACE(E601, ""[0-9]+[a-f]?\."", """"))"),"")</f>
        <v/>
      </c>
      <c r="J601" s="113" t="s">
        <v>3060</v>
      </c>
      <c r="K601" s="113" t="s">
        <v>3061</v>
      </c>
      <c r="L601" s="113" t="s">
        <v>3062</v>
      </c>
    </row>
    <row r="602" hidden="1">
      <c r="A602" s="80" t="s">
        <v>150</v>
      </c>
      <c r="B602" s="164" t="s">
        <v>3063</v>
      </c>
      <c r="C602" s="82"/>
      <c r="D602" s="83"/>
      <c r="E602" s="83"/>
      <c r="F602" s="110">
        <v>334.0</v>
      </c>
      <c r="G602" s="113" t="str">
        <f>IFERROR(__xludf.DUMMYFUNCTION("TRIM(REGEXREPLACE(C602, ""[0-9]+[a-f]?\."", """"))"),"")</f>
        <v/>
      </c>
      <c r="H602" s="113" t="str">
        <f>IFERROR(__xludf.DUMMYFUNCTION("TRIM(REGEXREPLACE(D602, ""[0-9]+[a-f]?\."", """"))"),"")</f>
        <v/>
      </c>
      <c r="I602" s="113" t="str">
        <f>IFERROR(__xludf.DUMMYFUNCTION("TRIM(REGEXREPLACE(E602, ""[0-9]+[a-f]?\."", """"))"),"")</f>
        <v/>
      </c>
      <c r="J602" s="113" t="s">
        <v>3067</v>
      </c>
      <c r="K602" s="113" t="s">
        <v>3068</v>
      </c>
      <c r="L602" s="113" t="s">
        <v>3069</v>
      </c>
    </row>
    <row r="603" hidden="1">
      <c r="B603" s="119"/>
      <c r="C603" s="119"/>
      <c r="D603" s="119"/>
      <c r="E603" s="119"/>
      <c r="F603" s="110">
        <v>340.0</v>
      </c>
      <c r="G603" s="113" t="str">
        <f>IFERROR(__xludf.DUMMYFUNCTION("TRIM(REGEXREPLACE(C603, ""[0-9]+[a-f]?\."", """"))"),"")</f>
        <v/>
      </c>
      <c r="H603" s="113" t="str">
        <f>IFERROR(__xludf.DUMMYFUNCTION("TRIM(REGEXREPLACE(D603, ""[0-9]+[a-f]?\."", """"))"),"")</f>
        <v/>
      </c>
      <c r="I603" s="113" t="str">
        <f>IFERROR(__xludf.DUMMYFUNCTION("TRIM(REGEXREPLACE(E603, ""[0-9]+[a-f]?\."", """"))"),"")</f>
        <v/>
      </c>
      <c r="J603" s="113" t="s">
        <v>3070</v>
      </c>
      <c r="K603" s="113" t="s">
        <v>3071</v>
      </c>
      <c r="L603" s="113" t="s">
        <v>3072</v>
      </c>
    </row>
    <row r="604">
      <c r="A604" s="121" t="s">
        <v>44</v>
      </c>
      <c r="B604" s="157" t="s">
        <v>3073</v>
      </c>
      <c r="C604" s="76" t="s">
        <v>1763</v>
      </c>
      <c r="D604" s="76" t="s">
        <v>1764</v>
      </c>
      <c r="E604" s="76" t="s">
        <v>1766</v>
      </c>
      <c r="F604" s="110">
        <v>201.0</v>
      </c>
      <c r="G604" s="113" t="str">
        <f>IFERROR(__xludf.DUMMYFUNCTION("TRIM(REGEXREPLACE(C604,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604" s="113" t="str">
        <f>IFERROR(__xludf.DUMMYFUNCTION("TRIM(REGEXREPLACE(D604,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604" s="113" t="str">
        <f>IFERROR(__xludf.DUMMYFUNCTION("TRIM(REGEXREPLACE(E604,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604" s="113" t="str">
        <f t="shared" ref="J604:J606" si="139">F604 &amp; ". " &amp;G604</f>
        <v>201. A household is a group of people, related or unrelated, who live together in the same housing, pool their resources together, share their meals and recognize the authority of the same one person who is the head of household.</v>
      </c>
      <c r="K604" s="113" t="str">
        <f t="shared" ref="K604:K606" si="140">F604 &amp; ". " &amp;H604</f>
        <v>201. Un ménage est l’ensemble des personnes apparentées ou non qui vivent habituellement dans un même logement, mettent en commun leurs ressources, partagent leurs repas, et reconnaissent l’autorité d’une seule et même personne appelée chef de ménage.</v>
      </c>
      <c r="L604" s="113" t="str">
        <f t="shared" ref="L604:L606" si="141">F604 &amp; ". " &amp;I604</f>
        <v>201. Gida shine mutanen da ko dangi ko a'a wanda suke rayuwa cikin gida guda, sun sa dukiyar su tare, suna cin abinci tare, kuma sun yarda da shugabancin mutum ɗaya wanda a ke ce ma mai gida.</v>
      </c>
    </row>
    <row r="605">
      <c r="A605" s="114" t="s">
        <v>541</v>
      </c>
      <c r="B605" s="165" t="s">
        <v>3080</v>
      </c>
      <c r="C605" s="76" t="s">
        <v>3081</v>
      </c>
      <c r="D605" s="76" t="s">
        <v>3082</v>
      </c>
      <c r="E605" s="76" t="s">
        <v>3083</v>
      </c>
      <c r="F605" s="110">
        <v>202.0</v>
      </c>
      <c r="G605" s="113" t="str">
        <f>IFERROR(__xludf.DUMMYFUNCTION("TRIM(REGEXREPLACE(C605, ""[0-9]+[a-f]?\."", """"))"),"Are there new members in the household since we last spoke to you? For reference, these are the members you mentioned:
 ${hoh_roster_list}")</f>
        <v>Are there new members in the household since we last spoke to you? For reference, these are the members you mentioned:
 ${hoh_roster_list}</v>
      </c>
      <c r="H605" s="113" t="str">
        <f>IFERROR(__xludf.DUMMYFUNCTION("TRIM(REGEXREPLACE(D605,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605" s="113" t="str">
        <f>IFERROR(__xludf.DUMMYFUNCTION("TRIM(REGEXREPLACE(E605,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605" s="113" t="str">
        <f t="shared" si="139"/>
        <v>202. Are there new members in the household since we last spoke to you? For reference, these are the members you mentioned:
 ${hoh_roster_list}</v>
      </c>
      <c r="K605" s="113" t="str">
        <f t="shared" si="140"/>
        <v>202. Y a-t-il de nouveaux membres dans le foyer depuis notre dernière conversation ? Pour référence, voici les membres que vous avez mentionnés : 
 ${hoh_roster_list}</v>
      </c>
      <c r="L605" s="113" t="str">
        <f t="shared" si="141"/>
        <v>202. Shin akwai sabbin membobi a gidan tun da muka yi magana da ku a ƙarshe? Don tunani, waɗannan su ne membobin da ka ambata: 
 ${hoh_roster_list}</v>
      </c>
    </row>
    <row r="606">
      <c r="A606" s="170" t="s">
        <v>238</v>
      </c>
      <c r="B606" s="171" t="s">
        <v>3084</v>
      </c>
      <c r="C606" s="76" t="s">
        <v>3086</v>
      </c>
      <c r="D606" s="76" t="s">
        <v>3087</v>
      </c>
      <c r="E606" s="76" t="s">
        <v>3088</v>
      </c>
      <c r="F606" s="110">
        <v>203.0</v>
      </c>
      <c r="G606" s="113" t="str">
        <f>IFERROR(__xludf.DUMMYFUNCTION("TRIM(REGEXREPLACE(C606, ""[0-9]+[a-f]?\."", """"))"),"How many?")</f>
        <v>How many?</v>
      </c>
      <c r="H606" s="113" t="str">
        <f>IFERROR(__xludf.DUMMYFUNCTION("TRIM(REGEXREPLACE(D606, ""[0-9]+[a-f]?\."", """"))"),"Combien?")</f>
        <v>Combien?</v>
      </c>
      <c r="I606" s="113" t="str">
        <f>IFERROR(__xludf.DUMMYFUNCTION("TRIM(REGEXREPLACE(E606, ""[0-9]+[a-f]?\."", """"))"),"Nawa?")</f>
        <v>Nawa?</v>
      </c>
      <c r="J606" s="113" t="str">
        <f t="shared" si="139"/>
        <v>203. How many?</v>
      </c>
      <c r="K606" s="113" t="str">
        <f t="shared" si="140"/>
        <v>203. Combien?</v>
      </c>
      <c r="L606" s="113" t="str">
        <f t="shared" si="141"/>
        <v>203. Nawa?</v>
      </c>
    </row>
    <row r="607" hidden="1">
      <c r="B607" s="119"/>
      <c r="C607" s="119"/>
      <c r="D607" s="119"/>
      <c r="E607" s="119"/>
      <c r="F607" s="110">
        <v>344.0</v>
      </c>
      <c r="G607" s="113" t="str">
        <f>IFERROR(__xludf.DUMMYFUNCTION("TRIM(REGEXREPLACE(C607, ""[0-9]+[a-f]?\."", """"))"),"")</f>
        <v/>
      </c>
      <c r="H607" s="113" t="str">
        <f>IFERROR(__xludf.DUMMYFUNCTION("TRIM(REGEXREPLACE(D607, ""[0-9]+[a-f]?\."", """"))"),"")</f>
        <v/>
      </c>
      <c r="I607" s="113" t="str">
        <f>IFERROR(__xludf.DUMMYFUNCTION("TRIM(REGEXREPLACE(E607, ""[0-9]+[a-f]?\."", """"))"),"")</f>
        <v/>
      </c>
      <c r="J607" s="113" t="s">
        <v>3095</v>
      </c>
      <c r="K607" s="113" t="s">
        <v>3096</v>
      </c>
      <c r="L607" s="113" t="s">
        <v>3097</v>
      </c>
    </row>
    <row r="608" hidden="1">
      <c r="B608" s="119"/>
      <c r="C608" s="119"/>
      <c r="D608" s="119"/>
      <c r="E608" s="119"/>
      <c r="F608" s="110">
        <v>345.0</v>
      </c>
      <c r="G608" s="113" t="str">
        <f>IFERROR(__xludf.DUMMYFUNCTION("TRIM(REGEXREPLACE(C608, ""[0-9]+[a-f]?\."", """"))"),"")</f>
        <v/>
      </c>
      <c r="H608" s="113" t="str">
        <f>IFERROR(__xludf.DUMMYFUNCTION("TRIM(REGEXREPLACE(D608, ""[0-9]+[a-f]?\."", """"))"),"")</f>
        <v/>
      </c>
      <c r="I608" s="113" t="str">
        <f>IFERROR(__xludf.DUMMYFUNCTION("TRIM(REGEXREPLACE(E608, ""[0-9]+[a-f]?\."", """"))"),"")</f>
        <v/>
      </c>
      <c r="J608" s="113" t="s">
        <v>3100</v>
      </c>
      <c r="K608" s="113" t="s">
        <v>3101</v>
      </c>
      <c r="L608" s="113" t="s">
        <v>3103</v>
      </c>
    </row>
    <row r="609" hidden="1">
      <c r="B609" s="119"/>
      <c r="C609" s="119"/>
      <c r="D609" s="119"/>
      <c r="E609" s="119"/>
      <c r="F609" s="110">
        <v>346.0</v>
      </c>
      <c r="G609" s="113" t="str">
        <f>IFERROR(__xludf.DUMMYFUNCTION("TRIM(REGEXREPLACE(C609, ""[0-9]+[a-f]?\."", """"))"),"")</f>
        <v/>
      </c>
      <c r="H609" s="113" t="str">
        <f>IFERROR(__xludf.DUMMYFUNCTION("TRIM(REGEXREPLACE(D609, ""[0-9]+[a-f]?\."", """"))"),"")</f>
        <v/>
      </c>
      <c r="I609" s="113" t="str">
        <f>IFERROR(__xludf.DUMMYFUNCTION("TRIM(REGEXREPLACE(E609, ""[0-9]+[a-f]?\."", """"))"),"")</f>
        <v/>
      </c>
      <c r="J609" s="113" t="s">
        <v>3107</v>
      </c>
      <c r="K609" s="113" t="s">
        <v>3108</v>
      </c>
      <c r="L609" s="113" t="s">
        <v>3109</v>
      </c>
    </row>
    <row r="610" hidden="1">
      <c r="B610" s="119"/>
      <c r="C610" s="119"/>
      <c r="D610" s="119"/>
      <c r="E610" s="119"/>
      <c r="F610" s="110">
        <v>347.0</v>
      </c>
      <c r="G610" s="113" t="str">
        <f>IFERROR(__xludf.DUMMYFUNCTION("TRIM(REGEXREPLACE(C610, ""[0-9]+[a-f]?\."", """"))"),"")</f>
        <v/>
      </c>
      <c r="H610" s="113" t="str">
        <f>IFERROR(__xludf.DUMMYFUNCTION("TRIM(REGEXREPLACE(D610, ""[0-9]+[a-f]?\."", """"))"),"")</f>
        <v/>
      </c>
      <c r="I610" s="113" t="str">
        <f>IFERROR(__xludf.DUMMYFUNCTION("TRIM(REGEXREPLACE(E610, ""[0-9]+[a-f]?\."", """"))"),"")</f>
        <v/>
      </c>
      <c r="J610" s="113" t="s">
        <v>3110</v>
      </c>
      <c r="K610" s="113" t="s">
        <v>3111</v>
      </c>
      <c r="L610" s="113" t="s">
        <v>3112</v>
      </c>
    </row>
    <row r="611" hidden="1">
      <c r="B611" s="119"/>
      <c r="C611" s="119"/>
      <c r="D611" s="119"/>
      <c r="E611" s="119"/>
      <c r="F611" s="110">
        <v>348.0</v>
      </c>
      <c r="G611" s="113" t="str">
        <f>IFERROR(__xludf.DUMMYFUNCTION("TRIM(REGEXREPLACE(C611, ""[0-9]+[a-f]?\."", """"))"),"")</f>
        <v/>
      </c>
      <c r="H611" s="113" t="str">
        <f>IFERROR(__xludf.DUMMYFUNCTION("TRIM(REGEXREPLACE(D611, ""[0-9]+[a-f]?\."", """"))"),"")</f>
        <v/>
      </c>
      <c r="I611" s="113" t="str">
        <f>IFERROR(__xludf.DUMMYFUNCTION("TRIM(REGEXREPLACE(E611, ""[0-9]+[a-f]?\."", """"))"),"")</f>
        <v/>
      </c>
      <c r="J611" s="113" t="s">
        <v>3114</v>
      </c>
      <c r="K611" s="113" t="s">
        <v>3115</v>
      </c>
      <c r="L611" s="113" t="s">
        <v>3116</v>
      </c>
    </row>
    <row r="612" hidden="1">
      <c r="B612" s="119"/>
      <c r="C612" s="119"/>
      <c r="D612" s="119"/>
      <c r="E612" s="119"/>
      <c r="F612" s="110">
        <v>349.0</v>
      </c>
      <c r="G612" s="113" t="str">
        <f>IFERROR(__xludf.DUMMYFUNCTION("TRIM(REGEXREPLACE(C612, ""[0-9]+[a-f]?\."", """"))"),"")</f>
        <v/>
      </c>
      <c r="H612" s="113" t="str">
        <f>IFERROR(__xludf.DUMMYFUNCTION("TRIM(REGEXREPLACE(D612, ""[0-9]+[a-f]?\."", """"))"),"")</f>
        <v/>
      </c>
      <c r="I612" s="113" t="str">
        <f>IFERROR(__xludf.DUMMYFUNCTION("TRIM(REGEXREPLACE(E612, ""[0-9]+[a-f]?\."", """"))"),"")</f>
        <v/>
      </c>
      <c r="J612" s="113" t="s">
        <v>3119</v>
      </c>
      <c r="K612" s="113" t="s">
        <v>3121</v>
      </c>
      <c r="L612" s="113" t="s">
        <v>3123</v>
      </c>
    </row>
    <row r="613" hidden="1">
      <c r="A613" s="167" t="s">
        <v>807</v>
      </c>
      <c r="B613" s="168" t="s">
        <v>3125</v>
      </c>
      <c r="C613" s="168" t="s">
        <v>3126</v>
      </c>
      <c r="D613" s="169"/>
      <c r="E613" s="169"/>
      <c r="F613" s="110">
        <v>338.0</v>
      </c>
      <c r="G613" s="113" t="str">
        <f>IFERROR(__xludf.DUMMYFUNCTION("TRIM(REGEXREPLACE(C613, ""[0-9]+[a-f]?\."", """"))"),"Add new members to existing roster")</f>
        <v>Add new members to existing roster</v>
      </c>
      <c r="H613" s="113" t="str">
        <f>IFERROR(__xludf.DUMMYFUNCTION("TRIM(REGEXREPLACE(D613, ""[0-9]+[a-f]?\."", """"))"),"")</f>
        <v/>
      </c>
      <c r="I613" s="113" t="str">
        <f>IFERROR(__xludf.DUMMYFUNCTION("TRIM(REGEXREPLACE(E613, ""[0-9]+[a-f]?\."", """"))"),"")</f>
        <v/>
      </c>
      <c r="J613" s="113" t="s">
        <v>3127</v>
      </c>
      <c r="K613" s="113" t="s">
        <v>3128</v>
      </c>
      <c r="L613" s="113" t="s">
        <v>3129</v>
      </c>
    </row>
    <row r="614" hidden="1">
      <c r="A614" s="131" t="s">
        <v>115</v>
      </c>
      <c r="B614" s="132" t="s">
        <v>3130</v>
      </c>
      <c r="C614" s="133" t="s">
        <v>3131</v>
      </c>
      <c r="D614" s="133"/>
      <c r="E614" s="133"/>
      <c r="F614" s="110">
        <v>339.0</v>
      </c>
      <c r="G614" s="113" t="str">
        <f>IFERROR(__xludf.DUMMYFUNCTION("TRIM(REGEXREPLACE(C614, ""[0-9]+[a-f]?\."", """"))"),"Index")</f>
        <v>Index</v>
      </c>
      <c r="H614" s="113" t="str">
        <f>IFERROR(__xludf.DUMMYFUNCTION("TRIM(REGEXREPLACE(D614, ""[0-9]+[a-f]?\."", """"))"),"")</f>
        <v/>
      </c>
      <c r="I614" s="113" t="str">
        <f>IFERROR(__xludf.DUMMYFUNCTION("TRIM(REGEXREPLACE(E614, ""[0-9]+[a-f]?\."", """"))"),"")</f>
        <v/>
      </c>
      <c r="J614" s="113" t="s">
        <v>3135</v>
      </c>
      <c r="K614" s="113" t="s">
        <v>3136</v>
      </c>
      <c r="L614" s="113" t="s">
        <v>3137</v>
      </c>
    </row>
    <row r="615" hidden="1">
      <c r="A615" s="131" t="s">
        <v>115</v>
      </c>
      <c r="B615" s="132" t="s">
        <v>3138</v>
      </c>
      <c r="C615" s="133"/>
      <c r="D615" s="133"/>
      <c r="E615" s="133"/>
      <c r="F615" s="110">
        <v>340.0</v>
      </c>
      <c r="G615" s="113" t="str">
        <f>IFERROR(__xludf.DUMMYFUNCTION("TRIM(REGEXREPLACE(C615, ""[0-9]+[a-f]?\."", """"))"),"")</f>
        <v/>
      </c>
      <c r="H615" s="113" t="str">
        <f>IFERROR(__xludf.DUMMYFUNCTION("TRIM(REGEXREPLACE(D615, ""[0-9]+[a-f]?\."", """"))"),"")</f>
        <v/>
      </c>
      <c r="I615" s="113" t="str">
        <f>IFERROR(__xludf.DUMMYFUNCTION("TRIM(REGEXREPLACE(E615, ""[0-9]+[a-f]?\."", """"))"),"")</f>
        <v/>
      </c>
      <c r="J615" s="113" t="s">
        <v>3139</v>
      </c>
      <c r="K615" s="113" t="s">
        <v>3140</v>
      </c>
      <c r="L615" s="113" t="s">
        <v>3141</v>
      </c>
    </row>
    <row r="616" hidden="1">
      <c r="A616" s="131" t="s">
        <v>115</v>
      </c>
      <c r="B616" s="132" t="s">
        <v>3142</v>
      </c>
      <c r="C616" s="133"/>
      <c r="D616" s="133"/>
      <c r="E616" s="133"/>
      <c r="F616" s="110">
        <v>341.0</v>
      </c>
      <c r="G616" s="113" t="str">
        <f>IFERROR(__xludf.DUMMYFUNCTION("TRIM(REGEXREPLACE(C616, ""[0-9]+[a-f]?\."", """"))"),"")</f>
        <v/>
      </c>
      <c r="H616" s="113" t="str">
        <f>IFERROR(__xludf.DUMMYFUNCTION("TRIM(REGEXREPLACE(D616, ""[0-9]+[a-f]?\."", """"))"),"")</f>
        <v/>
      </c>
      <c r="I616" s="113" t="str">
        <f>IFERROR(__xludf.DUMMYFUNCTION("TRIM(REGEXREPLACE(E616, ""[0-9]+[a-f]?\."", """"))"),"")</f>
        <v/>
      </c>
      <c r="J616" s="113" t="s">
        <v>3146</v>
      </c>
      <c r="K616" s="113" t="s">
        <v>3147</v>
      </c>
      <c r="L616" s="113" t="s">
        <v>3148</v>
      </c>
    </row>
    <row r="617" hidden="1">
      <c r="A617" s="131" t="s">
        <v>115</v>
      </c>
      <c r="B617" s="132" t="s">
        <v>3149</v>
      </c>
      <c r="C617" s="133"/>
      <c r="D617" s="133"/>
      <c r="E617" s="133"/>
      <c r="F617" s="110">
        <v>342.0</v>
      </c>
      <c r="G617" s="113" t="str">
        <f>IFERROR(__xludf.DUMMYFUNCTION("TRIM(REGEXREPLACE(C617, ""[0-9]+[a-f]?\."", """"))"),"")</f>
        <v/>
      </c>
      <c r="H617" s="113" t="str">
        <f>IFERROR(__xludf.DUMMYFUNCTION("TRIM(REGEXREPLACE(D617, ""[0-9]+[a-f]?\."", """"))"),"")</f>
        <v/>
      </c>
      <c r="I617" s="113" t="str">
        <f>IFERROR(__xludf.DUMMYFUNCTION("TRIM(REGEXREPLACE(E617, ""[0-9]+[a-f]?\."", """"))"),"")</f>
        <v/>
      </c>
      <c r="J617" s="113" t="s">
        <v>3150</v>
      </c>
      <c r="K617" s="113" t="s">
        <v>3151</v>
      </c>
      <c r="L617" s="113" t="s">
        <v>3152</v>
      </c>
    </row>
    <row r="618" hidden="1">
      <c r="A618" s="150" t="s">
        <v>161</v>
      </c>
      <c r="B618" s="82" t="s">
        <v>3153</v>
      </c>
      <c r="C618" s="82" t="s">
        <v>3154</v>
      </c>
      <c r="D618" s="83"/>
      <c r="E618" s="83"/>
      <c r="F618" s="110">
        <v>343.0</v>
      </c>
      <c r="G618" s="113" t="str">
        <f>IFERROR(__xludf.DUMMYFUNCTION("TRIM(REGEXREPLACE(C618, ""[0-9]+[a-f]?\."", """"))"),"Name")</f>
        <v>Name</v>
      </c>
      <c r="H618" s="113" t="str">
        <f>IFERROR(__xludf.DUMMYFUNCTION("TRIM(REGEXREPLACE(D618, ""[0-9]+[a-f]?\."", """"))"),"")</f>
        <v/>
      </c>
      <c r="I618" s="113" t="str">
        <f>IFERROR(__xludf.DUMMYFUNCTION("TRIM(REGEXREPLACE(E618, ""[0-9]+[a-f]?\."", """"))"),"")</f>
        <v/>
      </c>
      <c r="J618" s="113" t="s">
        <v>3157</v>
      </c>
      <c r="K618" s="113" t="s">
        <v>3159</v>
      </c>
      <c r="L618" s="113" t="s">
        <v>3160</v>
      </c>
    </row>
    <row r="619">
      <c r="A619" s="162" t="s">
        <v>217</v>
      </c>
      <c r="B619" s="166" t="s">
        <v>3161</v>
      </c>
      <c r="C619" s="76" t="s">
        <v>3162</v>
      </c>
      <c r="D619" s="76" t="s">
        <v>3163</v>
      </c>
      <c r="E619" s="76" t="s">
        <v>3164</v>
      </c>
      <c r="F619" s="110">
        <v>204.0</v>
      </c>
      <c r="G619" s="113" t="str">
        <f>IFERROR(__xludf.DUMMYFUNCTION("TRIM(REGEXREPLACE(C619, ""[0-9]+[a-f]?\."", """"))"),"What is the last name of ${hoh_hhtext}?")</f>
        <v>What is the last name of ${hoh_hhtext}?</v>
      </c>
      <c r="H619" s="113" t="str">
        <f>IFERROR(__xludf.DUMMYFUNCTION("TRIM(REGEXREPLACE(D619, ""[0-9]+[a-f]?\."", """"))"),"Quel est le nom de ${hoh_hhtextfrench} ?")</f>
        <v>Quel est le nom de ${hoh_hhtextfrench} ?</v>
      </c>
      <c r="I619" s="113" t="str">
        <f>IFERROR(__xludf.DUMMYFUNCTION("TRIM(REGEXREPLACE(E619, ""[0-9]+[a-f]?\."", """"))"),"Menene sunan uban ${hoh_hhtexthausa}?")</f>
        <v>Menene sunan uban ${hoh_hhtexthausa}?</v>
      </c>
      <c r="J619" s="113" t="str">
        <f t="shared" ref="J619:J620" si="142">F619 &amp; ". " &amp;G619</f>
        <v>204. What is the last name of ${hoh_hhtext}?</v>
      </c>
      <c r="K619" s="113" t="str">
        <f t="shared" ref="K619:K620" si="143">F619 &amp; ". " &amp;H619</f>
        <v>204. Quel est le nom de ${hoh_hhtextfrench} ?</v>
      </c>
      <c r="L619" s="113" t="str">
        <f t="shared" ref="L619:L620" si="144">F619 &amp; ". " &amp;I619</f>
        <v>204. Menene sunan uban ${hoh_hhtexthausa}?</v>
      </c>
    </row>
    <row r="620">
      <c r="A620" s="162" t="s">
        <v>217</v>
      </c>
      <c r="B620" s="166" t="s">
        <v>3165</v>
      </c>
      <c r="C620" s="76" t="s">
        <v>1846</v>
      </c>
      <c r="D620" s="76" t="s">
        <v>1847</v>
      </c>
      <c r="E620" s="76" t="s">
        <v>1848</v>
      </c>
      <c r="F620" s="110">
        <v>205.0</v>
      </c>
      <c r="G620" s="113" t="str">
        <f>IFERROR(__xludf.DUMMYFUNCTION("TRIM(REGEXREPLACE(C620, ""[0-9]+[a-f]?\."", """"))"),"What is the first name of ${hoh_hhtext}?")</f>
        <v>What is the first name of ${hoh_hhtext}?</v>
      </c>
      <c r="H620" s="113" t="str">
        <f>IFERROR(__xludf.DUMMYFUNCTION("TRIM(REGEXREPLACE(D620, ""[0-9]+[a-f]?\."", """"))"),"Quel est le prenom de cette personne ${hoh_hhtextfrench} ?")</f>
        <v>Quel est le prenom de cette personne ${hoh_hhtextfrench} ?</v>
      </c>
      <c r="I620" s="113" t="str">
        <f>IFERROR(__xludf.DUMMYFUNCTION("TRIM(REGEXREPLACE(E620, ""[0-9]+[a-f]?\."", """"))"),"Menene sunan ${hoh_hhtexthausa}?")</f>
        <v>Menene sunan ${hoh_hhtexthausa}?</v>
      </c>
      <c r="J620" s="113" t="str">
        <f t="shared" si="142"/>
        <v>205. What is the first name of ${hoh_hhtext}?</v>
      </c>
      <c r="K620" s="113" t="str">
        <f t="shared" si="143"/>
        <v>205. Quel est le prenom de cette personne ${hoh_hhtextfrench} ?</v>
      </c>
      <c r="L620" s="113" t="str">
        <f t="shared" si="144"/>
        <v>205. Menene sunan ${hoh_hhtexthausa}?</v>
      </c>
    </row>
    <row r="621" hidden="1">
      <c r="A621" s="150" t="s">
        <v>343</v>
      </c>
      <c r="B621" s="83" t="s">
        <v>3153</v>
      </c>
      <c r="C621" s="83"/>
      <c r="D621" s="83"/>
      <c r="E621" s="83"/>
      <c r="F621" s="110">
        <v>346.0</v>
      </c>
      <c r="G621" s="113" t="str">
        <f>IFERROR(__xludf.DUMMYFUNCTION("TRIM(REGEXREPLACE(C621, ""[0-9]+[a-f]?\."", """"))"),"")</f>
        <v/>
      </c>
      <c r="H621" s="113" t="str">
        <f>IFERROR(__xludf.DUMMYFUNCTION("TRIM(REGEXREPLACE(D621, ""[0-9]+[a-f]?\."", """"))"),"")</f>
        <v/>
      </c>
      <c r="I621" s="113" t="str">
        <f>IFERROR(__xludf.DUMMYFUNCTION("TRIM(REGEXREPLACE(E621, ""[0-9]+[a-f]?\."", """"))"),"")</f>
        <v/>
      </c>
      <c r="J621" s="113" t="s">
        <v>3170</v>
      </c>
      <c r="K621" s="113" t="s">
        <v>3171</v>
      </c>
      <c r="L621" s="113" t="s">
        <v>3172</v>
      </c>
    </row>
    <row r="622" hidden="1">
      <c r="A622" s="131" t="s">
        <v>115</v>
      </c>
      <c r="B622" s="132" t="s">
        <v>3173</v>
      </c>
      <c r="C622" s="133"/>
      <c r="D622" s="133"/>
      <c r="E622" s="133"/>
      <c r="F622" s="110">
        <v>347.0</v>
      </c>
      <c r="G622" s="113" t="str">
        <f>IFERROR(__xludf.DUMMYFUNCTION("TRIM(REGEXREPLACE(C622, ""[0-9]+[a-f]?\."", """"))"),"")</f>
        <v/>
      </c>
      <c r="H622" s="113" t="str">
        <f>IFERROR(__xludf.DUMMYFUNCTION("TRIM(REGEXREPLACE(D622, ""[0-9]+[a-f]?\."", """"))"),"")</f>
        <v/>
      </c>
      <c r="I622" s="113" t="str">
        <f>IFERROR(__xludf.DUMMYFUNCTION("TRIM(REGEXREPLACE(E622, ""[0-9]+[a-f]?\."", """"))"),"")</f>
        <v/>
      </c>
      <c r="J622" s="113" t="s">
        <v>3174</v>
      </c>
      <c r="K622" s="113" t="s">
        <v>3175</v>
      </c>
      <c r="L622" s="113" t="s">
        <v>3176</v>
      </c>
    </row>
    <row r="623">
      <c r="A623" s="114" t="s">
        <v>3178</v>
      </c>
      <c r="B623" s="165" t="s">
        <v>3179</v>
      </c>
      <c r="C623" s="76" t="s">
        <v>1868</v>
      </c>
      <c r="D623" s="76" t="s">
        <v>1869</v>
      </c>
      <c r="E623" s="76" t="s">
        <v>1870</v>
      </c>
      <c r="F623" s="110">
        <v>206.0</v>
      </c>
      <c r="G623" s="113" t="str">
        <f>IFERROR(__xludf.DUMMYFUNCTION("TRIM(REGEXREPLACE(C623, ""[0-9]+[a-f]?\."", """"))"),"What is ${hoh_new_mem_name}'s relationship to you, the household head?")</f>
        <v>What is ${hoh_new_mem_name}'s relationship to you, the household head?</v>
      </c>
      <c r="H623" s="113" t="str">
        <f>IFERROR(__xludf.DUMMYFUNCTION("TRIM(REGEXREPLACE(D623, ""[0-9]+[a-f]?\."", """"))"),"Quelle est la relation entre ${hoh_new_mem_name} et vous, le chef de ménage ?")</f>
        <v>Quelle est la relation entre ${hoh_new_mem_name} et vous, le chef de ménage ?</v>
      </c>
      <c r="I623" s="113" t="str">
        <f>IFERROR(__xludf.DUMMYFUNCTION("TRIM(REGEXREPLACE(E623, ""[0-9]+[a-f]?\."", """"))"),"Menene alaƙa tsakanin ${hoh_new_mem_name} da, mai gida?")</f>
        <v>Menene alaƙa tsakanin ${hoh_new_mem_name} da, mai gida?</v>
      </c>
      <c r="J623" s="113" t="str">
        <f t="shared" ref="J623:J625" si="145">F623 &amp; ". " &amp;G623</f>
        <v>206. What is ${hoh_new_mem_name}'s relationship to you, the household head?</v>
      </c>
      <c r="K623" s="113" t="str">
        <f t="shared" ref="K623:K625" si="146">F623 &amp; ". " &amp;H623</f>
        <v>206. Quelle est la relation entre ${hoh_new_mem_name} et vous, le chef de ménage ?</v>
      </c>
      <c r="L623" s="113" t="str">
        <f t="shared" ref="L623:L625" si="147">F623 &amp; ". " &amp;I623</f>
        <v>206. Menene alaƙa tsakanin ${hoh_new_mem_name} da, mai gida?</v>
      </c>
    </row>
    <row r="624">
      <c r="A624" s="114" t="s">
        <v>3189</v>
      </c>
      <c r="B624" s="165" t="s">
        <v>3190</v>
      </c>
      <c r="C624" s="76" t="s">
        <v>1872</v>
      </c>
      <c r="D624" s="76" t="s">
        <v>1873</v>
      </c>
      <c r="E624" s="76" t="s">
        <v>1874</v>
      </c>
      <c r="F624" s="110">
        <v>207.0</v>
      </c>
      <c r="G624" s="113" t="str">
        <f>IFERROR(__xludf.DUMMYFUNCTION("TRIM(REGEXREPLACE(C624, ""[0-9]+[a-f]?\."", """"))"),"What is ${hoh_new_mem_name}'s sex?")</f>
        <v>What is ${hoh_new_mem_name}'s sex?</v>
      </c>
      <c r="H624" s="113" t="str">
        <f>IFERROR(__xludf.DUMMYFUNCTION("TRIM(REGEXREPLACE(D624, ""[0-9]+[a-f]?\."", """"))"),"Quel est le sexe de ${hoh_new_mem_name} ?")</f>
        <v>Quel est le sexe de ${hoh_new_mem_name} ?</v>
      </c>
      <c r="I624" s="113" t="str">
        <f>IFERROR(__xludf.DUMMYFUNCTION("TRIM(REGEXREPLACE(E624, ""[0-9]+[a-f]?\."", """"))"),"Menene jinsin ${hoh_new_mem_name}?")</f>
        <v>Menene jinsin ${hoh_new_mem_name}?</v>
      </c>
      <c r="J624" s="113" t="str">
        <f t="shared" si="145"/>
        <v>207. What is ${hoh_new_mem_name}'s sex?</v>
      </c>
      <c r="K624" s="113" t="str">
        <f t="shared" si="146"/>
        <v>207. Quel est le sexe de ${hoh_new_mem_name} ?</v>
      </c>
      <c r="L624" s="113" t="str">
        <f t="shared" si="147"/>
        <v>207. Menene jinsin ${hoh_new_mem_name}?</v>
      </c>
    </row>
    <row r="625">
      <c r="A625" s="170" t="s">
        <v>238</v>
      </c>
      <c r="B625" s="171" t="s">
        <v>3193</v>
      </c>
      <c r="C625" s="76" t="s">
        <v>3195</v>
      </c>
      <c r="D625" s="76" t="s">
        <v>3196</v>
      </c>
      <c r="E625" s="76" t="s">
        <v>3197</v>
      </c>
      <c r="F625" s="110">
        <v>208.0</v>
      </c>
      <c r="G625" s="113" t="str">
        <f>IFERROR(__xludf.DUMMYFUNCTION("TRIM(REGEXREPLACE(C625, ""[0-9]+[a-f]?\."", """"))"),"What is ${hoh_new_mem_name}'s age?")</f>
        <v>What is ${hoh_new_mem_name}'s age?</v>
      </c>
      <c r="H625" s="113" t="str">
        <f>IFERROR(__xludf.DUMMYFUNCTION("TRIM(REGEXREPLACE(D625, ""[0-9]+[a-f]?\."", """"))"),"Quel âge a ${hoh_new_mem_name} ?")</f>
        <v>Quel âge a ${hoh_new_mem_name} ?</v>
      </c>
      <c r="I625" s="113" t="str">
        <f>IFERROR(__xludf.DUMMYFUNCTION("TRIM(REGEXREPLACE(E625, ""[0-9]+[a-f]?\."", """"))"),"${hoh_new_mem_name} Shekarun shi/ta nawa?")</f>
        <v>${hoh_new_mem_name} Shekarun shi/ta nawa?</v>
      </c>
      <c r="J625" s="113" t="str">
        <f t="shared" si="145"/>
        <v>208. What is ${hoh_new_mem_name}'s age?</v>
      </c>
      <c r="K625" s="113" t="str">
        <f t="shared" si="146"/>
        <v>208. Quel âge a ${hoh_new_mem_name} ?</v>
      </c>
      <c r="L625" s="113" t="str">
        <f t="shared" si="147"/>
        <v>208. ${hoh_new_mem_name} Shekarun shi/ta nawa?</v>
      </c>
    </row>
    <row r="626" hidden="1">
      <c r="A626" s="167" t="s">
        <v>842</v>
      </c>
      <c r="B626" s="169" t="s">
        <v>3125</v>
      </c>
      <c r="C626" s="169" t="s">
        <v>3126</v>
      </c>
      <c r="D626" s="169"/>
      <c r="E626" s="169"/>
      <c r="F626" s="110">
        <v>351.0</v>
      </c>
      <c r="G626" s="113" t="str">
        <f>IFERROR(__xludf.DUMMYFUNCTION("TRIM(REGEXREPLACE(C626, ""[0-9]+[a-f]?\."", """"))"),"Add new members to existing roster")</f>
        <v>Add new members to existing roster</v>
      </c>
      <c r="H626" s="113" t="str">
        <f>IFERROR(__xludf.DUMMYFUNCTION("TRIM(REGEXREPLACE(D626, ""[0-9]+[a-f]?\."", """"))"),"")</f>
        <v/>
      </c>
      <c r="I626" s="113" t="str">
        <f>IFERROR(__xludf.DUMMYFUNCTION("TRIM(REGEXREPLACE(E626, ""[0-9]+[a-f]?\."", """"))"),"")</f>
        <v/>
      </c>
      <c r="J626" s="113" t="s">
        <v>3201</v>
      </c>
      <c r="K626" s="113" t="s">
        <v>3202</v>
      </c>
      <c r="L626" s="113" t="s">
        <v>3203</v>
      </c>
    </row>
    <row r="627" hidden="1">
      <c r="A627" s="80" t="s">
        <v>150</v>
      </c>
      <c r="B627" s="164" t="s">
        <v>3204</v>
      </c>
      <c r="C627" s="82"/>
      <c r="D627" s="83"/>
      <c r="E627" s="83"/>
      <c r="F627" s="110">
        <v>352.0</v>
      </c>
      <c r="G627" s="113" t="str">
        <f>IFERROR(__xludf.DUMMYFUNCTION("TRIM(REGEXREPLACE(C627, ""[0-9]+[a-f]?\."", """"))"),"")</f>
        <v/>
      </c>
      <c r="H627" s="113" t="str">
        <f>IFERROR(__xludf.DUMMYFUNCTION("TRIM(REGEXREPLACE(D627, ""[0-9]+[a-f]?\."", """"))"),"")</f>
        <v/>
      </c>
      <c r="I627" s="113" t="str">
        <f>IFERROR(__xludf.DUMMYFUNCTION("TRIM(REGEXREPLACE(E627, ""[0-9]+[a-f]?\."", """"))"),"")</f>
        <v/>
      </c>
      <c r="J627" s="113" t="s">
        <v>3210</v>
      </c>
      <c r="K627" s="113" t="s">
        <v>3211</v>
      </c>
      <c r="L627" s="113" t="s">
        <v>3212</v>
      </c>
    </row>
    <row r="628" hidden="1">
      <c r="A628" s="80" t="s">
        <v>115</v>
      </c>
      <c r="B628" s="81" t="s">
        <v>3214</v>
      </c>
      <c r="C628" s="82"/>
      <c r="D628" s="83"/>
      <c r="E628" s="83"/>
      <c r="F628" s="110">
        <v>353.0</v>
      </c>
      <c r="G628" s="113" t="str">
        <f>IFERROR(__xludf.DUMMYFUNCTION("TRIM(REGEXREPLACE(C628, ""[0-9]+[a-f]?\."", """"))"),"")</f>
        <v/>
      </c>
      <c r="H628" s="113" t="str">
        <f>IFERROR(__xludf.DUMMYFUNCTION("TRIM(REGEXREPLACE(D628, ""[0-9]+[a-f]?\."", """"))"),"")</f>
        <v/>
      </c>
      <c r="I628" s="113" t="str">
        <f>IFERROR(__xludf.DUMMYFUNCTION("TRIM(REGEXREPLACE(E628, ""[0-9]+[a-f]?\."", """"))"),"")</f>
        <v/>
      </c>
      <c r="J628" s="113" t="s">
        <v>3215</v>
      </c>
      <c r="K628" s="113" t="s">
        <v>3216</v>
      </c>
      <c r="L628" s="113" t="s">
        <v>3217</v>
      </c>
    </row>
    <row r="629" hidden="1">
      <c r="F629" s="110">
        <v>354.0</v>
      </c>
      <c r="G629" s="113" t="str">
        <f>IFERROR(__xludf.DUMMYFUNCTION("TRIM(REGEXREPLACE(C629, ""[0-9]+[a-f]?\."", """"))"),"")</f>
        <v/>
      </c>
      <c r="H629" s="113" t="str">
        <f>IFERROR(__xludf.DUMMYFUNCTION("TRIM(REGEXREPLACE(D629, ""[0-9]+[a-f]?\."", """"))"),"")</f>
        <v/>
      </c>
      <c r="I629" s="113" t="str">
        <f>IFERROR(__xludf.DUMMYFUNCTION("TRIM(REGEXREPLACE(E629, ""[0-9]+[a-f]?\."", """"))"),"")</f>
        <v/>
      </c>
      <c r="J629" s="113" t="s">
        <v>3218</v>
      </c>
      <c r="K629" s="113" t="s">
        <v>3219</v>
      </c>
      <c r="L629" s="113" t="s">
        <v>3220</v>
      </c>
    </row>
    <row r="630" hidden="1">
      <c r="A630" s="131" t="s">
        <v>115</v>
      </c>
      <c r="B630" s="142" t="s">
        <v>3221</v>
      </c>
      <c r="C630" s="133"/>
      <c r="D630" s="133"/>
      <c r="E630" s="133"/>
      <c r="F630" s="110">
        <v>355.0</v>
      </c>
      <c r="G630" s="113" t="str">
        <f>IFERROR(__xludf.DUMMYFUNCTION("TRIM(REGEXREPLACE(C630, ""[0-9]+[a-f]?\."", """"))"),"")</f>
        <v/>
      </c>
      <c r="H630" s="113" t="str">
        <f>IFERROR(__xludf.DUMMYFUNCTION("TRIM(REGEXREPLACE(D630, ""[0-9]+[a-f]?\."", """"))"),"")</f>
        <v/>
      </c>
      <c r="I630" s="113" t="str">
        <f>IFERROR(__xludf.DUMMYFUNCTION("TRIM(REGEXREPLACE(E630, ""[0-9]+[a-f]?\."", """"))"),"")</f>
        <v/>
      </c>
      <c r="J630" s="113" t="s">
        <v>3222</v>
      </c>
      <c r="K630" s="113" t="s">
        <v>3223</v>
      </c>
      <c r="L630" s="113" t="s">
        <v>3225</v>
      </c>
    </row>
    <row r="631">
      <c r="A631" s="152" t="s">
        <v>44</v>
      </c>
      <c r="B631" s="77" t="s">
        <v>3228</v>
      </c>
      <c r="C631" s="76" t="s">
        <v>3229</v>
      </c>
      <c r="D631" s="76" t="s">
        <v>3230</v>
      </c>
      <c r="E631" s="76" t="s">
        <v>3231</v>
      </c>
      <c r="F631" s="110">
        <v>209.0</v>
      </c>
      <c r="G631" s="113" t="str">
        <f>IFERROR(__xludf.DUMMYFUNCTION("TRIM(REGEXREPLACE(C631, ""[0-9]+[a-f]?\."", """"))"),"I want to ask a few questions about the members of your household who are currently residing here.")</f>
        <v>I want to ask a few questions about the members of your household who are currently residing here.</v>
      </c>
      <c r="H631" s="113" t="str">
        <f>IFERROR(__xludf.DUMMYFUNCTION("TRIM(REGEXREPLACE(D631, ""[0-9]+[a-f]?\."", """"))"),"Je veux poser quelques questions sur les membres de votre ménage qui résident actuellement ici.")</f>
        <v>Je veux poser quelques questions sur les membres de votre ménage qui résident actuellement ici.</v>
      </c>
      <c r="I631" s="113" t="str">
        <f>IFERROR(__xludf.DUMMYFUNCTION("TRIM(REGEXREPLACE(E631, ""[0-9]+[a-f]?\."", """"))"),"Ina so in muku ƴan tambayoyi bisa yan gidanku da ke zaune a gida a yanzu.")</f>
        <v>Ina so in muku ƴan tambayoyi bisa yan gidanku da ke zaune a gida a yanzu.</v>
      </c>
      <c r="J631" s="113" t="str">
        <f>F631 &amp; ". " &amp;G631</f>
        <v>209. I want to ask a few questions about the members of your household who are currently residing here.</v>
      </c>
      <c r="K631" s="113" t="str">
        <f>F631 &amp; ". " &amp;H631</f>
        <v>209. Je veux poser quelques questions sur les membres de votre ménage qui résident actuellement ici.</v>
      </c>
      <c r="L631" s="113" t="str">
        <f>F631 &amp; ". " &amp;I631</f>
        <v>209. Ina so in muku ƴan tambayoyi bisa yan gidanku da ke zaune a gida a yanzu.</v>
      </c>
    </row>
    <row r="632" hidden="1">
      <c r="F632" s="110">
        <v>357.0</v>
      </c>
      <c r="G632" s="113" t="str">
        <f>IFERROR(__xludf.DUMMYFUNCTION("TRIM(REGEXREPLACE(C632, ""[0-9]+[a-f]?\."", """"))"),"")</f>
        <v/>
      </c>
      <c r="H632" s="113" t="str">
        <f>IFERROR(__xludf.DUMMYFUNCTION("TRIM(REGEXREPLACE(D632, ""[0-9]+[a-f]?\."", """"))"),"")</f>
        <v/>
      </c>
      <c r="I632" s="113" t="str">
        <f>IFERROR(__xludf.DUMMYFUNCTION("TRIM(REGEXREPLACE(E632, ""[0-9]+[a-f]?\."", """"))"),"")</f>
        <v/>
      </c>
      <c r="J632" s="113" t="s">
        <v>3236</v>
      </c>
      <c r="K632" s="113" t="s">
        <v>3237</v>
      </c>
      <c r="L632" s="113" t="s">
        <v>3240</v>
      </c>
    </row>
    <row r="633" hidden="1">
      <c r="A633" s="167" t="s">
        <v>807</v>
      </c>
      <c r="B633" s="168" t="s">
        <v>3245</v>
      </c>
      <c r="C633" s="168" t="s">
        <v>3246</v>
      </c>
      <c r="D633" s="169"/>
      <c r="E633" s="169"/>
      <c r="F633" s="110">
        <v>358.0</v>
      </c>
      <c r="G633" s="113" t="str">
        <f>IFERROR(__xludf.DUMMYFUNCTION("TRIM(REGEXREPLACE(C633, ""[0-9]+[a-f]?\."", """"))"),"Roster")</f>
        <v>Roster</v>
      </c>
      <c r="H633" s="113" t="str">
        <f>IFERROR(__xludf.DUMMYFUNCTION("TRIM(REGEXREPLACE(D633, ""[0-9]+[a-f]?\."", """"))"),"")</f>
        <v/>
      </c>
      <c r="I633" s="113" t="str">
        <f>IFERROR(__xludf.DUMMYFUNCTION("TRIM(REGEXREPLACE(E633, ""[0-9]+[a-f]?\."", """"))"),"")</f>
        <v/>
      </c>
      <c r="J633" s="113" t="s">
        <v>3247</v>
      </c>
      <c r="K633" s="113" t="s">
        <v>3248</v>
      </c>
      <c r="L633" s="113" t="s">
        <v>3249</v>
      </c>
    </row>
    <row r="634" hidden="1">
      <c r="A634" s="80" t="s">
        <v>150</v>
      </c>
      <c r="B634" s="81" t="s">
        <v>3250</v>
      </c>
      <c r="C634" s="82"/>
      <c r="D634" s="83"/>
      <c r="E634" s="83"/>
      <c r="F634" s="110">
        <v>359.0</v>
      </c>
      <c r="G634" s="113" t="str">
        <f>IFERROR(__xludf.DUMMYFUNCTION("TRIM(REGEXREPLACE(C634, ""[0-9]+[a-f]?\."", """"))"),"")</f>
        <v/>
      </c>
      <c r="H634" s="113" t="str">
        <f>IFERROR(__xludf.DUMMYFUNCTION("TRIM(REGEXREPLACE(D634, ""[0-9]+[a-f]?\."", """"))"),"")</f>
        <v/>
      </c>
      <c r="I634" s="113" t="str">
        <f>IFERROR(__xludf.DUMMYFUNCTION("TRIM(REGEXREPLACE(E634, ""[0-9]+[a-f]?\."", """"))"),"")</f>
        <v/>
      </c>
      <c r="J634" s="113" t="s">
        <v>3254</v>
      </c>
      <c r="K634" s="113" t="s">
        <v>3255</v>
      </c>
      <c r="L634" s="113" t="s">
        <v>3256</v>
      </c>
    </row>
    <row r="635" hidden="1">
      <c r="A635" s="131" t="s">
        <v>115</v>
      </c>
      <c r="B635" s="132" t="s">
        <v>3257</v>
      </c>
      <c r="C635" s="133"/>
      <c r="D635" s="133"/>
      <c r="E635" s="133"/>
      <c r="F635" s="110">
        <v>360.0</v>
      </c>
      <c r="G635" s="113" t="str">
        <f>IFERROR(__xludf.DUMMYFUNCTION("TRIM(REGEXREPLACE(C635, ""[0-9]+[a-f]?\."", """"))"),"")</f>
        <v/>
      </c>
      <c r="H635" s="113" t="str">
        <f>IFERROR(__xludf.DUMMYFUNCTION("TRIM(REGEXREPLACE(D635, ""[0-9]+[a-f]?\."", """"))"),"")</f>
        <v/>
      </c>
      <c r="I635" s="113" t="str">
        <f>IFERROR(__xludf.DUMMYFUNCTION("TRIM(REGEXREPLACE(E635, ""[0-9]+[a-f]?\."", """"))"),"")</f>
        <v/>
      </c>
      <c r="J635" s="113" t="s">
        <v>3258</v>
      </c>
      <c r="K635" s="113" t="s">
        <v>3259</v>
      </c>
      <c r="L635" s="113" t="s">
        <v>3260</v>
      </c>
    </row>
    <row r="636" hidden="1">
      <c r="A636" s="131" t="s">
        <v>115</v>
      </c>
      <c r="B636" s="132" t="s">
        <v>3261</v>
      </c>
      <c r="C636" s="133" t="s">
        <v>3262</v>
      </c>
      <c r="D636" s="133"/>
      <c r="E636" s="133"/>
      <c r="F636" s="110">
        <v>361.0</v>
      </c>
      <c r="G636" s="113" t="str">
        <f>IFERROR(__xludf.DUMMYFUNCTION("TRIM(REGEXREPLACE(C636, ""[0-9]+[a-f]?\."", """"))"),"Member name from case management")</f>
        <v>Member name from case management</v>
      </c>
      <c r="H636" s="113" t="str">
        <f>IFERROR(__xludf.DUMMYFUNCTION("TRIM(REGEXREPLACE(D636, ""[0-9]+[a-f]?\."", """"))"),"")</f>
        <v/>
      </c>
      <c r="I636" s="113" t="str">
        <f>IFERROR(__xludf.DUMMYFUNCTION("TRIM(REGEXREPLACE(E636, ""[0-9]+[a-f]?\."", """"))"),"")</f>
        <v/>
      </c>
      <c r="J636" s="113" t="s">
        <v>3269</v>
      </c>
      <c r="K636" s="113" t="s">
        <v>3270</v>
      </c>
      <c r="L636" s="113" t="s">
        <v>3271</v>
      </c>
    </row>
    <row r="637" hidden="1">
      <c r="A637" s="131" t="s">
        <v>115</v>
      </c>
      <c r="B637" s="132" t="s">
        <v>3272</v>
      </c>
      <c r="C637" s="133" t="s">
        <v>3273</v>
      </c>
      <c r="D637" s="133"/>
      <c r="E637" s="133"/>
      <c r="F637" s="110">
        <v>362.0</v>
      </c>
      <c r="G637" s="113" t="str">
        <f>IFERROR(__xludf.DUMMYFUNCTION("TRIM(REGEXREPLACE(C637, ""[0-9]+[a-f]?\."", """"))"),"Member age from case management")</f>
        <v>Member age from case management</v>
      </c>
      <c r="H637" s="113" t="str">
        <f>IFERROR(__xludf.DUMMYFUNCTION("TRIM(REGEXREPLACE(D637, ""[0-9]+[a-f]?\."", """"))"),"")</f>
        <v/>
      </c>
      <c r="I637" s="113" t="str">
        <f>IFERROR(__xludf.DUMMYFUNCTION("TRIM(REGEXREPLACE(E637, ""[0-9]+[a-f]?\."", """"))"),"")</f>
        <v/>
      </c>
      <c r="J637" s="113" t="s">
        <v>3274</v>
      </c>
      <c r="K637" s="113" t="s">
        <v>3275</v>
      </c>
      <c r="L637" s="113" t="s">
        <v>3276</v>
      </c>
    </row>
    <row r="638" hidden="1">
      <c r="A638" s="131" t="s">
        <v>115</v>
      </c>
      <c r="B638" s="132" t="s">
        <v>3277</v>
      </c>
      <c r="C638" s="133" t="s">
        <v>3278</v>
      </c>
      <c r="D638" s="133"/>
      <c r="E638" s="133"/>
      <c r="F638" s="110">
        <v>363.0</v>
      </c>
      <c r="G638" s="113" t="str">
        <f>IFERROR(__xludf.DUMMYFUNCTION("TRIM(REGEXREPLACE(C638, ""[0-9]+[a-f]?\."", """"))"),"Member sex from case management")</f>
        <v>Member sex from case management</v>
      </c>
      <c r="H638" s="113" t="str">
        <f>IFERROR(__xludf.DUMMYFUNCTION("TRIM(REGEXREPLACE(D638, ""[0-9]+[a-f]?\."", """"))"),"")</f>
        <v/>
      </c>
      <c r="I638" s="113" t="str">
        <f>IFERROR(__xludf.DUMMYFUNCTION("TRIM(REGEXREPLACE(E638, ""[0-9]+[a-f]?\."", """"))"),"")</f>
        <v/>
      </c>
      <c r="J638" s="113" t="s">
        <v>3281</v>
      </c>
      <c r="K638" s="113" t="s">
        <v>3282</v>
      </c>
      <c r="L638" s="113" t="s">
        <v>3283</v>
      </c>
    </row>
    <row r="639" hidden="1">
      <c r="A639" s="131" t="s">
        <v>115</v>
      </c>
      <c r="B639" s="132" t="s">
        <v>3284</v>
      </c>
      <c r="C639" s="133"/>
      <c r="D639" s="133"/>
      <c r="E639" s="133"/>
      <c r="F639" s="110">
        <v>364.0</v>
      </c>
      <c r="G639" s="113" t="str">
        <f>IFERROR(__xludf.DUMMYFUNCTION("TRIM(REGEXREPLACE(C639, ""[0-9]+[a-f]?\."", """"))"),"")</f>
        <v/>
      </c>
      <c r="H639" s="113" t="str">
        <f>IFERROR(__xludf.DUMMYFUNCTION("TRIM(REGEXREPLACE(D639, ""[0-9]+[a-f]?\."", """"))"),"")</f>
        <v/>
      </c>
      <c r="I639" s="113" t="str">
        <f>IFERROR(__xludf.DUMMYFUNCTION("TRIM(REGEXREPLACE(E639, ""[0-9]+[a-f]?\."", """"))"),"")</f>
        <v/>
      </c>
      <c r="J639" s="113" t="s">
        <v>3285</v>
      </c>
      <c r="K639" s="113" t="s">
        <v>3286</v>
      </c>
      <c r="L639" s="113" t="s">
        <v>3287</v>
      </c>
    </row>
    <row r="640" hidden="1">
      <c r="A640" s="131" t="s">
        <v>115</v>
      </c>
      <c r="B640" s="132" t="s">
        <v>3289</v>
      </c>
      <c r="C640" s="133" t="s">
        <v>3291</v>
      </c>
      <c r="D640" s="133"/>
      <c r="E640" s="133"/>
      <c r="F640" s="110">
        <v>365.0</v>
      </c>
      <c r="G640" s="113" t="str">
        <f>IFERROR(__xludf.DUMMYFUNCTION("TRIM(REGEXREPLACE(C640, ""[0-9]+[a-f]?\."", """"))"),"New member name (only populated if no more members to enumerate in the cases data)")</f>
        <v>New member name (only populated if no more members to enumerate in the cases data)</v>
      </c>
      <c r="H640" s="113" t="str">
        <f>IFERROR(__xludf.DUMMYFUNCTION("TRIM(REGEXREPLACE(D640, ""[0-9]+[a-f]?\."", """"))"),"")</f>
        <v/>
      </c>
      <c r="I640" s="113" t="str">
        <f>IFERROR(__xludf.DUMMYFUNCTION("TRIM(REGEXREPLACE(E640, ""[0-9]+[a-f]?\."", """"))"),"")</f>
        <v/>
      </c>
      <c r="J640" s="113" t="s">
        <v>3296</v>
      </c>
      <c r="K640" s="113" t="s">
        <v>3297</v>
      </c>
      <c r="L640" s="113" t="s">
        <v>3298</v>
      </c>
    </row>
    <row r="641" hidden="1">
      <c r="A641" s="131" t="s">
        <v>115</v>
      </c>
      <c r="B641" s="132" t="s">
        <v>3299</v>
      </c>
      <c r="C641" s="133" t="s">
        <v>3300</v>
      </c>
      <c r="D641" s="133"/>
      <c r="E641" s="133"/>
      <c r="F641" s="110">
        <v>366.0</v>
      </c>
      <c r="G641" s="113" t="str">
        <f>IFERROR(__xludf.DUMMYFUNCTION("TRIM(REGEXREPLACE(C641, ""[0-9]+[a-f]?\."", """"))"),"New member age")</f>
        <v>New member age</v>
      </c>
      <c r="H641" s="113" t="str">
        <f>IFERROR(__xludf.DUMMYFUNCTION("TRIM(REGEXREPLACE(D641, ""[0-9]+[a-f]?\."", """"))"),"")</f>
        <v/>
      </c>
      <c r="I641" s="113" t="str">
        <f>IFERROR(__xludf.DUMMYFUNCTION("TRIM(REGEXREPLACE(E641, ""[0-9]+[a-f]?\."", """"))"),"")</f>
        <v/>
      </c>
      <c r="J641" s="113" t="s">
        <v>3301</v>
      </c>
      <c r="K641" s="113" t="s">
        <v>3302</v>
      </c>
      <c r="L641" s="113" t="s">
        <v>3303</v>
      </c>
    </row>
    <row r="642" hidden="1">
      <c r="A642" s="131" t="s">
        <v>115</v>
      </c>
      <c r="B642" s="132" t="s">
        <v>3304</v>
      </c>
      <c r="C642" s="133" t="s">
        <v>3305</v>
      </c>
      <c r="D642" s="133"/>
      <c r="E642" s="133"/>
      <c r="F642" s="110">
        <v>367.0</v>
      </c>
      <c r="G642" s="113" t="str">
        <f>IFERROR(__xludf.DUMMYFUNCTION("TRIM(REGEXREPLACE(C642, ""[0-9]+[a-f]?\."", """"))"),"New member sex")</f>
        <v>New member sex</v>
      </c>
      <c r="H642" s="113" t="str">
        <f>IFERROR(__xludf.DUMMYFUNCTION("TRIM(REGEXREPLACE(D642, ""[0-9]+[a-f]?\."", """"))"),"")</f>
        <v/>
      </c>
      <c r="I642" s="113" t="str">
        <f>IFERROR(__xludf.DUMMYFUNCTION("TRIM(REGEXREPLACE(E642, ""[0-9]+[a-f]?\."", """"))"),"")</f>
        <v/>
      </c>
      <c r="J642" s="113" t="s">
        <v>3308</v>
      </c>
      <c r="K642" s="113" t="s">
        <v>3309</v>
      </c>
      <c r="L642" s="113" t="s">
        <v>3310</v>
      </c>
    </row>
    <row r="643" hidden="1">
      <c r="A643" s="131" t="s">
        <v>115</v>
      </c>
      <c r="B643" s="132" t="s">
        <v>3311</v>
      </c>
      <c r="C643" s="133"/>
      <c r="D643" s="133"/>
      <c r="E643" s="133"/>
      <c r="F643" s="110">
        <v>368.0</v>
      </c>
      <c r="G643" s="113" t="str">
        <f>IFERROR(__xludf.DUMMYFUNCTION("TRIM(REGEXREPLACE(C643, ""[0-9]+[a-f]?\."", """"))"),"")</f>
        <v/>
      </c>
      <c r="H643" s="113" t="str">
        <f>IFERROR(__xludf.DUMMYFUNCTION("TRIM(REGEXREPLACE(D643, ""[0-9]+[a-f]?\."", """"))"),"")</f>
        <v/>
      </c>
      <c r="I643" s="113" t="str">
        <f>IFERROR(__xludf.DUMMYFUNCTION("TRIM(REGEXREPLACE(E643, ""[0-9]+[a-f]?\."", """"))"),"")</f>
        <v/>
      </c>
      <c r="J643" s="113" t="s">
        <v>3312</v>
      </c>
      <c r="K643" s="113" t="s">
        <v>3313</v>
      </c>
      <c r="L643" s="113" t="s">
        <v>3314</v>
      </c>
    </row>
    <row r="644" hidden="1">
      <c r="A644" s="131" t="s">
        <v>115</v>
      </c>
      <c r="B644" s="132" t="s">
        <v>3316</v>
      </c>
      <c r="C644" s="133"/>
      <c r="D644" s="133"/>
      <c r="E644" s="133"/>
      <c r="F644" s="110">
        <v>369.0</v>
      </c>
      <c r="G644" s="113" t="str">
        <f>IFERROR(__xludf.DUMMYFUNCTION("TRIM(REGEXREPLACE(C644, ""[0-9]+[a-f]?\."", """"))"),"")</f>
        <v/>
      </c>
      <c r="H644" s="113" t="str">
        <f>IFERROR(__xludf.DUMMYFUNCTION("TRIM(REGEXREPLACE(D644, ""[0-9]+[a-f]?\."", """"))"),"")</f>
        <v/>
      </c>
      <c r="I644" s="113" t="str">
        <f>IFERROR(__xludf.DUMMYFUNCTION("TRIM(REGEXREPLACE(E644, ""[0-9]+[a-f]?\."", """"))"),"")</f>
        <v/>
      </c>
      <c r="J644" s="113" t="s">
        <v>3322</v>
      </c>
      <c r="K644" s="113" t="s">
        <v>3323</v>
      </c>
      <c r="L644" s="113" t="s">
        <v>3324</v>
      </c>
    </row>
    <row r="645" hidden="1">
      <c r="A645" s="131" t="s">
        <v>115</v>
      </c>
      <c r="B645" s="132" t="s">
        <v>3325</v>
      </c>
      <c r="C645" s="133"/>
      <c r="D645" s="133"/>
      <c r="E645" s="133"/>
      <c r="F645" s="110">
        <v>370.0</v>
      </c>
      <c r="G645" s="113" t="str">
        <f>IFERROR(__xludf.DUMMYFUNCTION("TRIM(REGEXREPLACE(C645, ""[0-9]+[a-f]?\."", """"))"),"")</f>
        <v/>
      </c>
      <c r="H645" s="113" t="str">
        <f>IFERROR(__xludf.DUMMYFUNCTION("TRIM(REGEXREPLACE(D645, ""[0-9]+[a-f]?\."", """"))"),"")</f>
        <v/>
      </c>
      <c r="I645" s="113" t="str">
        <f>IFERROR(__xludf.DUMMYFUNCTION("TRIM(REGEXREPLACE(E645, ""[0-9]+[a-f]?\."", """"))"),"")</f>
        <v/>
      </c>
      <c r="J645" s="113" t="s">
        <v>3326</v>
      </c>
      <c r="K645" s="113" t="s">
        <v>3327</v>
      </c>
      <c r="L645" s="113" t="s">
        <v>3328</v>
      </c>
    </row>
    <row r="646">
      <c r="A646" s="152" t="s">
        <v>44</v>
      </c>
      <c r="B646" s="77" t="s">
        <v>3329</v>
      </c>
      <c r="C646" s="76" t="s">
        <v>3330</v>
      </c>
      <c r="D646" s="76" t="s">
        <v>3330</v>
      </c>
      <c r="E646" s="76" t="s">
        <v>3330</v>
      </c>
      <c r="F646" s="110">
        <v>210.0</v>
      </c>
      <c r="G646" s="113" t="str">
        <f>IFERROR(__xludf.DUMMYFUNCTION("TRIM(REGEXREPLACE(C646, ""[0-9]+[a-f]?\."", """"))"),"${hoh_roster_name}
 Sex: ${hoh_roster_sex}
 Age: ${hoh_roster_age}")</f>
        <v>${hoh_roster_name}
 Sex: ${hoh_roster_sex}
 Age: ${hoh_roster_age}</v>
      </c>
      <c r="H646" s="113" t="str">
        <f>IFERROR(__xludf.DUMMYFUNCTION("TRIM(REGEXREPLACE(D646, ""[0-9]+[a-f]?\."", """"))"),"${hoh_roster_name}
 Sex: ${hoh_roster_sex}
 Age: ${hoh_roster_age}")</f>
        <v>${hoh_roster_name}
 Sex: ${hoh_roster_sex}
 Age: ${hoh_roster_age}</v>
      </c>
      <c r="I646" s="113" t="str">
        <f>IFERROR(__xludf.DUMMYFUNCTION("TRIM(REGEXREPLACE(E646, ""[0-9]+[a-f]?\."", """"))"),"${hoh_roster_name}
 Sex: ${hoh_roster_sex}
 Age: ${hoh_roster_age}")</f>
        <v>${hoh_roster_name}
 Sex: ${hoh_roster_sex}
 Age: ${hoh_roster_age}</v>
      </c>
      <c r="J646" s="113" t="str">
        <f t="shared" ref="J646:J647" si="148">F646 &amp; ". " &amp;G646</f>
        <v>210. ${hoh_roster_name}
 Sex: ${hoh_roster_sex}
 Age: ${hoh_roster_age}</v>
      </c>
      <c r="K646" s="113" t="str">
        <f t="shared" ref="K646:K647" si="149">F646 &amp; ". " &amp;H646</f>
        <v>210. ${hoh_roster_name}
 Sex: ${hoh_roster_sex}
 Age: ${hoh_roster_age}</v>
      </c>
      <c r="L646" s="113" t="str">
        <f t="shared" ref="L646:L647" si="150">F646 &amp; ". " &amp;I646</f>
        <v>210. ${hoh_roster_name}
 Sex: ${hoh_roster_sex}
 Age: ${hoh_roster_age}</v>
      </c>
    </row>
    <row r="647">
      <c r="A647" s="114" t="s">
        <v>680</v>
      </c>
      <c r="B647" s="165" t="s">
        <v>3336</v>
      </c>
      <c r="C647" s="76" t="s">
        <v>3338</v>
      </c>
      <c r="D647" s="76" t="s">
        <v>3339</v>
      </c>
      <c r="E647" s="76" t="s">
        <v>3341</v>
      </c>
      <c r="F647" s="110">
        <v>211.0</v>
      </c>
      <c r="G647" s="113" t="str">
        <f>IFERROR(__xludf.DUMMYFUNCTION("TRIM(REGEXREPLACE(C647, ""[0-9]+[a-f]?\."", """"))"),"Is ${hoh_roster_name} a Nigerien national?")</f>
        <v>Is ${hoh_roster_name} a Nigerien national?</v>
      </c>
      <c r="H647" s="113" t="str">
        <f>IFERROR(__xludf.DUMMYFUNCTION("TRIM(REGEXREPLACE(D647, ""[0-9]+[a-f]?\."", """"))"),"${hoh_roster_name} est-il un citoyen(ne) du Niger ?")</f>
        <v>${hoh_roster_name} est-il un citoyen(ne) du Niger ?</v>
      </c>
      <c r="I647" s="113" t="str">
        <f>IFERROR(__xludf.DUMMYFUNCTION("TRIM(REGEXREPLACE(E647, ""[0-9]+[a-f]?\."", """"))"),"Ko ${hoh_roster_name} ɗan ƙasar Nijar ne?")</f>
        <v>Ko ${hoh_roster_name} ɗan ƙasar Nijar ne?</v>
      </c>
      <c r="J647" s="113" t="str">
        <f t="shared" si="148"/>
        <v>211. Is ${hoh_roster_name} a Nigerien national?</v>
      </c>
      <c r="K647" s="113" t="str">
        <f t="shared" si="149"/>
        <v>211. ${hoh_roster_name} est-il un citoyen(ne) du Niger ?</v>
      </c>
      <c r="L647" s="113" t="str">
        <f t="shared" si="150"/>
        <v>211. Ko ${hoh_roster_name} ɗan ƙasar Nijar ne?</v>
      </c>
    </row>
    <row r="648" hidden="1">
      <c r="B648" s="119"/>
      <c r="C648" s="119"/>
      <c r="D648" s="119"/>
      <c r="E648" s="119"/>
      <c r="F648" s="110">
        <v>380.0</v>
      </c>
      <c r="G648" s="113" t="str">
        <f>IFERROR(__xludf.DUMMYFUNCTION("TRIM(REGEXREPLACE(C648, ""[0-9]+[a-f]?\."", """"))"),"")</f>
        <v/>
      </c>
      <c r="H648" s="113" t="str">
        <f>IFERROR(__xludf.DUMMYFUNCTION("TRIM(REGEXREPLACE(D648, ""[0-9]+[a-f]?\."", """"))"),"")</f>
        <v/>
      </c>
      <c r="I648" s="113" t="str">
        <f>IFERROR(__xludf.DUMMYFUNCTION("TRIM(REGEXREPLACE(E648, ""[0-9]+[a-f]?\."", """"))"),"")</f>
        <v/>
      </c>
      <c r="J648" s="113" t="s">
        <v>3345</v>
      </c>
      <c r="K648" s="113" t="s">
        <v>3346</v>
      </c>
      <c r="L648" s="113" t="s">
        <v>3347</v>
      </c>
    </row>
    <row r="649" hidden="1">
      <c r="B649" s="119"/>
      <c r="C649" s="119"/>
      <c r="D649" s="119"/>
      <c r="E649" s="119"/>
      <c r="F649" s="110">
        <v>381.0</v>
      </c>
      <c r="G649" s="113" t="str">
        <f>IFERROR(__xludf.DUMMYFUNCTION("TRIM(REGEXREPLACE(C649, ""[0-9]+[a-f]?\."", """"))"),"")</f>
        <v/>
      </c>
      <c r="H649" s="113" t="str">
        <f>IFERROR(__xludf.DUMMYFUNCTION("TRIM(REGEXREPLACE(D649, ""[0-9]+[a-f]?\."", """"))"),"")</f>
        <v/>
      </c>
      <c r="I649" s="113" t="str">
        <f>IFERROR(__xludf.DUMMYFUNCTION("TRIM(REGEXREPLACE(E649, ""[0-9]+[a-f]?\."", """"))"),"")</f>
        <v/>
      </c>
      <c r="J649" s="113" t="s">
        <v>3348</v>
      </c>
      <c r="K649" s="113" t="s">
        <v>3349</v>
      </c>
      <c r="L649" s="113" t="s">
        <v>3350</v>
      </c>
    </row>
    <row r="650" hidden="1">
      <c r="B650" s="119"/>
      <c r="C650" s="119"/>
      <c r="D650" s="119"/>
      <c r="E650" s="119"/>
      <c r="F650" s="110">
        <v>382.0</v>
      </c>
      <c r="G650" s="113" t="str">
        <f>IFERROR(__xludf.DUMMYFUNCTION("TRIM(REGEXREPLACE(C650, ""[0-9]+[a-f]?\."", """"))"),"")</f>
        <v/>
      </c>
      <c r="H650" s="113" t="str">
        <f>IFERROR(__xludf.DUMMYFUNCTION("TRIM(REGEXREPLACE(D650, ""[0-9]+[a-f]?\."", """"))"),"")</f>
        <v/>
      </c>
      <c r="I650" s="113" t="str">
        <f>IFERROR(__xludf.DUMMYFUNCTION("TRIM(REGEXREPLACE(E650, ""[0-9]+[a-f]?\."", """"))"),"")</f>
        <v/>
      </c>
      <c r="J650" s="113" t="s">
        <v>3355</v>
      </c>
      <c r="K650" s="113" t="s">
        <v>3356</v>
      </c>
      <c r="L650" s="113" t="s">
        <v>3358</v>
      </c>
    </row>
    <row r="651" hidden="1">
      <c r="B651" s="119"/>
      <c r="C651" s="119"/>
      <c r="D651" s="119"/>
      <c r="E651" s="119"/>
      <c r="F651" s="110">
        <v>383.0</v>
      </c>
      <c r="G651" s="113" t="str">
        <f>IFERROR(__xludf.DUMMYFUNCTION("TRIM(REGEXREPLACE(C651, ""[0-9]+[a-f]?\."", """"))"),"")</f>
        <v/>
      </c>
      <c r="H651" s="113" t="str">
        <f>IFERROR(__xludf.DUMMYFUNCTION("TRIM(REGEXREPLACE(D651, ""[0-9]+[a-f]?\."", """"))"),"")</f>
        <v/>
      </c>
      <c r="I651" s="113" t="str">
        <f>IFERROR(__xludf.DUMMYFUNCTION("TRIM(REGEXREPLACE(E651, ""[0-9]+[a-f]?\."", """"))"),"")</f>
        <v/>
      </c>
      <c r="J651" s="113" t="s">
        <v>3360</v>
      </c>
      <c r="K651" s="113" t="s">
        <v>3361</v>
      </c>
      <c r="L651" s="113" t="s">
        <v>3362</v>
      </c>
    </row>
    <row r="652" hidden="1">
      <c r="B652" s="119"/>
      <c r="C652" s="119"/>
      <c r="D652" s="119"/>
      <c r="E652" s="119"/>
      <c r="F652" s="110">
        <v>384.0</v>
      </c>
      <c r="G652" s="113" t="str">
        <f>IFERROR(__xludf.DUMMYFUNCTION("TRIM(REGEXREPLACE(C652, ""[0-9]+[a-f]?\."", """"))"),"")</f>
        <v/>
      </c>
      <c r="H652" s="113" t="str">
        <f>IFERROR(__xludf.DUMMYFUNCTION("TRIM(REGEXREPLACE(D652, ""[0-9]+[a-f]?\."", """"))"),"")</f>
        <v/>
      </c>
      <c r="I652" s="113" t="str">
        <f>IFERROR(__xludf.DUMMYFUNCTION("TRIM(REGEXREPLACE(E652, ""[0-9]+[a-f]?\."", """"))"),"")</f>
        <v/>
      </c>
      <c r="J652" s="113" t="s">
        <v>3365</v>
      </c>
      <c r="K652" s="113" t="s">
        <v>3366</v>
      </c>
      <c r="L652" s="113" t="s">
        <v>3368</v>
      </c>
    </row>
    <row r="653">
      <c r="A653" s="121" t="s">
        <v>707</v>
      </c>
      <c r="B653" s="157" t="s">
        <v>3369</v>
      </c>
      <c r="C653" s="76" t="s">
        <v>3370</v>
      </c>
      <c r="D653" s="76" t="s">
        <v>3371</v>
      </c>
      <c r="E653" s="76" t="s">
        <v>3372</v>
      </c>
      <c r="F653" s="110">
        <v>212.0</v>
      </c>
      <c r="G653" s="113" t="str">
        <f>IFERROR(__xludf.DUMMYFUNCTION("TRIM(REGEXREPLACE(C653, ""[0-9]+[a-f]?\."", """"))"),"Where are they a cititzen of?")</f>
        <v>Where are they a cititzen of?</v>
      </c>
      <c r="H653" s="113" t="str">
        <f>IFERROR(__xludf.DUMMYFUNCTION("TRIM(REGEXREPLACE(D653, ""[0-9]+[a-f]?\."", """"))"),"D'où sont-ils citoyens ?")</f>
        <v>D'où sont-ils citoyens ?</v>
      </c>
      <c r="I653" s="113" t="str">
        <f>IFERROR(__xludf.DUMMYFUNCTION("TRIM(REGEXREPLACE(E653, ""[0-9]+[a-f]?\."", """"))"),"Ƴan wace ƙasa ce?")</f>
        <v>Ƴan wace ƙasa ce?</v>
      </c>
      <c r="J653" s="113" t="str">
        <f t="shared" ref="J653:J658" si="151">F653 &amp; ". " &amp;G653</f>
        <v>212. Where are they a cititzen of?</v>
      </c>
      <c r="K653" s="113" t="str">
        <f t="shared" ref="K653:K658" si="152">F653 &amp; ". " &amp;H653</f>
        <v>212. D'où sont-ils citoyens ?</v>
      </c>
      <c r="L653" s="113" t="str">
        <f t="shared" ref="L653:L658" si="153">F653 &amp; ". " &amp;I653</f>
        <v>212. Ƴan wace ƙasa ce?</v>
      </c>
    </row>
    <row r="654">
      <c r="A654" s="121" t="s">
        <v>217</v>
      </c>
      <c r="B654" s="157" t="s">
        <v>3379</v>
      </c>
      <c r="C654" s="76" t="s">
        <v>1987</v>
      </c>
      <c r="D654" s="76" t="s">
        <v>1988</v>
      </c>
      <c r="E654" s="76" t="s">
        <v>1989</v>
      </c>
      <c r="F654" s="110">
        <v>213.0</v>
      </c>
      <c r="G654" s="113" t="str">
        <f>IFERROR(__xludf.DUMMYFUNCTION("TRIM(REGEXREPLACE(C654, ""[0-9]+[a-f]?\."", """"))"),"Please enter the nationality of ${hoh_roster_name}")</f>
        <v>Please enter the nationality of ${hoh_roster_name}</v>
      </c>
      <c r="H654" s="113" t="str">
        <f>IFERROR(__xludf.DUMMYFUNCTION("TRIM(REGEXREPLACE(D654, ""[0-9]+[a-f]?\."", """"))"),"Veuillez saisir la nationalité de ${hoh_roster_name}")</f>
        <v>Veuillez saisir la nationalité de ${hoh_roster_name}</v>
      </c>
      <c r="I654" s="113" t="str">
        <f>IFERROR(__xludf.DUMMYFUNCTION("TRIM(REGEXREPLACE(E654, ""[0-9]+[a-f]?\."", """"))"),"Da fatan za a shigar da ƙasar ${hoh_roster_name}")</f>
        <v>Da fatan za a shigar da ƙasar ${hoh_roster_name}</v>
      </c>
      <c r="J654" s="113" t="str">
        <f t="shared" si="151"/>
        <v>213. Please enter the nationality of ${hoh_roster_name}</v>
      </c>
      <c r="K654" s="113" t="str">
        <f t="shared" si="152"/>
        <v>213. Veuillez saisir la nationalité de ${hoh_roster_name}</v>
      </c>
      <c r="L654" s="113" t="str">
        <f t="shared" si="153"/>
        <v>213. Da fatan za a shigar da ƙasar ${hoh_roster_name}</v>
      </c>
    </row>
    <row r="655">
      <c r="A655" s="114" t="s">
        <v>541</v>
      </c>
      <c r="B655" s="165" t="s">
        <v>3380</v>
      </c>
      <c r="C655" s="76" t="s">
        <v>1991</v>
      </c>
      <c r="D655" s="76" t="s">
        <v>1992</v>
      </c>
      <c r="E655" s="76" t="s">
        <v>1993</v>
      </c>
      <c r="F655" s="110">
        <v>214.0</v>
      </c>
      <c r="G655" s="113" t="str">
        <f>IFERROR(__xludf.DUMMYFUNCTION("TRIM(REGEXREPLACE(C655, ""[0-9]+[a-f]?\."", """"))"),"Is ${hoh_roster_name} still a member of this household?")</f>
        <v>Is ${hoh_roster_name} still a member of this household?</v>
      </c>
      <c r="H655" s="113" t="str">
        <f>IFERROR(__xludf.DUMMYFUNCTION("TRIM(REGEXREPLACE(D655, ""[0-9]+[a-f]?\."", """"))"),"${hoh_roster_name} est-il toujours membre de ce ménage ?")</f>
        <v>${hoh_roster_name} est-il toujours membre de ce ménage ?</v>
      </c>
      <c r="I655" s="113" t="str">
        <f>IFERROR(__xludf.DUMMYFUNCTION("TRIM(REGEXREPLACE(E655, ""[0-9]+[a-f]?\."", """"))"),"Ko suna yana cikin ƴan gidan nan?")</f>
        <v>Ko suna yana cikin ƴan gidan nan?</v>
      </c>
      <c r="J655" s="113" t="str">
        <f t="shared" si="151"/>
        <v>214. Is ${hoh_roster_name} still a member of this household?</v>
      </c>
      <c r="K655" s="113" t="str">
        <f t="shared" si="152"/>
        <v>214. ${hoh_roster_name} est-il toujours membre de ce ménage ?</v>
      </c>
      <c r="L655" s="113" t="str">
        <f t="shared" si="153"/>
        <v>214. Ko suna yana cikin ƴan gidan nan?</v>
      </c>
    </row>
    <row r="656">
      <c r="A656" s="114" t="s">
        <v>3387</v>
      </c>
      <c r="B656" s="165" t="s">
        <v>3388</v>
      </c>
      <c r="C656" s="76" t="s">
        <v>3389</v>
      </c>
      <c r="D656" s="76" t="s">
        <v>3390</v>
      </c>
      <c r="E656" s="76" t="s">
        <v>3391</v>
      </c>
      <c r="F656" s="110">
        <v>215.0</v>
      </c>
      <c r="G656" s="113" t="str">
        <f>IFERROR(__xludf.DUMMYFUNCTION("TRIM(REGEXREPLACE(C656, ""[0-9]+[a-f]?\."", """"))"),"Why are they not a member of this household?")</f>
        <v>Why are they not a member of this household?</v>
      </c>
      <c r="H656" s="113" t="str">
        <f>IFERROR(__xludf.DUMMYFUNCTION("TRIM(REGEXREPLACE(D656, ""[0-9]+[a-f]?\."", """"))"),"Pourquoi ne font-ils pas partie de ce ménage ?")</f>
        <v>Pourquoi ne font-ils pas partie de ce ménage ?</v>
      </c>
      <c r="I656" s="113" t="str">
        <f>IFERROR(__xludf.DUMMYFUNCTION("TRIM(REGEXREPLACE(E656, ""[0-9]+[a-f]?\."", """"))"),"Me ya sa ba su cikin ƴan gidan nan ?")</f>
        <v>Me ya sa ba su cikin ƴan gidan nan ?</v>
      </c>
      <c r="J656" s="113" t="str">
        <f t="shared" si="151"/>
        <v>215. Why are they not a member of this household?</v>
      </c>
      <c r="K656" s="113" t="str">
        <f t="shared" si="152"/>
        <v>215. Pourquoi ne font-ils pas partie de ce ménage ?</v>
      </c>
      <c r="L656" s="113" t="str">
        <f t="shared" si="153"/>
        <v>215. Me ya sa ba su cikin ƴan gidan nan ?</v>
      </c>
    </row>
    <row r="657">
      <c r="A657" s="162" t="s">
        <v>217</v>
      </c>
      <c r="B657" s="166" t="s">
        <v>3392</v>
      </c>
      <c r="C657" s="76" t="s">
        <v>3393</v>
      </c>
      <c r="D657" s="76" t="s">
        <v>3394</v>
      </c>
      <c r="E657" s="76" t="s">
        <v>3395</v>
      </c>
      <c r="F657" s="110">
        <v>216.0</v>
      </c>
      <c r="G657" s="113" t="str">
        <f>IFERROR(__xludf.DUMMYFUNCTION("TRIM(REGEXREPLACE(C657, ""[0-9]+[a-f]?\."", """"))"),"Other, specify:")</f>
        <v>Other, specify:</v>
      </c>
      <c r="H657" s="113" t="str">
        <f>IFERROR(__xludf.DUMMYFUNCTION("TRIM(REGEXREPLACE(D657, ""[0-9]+[a-f]?\."", """"))"),"Autre précisez:")</f>
        <v>Autre précisez:</v>
      </c>
      <c r="I657" s="113" t="str">
        <f>IFERROR(__xludf.DUMMYFUNCTION("TRIM(REGEXREPLACE(E657, ""[0-9]+[a-f]?\."", """"))"),"Sauran, bayar da cikakkun bayanai:")</f>
        <v>Sauran, bayar da cikakkun bayanai:</v>
      </c>
      <c r="J657" s="113" t="str">
        <f t="shared" si="151"/>
        <v>216. Other, specify:</v>
      </c>
      <c r="K657" s="113" t="str">
        <f t="shared" si="152"/>
        <v>216. Autre précisez:</v>
      </c>
      <c r="L657" s="113" t="str">
        <f t="shared" si="153"/>
        <v>216. Sauran, bayar da cikakkun bayanai:</v>
      </c>
    </row>
    <row r="658">
      <c r="A658" s="162" t="s">
        <v>217</v>
      </c>
      <c r="B658" s="166" t="s">
        <v>3399</v>
      </c>
      <c r="C658" s="76" t="s">
        <v>3400</v>
      </c>
      <c r="D658" s="76" t="s">
        <v>3401</v>
      </c>
      <c r="E658" s="76" t="s">
        <v>3401</v>
      </c>
      <c r="F658" s="110">
        <v>217.0</v>
      </c>
      <c r="G658" s="113" t="str">
        <f>IFERROR(__xludf.DUMMYFUNCTION("TRIM(REGEXREPLACE(C658, ""[0-9]+[a-f]?\."", """"))"),"Enumerator: Record any details about the death of the family member")</f>
        <v>Enumerator: Record any details about the death of the family member</v>
      </c>
      <c r="H658" s="113" t="str">
        <f>IFERROR(__xludf.DUMMYFUNCTION("TRIM(REGEXREPLACE(D658, ""[0-9]+[a-f]?\."", """"))"),"Enqueteur: Veuillez noter toute information pertinente concernant le décès")</f>
        <v>Enqueteur: Veuillez noter toute information pertinente concernant le décès</v>
      </c>
      <c r="I658" s="113" t="str">
        <f>IFERROR(__xludf.DUMMYFUNCTION("TRIM(REGEXREPLACE(E658, ""[0-9]+[a-f]?\."", """"))"),"Enqueteur: Veuillez noter toute information pertinente concernant le décès")</f>
        <v>Enqueteur: Veuillez noter toute information pertinente concernant le décès</v>
      </c>
      <c r="J658" s="113" t="str">
        <f t="shared" si="151"/>
        <v>217. Enumerator: Record any details about the death of the family member</v>
      </c>
      <c r="K658" s="113" t="str">
        <f t="shared" si="152"/>
        <v>217. Enqueteur: Veuillez noter toute information pertinente concernant le décès</v>
      </c>
      <c r="L658" s="113" t="str">
        <f t="shared" si="153"/>
        <v>217. Enqueteur: Veuillez noter toute information pertinente concernant le décès</v>
      </c>
    </row>
    <row r="659" hidden="1">
      <c r="B659" s="119"/>
      <c r="C659" s="119"/>
      <c r="D659" s="119"/>
      <c r="E659" s="119"/>
      <c r="F659" s="110">
        <v>387.0</v>
      </c>
      <c r="G659" s="113" t="str">
        <f>IFERROR(__xludf.DUMMYFUNCTION("TRIM(REGEXREPLACE(C659, ""[0-9]+[a-f]?\."", """"))"),"")</f>
        <v/>
      </c>
      <c r="H659" s="113" t="str">
        <f>IFERROR(__xludf.DUMMYFUNCTION("TRIM(REGEXREPLACE(D659, ""[0-9]+[a-f]?\."", """"))"),"")</f>
        <v/>
      </c>
      <c r="I659" s="113" t="str">
        <f>IFERROR(__xludf.DUMMYFUNCTION("TRIM(REGEXREPLACE(E659, ""[0-9]+[a-f]?\."", """"))"),"")</f>
        <v/>
      </c>
      <c r="J659" s="113" t="s">
        <v>3409</v>
      </c>
      <c r="K659" s="113" t="s">
        <v>3410</v>
      </c>
      <c r="L659" s="113" t="s">
        <v>3411</v>
      </c>
    </row>
    <row r="660">
      <c r="A660" s="114" t="s">
        <v>541</v>
      </c>
      <c r="B660" s="165" t="s">
        <v>3412</v>
      </c>
      <c r="C660" s="76" t="s">
        <v>3413</v>
      </c>
      <c r="D660" s="76" t="s">
        <v>3414</v>
      </c>
      <c r="E660" s="76" t="s">
        <v>3415</v>
      </c>
      <c r="F660" s="110">
        <v>218.0</v>
      </c>
      <c r="G660" s="113" t="str">
        <f>IFERROR(__xludf.DUMMYFUNCTION("TRIM(REGEXREPLACE(C660, ""[0-9]+[a-f]?\."", """"))"),"Is ${hoh_roster_name} currently living in your household?")</f>
        <v>Is ${hoh_roster_name} currently living in your household?</v>
      </c>
      <c r="H660" s="113" t="str">
        <f>IFERROR(__xludf.DUMMYFUNCTION("TRIM(REGEXREPLACE(D660, ""[0-9]+[a-f]?\."", """"))"),"Est-ce que ${hoh_roster_name} vit actuellement dans votre ménage ?")</f>
        <v>Est-ce que ${hoh_roster_name} vit actuellement dans votre ménage ?</v>
      </c>
      <c r="I660" s="113" t="str">
        <f>IFERROR(__xludf.DUMMYFUNCTION("TRIM(REGEXREPLACE(E660, ""[0-9]+[a-f]?\."", """"))"),"Ko ${hoh_roster_name} yana zaune a gidanku a halin yanzu ?")</f>
        <v>Ko ${hoh_roster_name} yana zaune a gidanku a halin yanzu ?</v>
      </c>
      <c r="J660" s="113" t="str">
        <f t="shared" ref="J660:J665" si="154">F660 &amp; ". " &amp;G660</f>
        <v>218. Is ${hoh_roster_name} currently living in your household?</v>
      </c>
      <c r="K660" s="113" t="str">
        <f t="shared" ref="K660:K665" si="155">F660 &amp; ". " &amp;H660</f>
        <v>218. Est-ce que ${hoh_roster_name} vit actuellement dans votre ménage ?</v>
      </c>
      <c r="L660" s="113" t="str">
        <f t="shared" ref="L660:L665" si="156">F660 &amp; ". " &amp;I660</f>
        <v>218. Ko ${hoh_roster_name} yana zaune a gidanku a halin yanzu ?</v>
      </c>
    </row>
    <row r="661">
      <c r="A661" s="114" t="s">
        <v>680</v>
      </c>
      <c r="B661" s="165" t="s">
        <v>3419</v>
      </c>
      <c r="C661" s="76" t="s">
        <v>2020</v>
      </c>
      <c r="D661" s="76" t="s">
        <v>2021</v>
      </c>
      <c r="E661" s="76" t="s">
        <v>2022</v>
      </c>
      <c r="F661" s="110">
        <v>219.0</v>
      </c>
      <c r="G661" s="113" t="str">
        <f>IFERROR(__xludf.DUMMYFUNCTION("TRIM(REGEXREPLACE(C661, ""[0-9]+[a-f]?\."", """"))"),"Is ${hoh_roster_name} currently living in Niger?")</f>
        <v>Is ${hoh_roster_name} currently living in Niger?</v>
      </c>
      <c r="H661" s="113" t="str">
        <f>IFERROR(__xludf.DUMMYFUNCTION("TRIM(REGEXREPLACE(D661, ""[0-9]+[a-f]?\."", """"))"),"Est-ce que ${hoh_roster_name} vit actuellement au Niger ?")</f>
        <v>Est-ce que ${hoh_roster_name} vit actuellement au Niger ?</v>
      </c>
      <c r="I661" s="113" t="str">
        <f>IFERROR(__xludf.DUMMYFUNCTION("TRIM(REGEXREPLACE(E661, ""[0-9]+[a-f]?\."", """"))"),"Ko ${hoh_roster_name} yana zaune a Nijar a halin yanzu?")</f>
        <v>Ko ${hoh_roster_name} yana zaune a Nijar a halin yanzu?</v>
      </c>
      <c r="J661" s="113" t="str">
        <f t="shared" si="154"/>
        <v>219. Is ${hoh_roster_name} currently living in Niger?</v>
      </c>
      <c r="K661" s="113" t="str">
        <f t="shared" si="155"/>
        <v>219. Est-ce que ${hoh_roster_name} vit actuellement au Niger ?</v>
      </c>
      <c r="L661" s="113" t="str">
        <f t="shared" si="156"/>
        <v>219. Ko ${hoh_roster_name} yana zaune a Nijar a halin yanzu?</v>
      </c>
    </row>
    <row r="662">
      <c r="A662" s="114" t="s">
        <v>703</v>
      </c>
      <c r="B662" s="165" t="s">
        <v>3420</v>
      </c>
      <c r="C662" s="76" t="s">
        <v>2023</v>
      </c>
      <c r="D662" s="76" t="s">
        <v>2024</v>
      </c>
      <c r="E662" s="76" t="s">
        <v>2025</v>
      </c>
      <c r="F662" s="110">
        <v>220.0</v>
      </c>
      <c r="G662" s="113" t="str">
        <f>IFERROR(__xludf.DUMMYFUNCTION("TRIM(REGEXREPLACE(C662, ""[0-9]+[a-f]?\."", """"))"),"What region is ${hoh_roster_name} currently living in?")</f>
        <v>What region is ${hoh_roster_name} currently living in?</v>
      </c>
      <c r="H662" s="113" t="str">
        <f>IFERROR(__xludf.DUMMYFUNCTION("TRIM(REGEXREPLACE(D662, ""[0-9]+[a-f]?\."", """"))"),"Dans quelle région vit actuellement ${hoh_roster_name} ?")</f>
        <v>Dans quelle région vit actuellement ${hoh_roster_name} ?</v>
      </c>
      <c r="I662" s="113" t="str">
        <f>IFERROR(__xludf.DUMMYFUNCTION("TRIM(REGEXREPLACE(E662, ""[0-9]+[a-f]?\."", """"))"),"A cikin wace jaha ce ${hoh_roster_name} yake zaune a yanzu?")</f>
        <v>A cikin wace jaha ce ${hoh_roster_name} yake zaune a yanzu?</v>
      </c>
      <c r="J662" s="113" t="str">
        <f t="shared" si="154"/>
        <v>220. What region is ${hoh_roster_name} currently living in?</v>
      </c>
      <c r="K662" s="113" t="str">
        <f t="shared" si="155"/>
        <v>220. Dans quelle région vit actuellement ${hoh_roster_name} ?</v>
      </c>
      <c r="L662" s="113" t="str">
        <f t="shared" si="156"/>
        <v>220. A cikin wace jaha ce ${hoh_roster_name} yake zaune a yanzu?</v>
      </c>
    </row>
    <row r="663">
      <c r="A663" s="114" t="s">
        <v>3422</v>
      </c>
      <c r="B663" s="165" t="s">
        <v>3423</v>
      </c>
      <c r="C663" s="76" t="s">
        <v>2029</v>
      </c>
      <c r="D663" s="76" t="s">
        <v>2030</v>
      </c>
      <c r="E663" s="76" t="s">
        <v>2031</v>
      </c>
      <c r="F663" s="110">
        <v>221.0</v>
      </c>
      <c r="G663" s="113" t="str">
        <f>IFERROR(__xludf.DUMMYFUNCTION("TRIM(REGEXREPLACE(C663, ""[0-9]+[a-f]?\."", """"))"),"What country is ${hoh_roster_name} currently living in?")</f>
        <v>What country is ${hoh_roster_name} currently living in?</v>
      </c>
      <c r="H663" s="113" t="str">
        <f>IFERROR(__xludf.DUMMYFUNCTION("TRIM(REGEXREPLACE(D663, ""[0-9]+[a-f]?\."", """"))"),"Dans quel pays vit actuellement ${hoh_roster_name} ?")</f>
        <v>Dans quel pays vit actuellement ${hoh_roster_name} ?</v>
      </c>
      <c r="I663" s="113" t="str">
        <f>IFERROR(__xludf.DUMMYFUNCTION("TRIM(REGEXREPLACE(E663, ""[0-9]+[a-f]?\."", """"))"),"A cikin wace kasa ce ${hoh_roster_name} yake zaune a yanzu?")</f>
        <v>A cikin wace kasa ce ${hoh_roster_name} yake zaune a yanzu?</v>
      </c>
      <c r="J663" s="113" t="str">
        <f t="shared" si="154"/>
        <v>221. What country is ${hoh_roster_name} currently living in?</v>
      </c>
      <c r="K663" s="113" t="str">
        <f t="shared" si="155"/>
        <v>221. Dans quel pays vit actuellement ${hoh_roster_name} ?</v>
      </c>
      <c r="L663" s="113" t="str">
        <f t="shared" si="156"/>
        <v>221. A cikin wace kasa ce ${hoh_roster_name} yake zaune a yanzu?</v>
      </c>
    </row>
    <row r="664">
      <c r="A664" s="162" t="s">
        <v>217</v>
      </c>
      <c r="B664" s="166" t="s">
        <v>3426</v>
      </c>
      <c r="C664" s="76" t="s">
        <v>3427</v>
      </c>
      <c r="D664" s="76" t="s">
        <v>3428</v>
      </c>
      <c r="E664" s="76" t="s">
        <v>3429</v>
      </c>
      <c r="F664" s="110">
        <v>222.0</v>
      </c>
      <c r="G664" s="113" t="str">
        <f>IFERROR(__xludf.DUMMYFUNCTION("TRIM(REGEXREPLACE(C664, ""[0-9]+[a-f]?\."", """"))"),"Specify other")</f>
        <v>Specify other</v>
      </c>
      <c r="H664" s="113" t="str">
        <f>IFERROR(__xludf.DUMMYFUNCTION("TRIM(REGEXREPLACE(D664, ""[0-9]+[a-f]?\."", """"))"),"Autre à préciser")</f>
        <v>Autre à préciser</v>
      </c>
      <c r="I664" s="113" t="str">
        <f>IFERROR(__xludf.DUMMYFUNCTION("TRIM(REGEXREPLACE(E664, ""[0-9]+[a-f]?\."", """"))"),"Wani daban a Bayyana")</f>
        <v>Wani daban a Bayyana</v>
      </c>
      <c r="J664" s="113" t="str">
        <f t="shared" si="154"/>
        <v>222. Specify other</v>
      </c>
      <c r="K664" s="113" t="str">
        <f t="shared" si="155"/>
        <v>222. Autre à préciser</v>
      </c>
      <c r="L664" s="113" t="str">
        <f t="shared" si="156"/>
        <v>222. Wani daban a Bayyana</v>
      </c>
    </row>
    <row r="665">
      <c r="A665" s="114" t="s">
        <v>727</v>
      </c>
      <c r="B665" s="165" t="s">
        <v>3430</v>
      </c>
      <c r="C665" s="76" t="s">
        <v>2045</v>
      </c>
      <c r="D665" s="76" t="s">
        <v>2047</v>
      </c>
      <c r="E665" s="76" t="s">
        <v>2048</v>
      </c>
      <c r="F665" s="110">
        <v>223.0</v>
      </c>
      <c r="G665" s="113" t="str">
        <f>IFERROR(__xludf.DUMMYFUNCTION("TRIM(REGEXREPLACE(C665, ""[0-9]+[a-f]?\."", """"))"),"Enumerator: Select town")</f>
        <v>Enumerator: Select town</v>
      </c>
      <c r="H665" s="113" t="str">
        <f>IFERROR(__xludf.DUMMYFUNCTION("TRIM(REGEXREPLACE(D665, ""[0-9]+[a-f]?\."", """"))"),"Enquêteur : Sélectionnez la ville")</f>
        <v>Enquêteur : Sélectionnez la ville</v>
      </c>
      <c r="I665" s="113" t="str">
        <f>IFERROR(__xludf.DUMMYFUNCTION("TRIM(REGEXREPLACE(E665, ""[0-9]+[a-f]?\."", """"))"),"Ɗan bincike: Zaɓi gari")</f>
        <v>Ɗan bincike: Zaɓi gari</v>
      </c>
      <c r="J665" s="113" t="str">
        <f t="shared" si="154"/>
        <v>223. Enumerator: Select town</v>
      </c>
      <c r="K665" s="113" t="str">
        <f t="shared" si="155"/>
        <v>223. Enquêteur : Sélectionnez la ville</v>
      </c>
      <c r="L665" s="113" t="str">
        <f t="shared" si="156"/>
        <v>223. Ɗan bincike: Zaɓi gari</v>
      </c>
    </row>
    <row r="666" hidden="1">
      <c r="B666" s="119"/>
      <c r="C666" s="119"/>
      <c r="D666" s="119"/>
      <c r="E666" s="119"/>
      <c r="F666" s="110">
        <v>389.0</v>
      </c>
      <c r="G666" s="113" t="str">
        <f>IFERROR(__xludf.DUMMYFUNCTION("TRIM(REGEXREPLACE(C666, ""[0-9]+[a-f]?\."", """"))"),"")</f>
        <v/>
      </c>
      <c r="H666" s="113" t="str">
        <f>IFERROR(__xludf.DUMMYFUNCTION("TRIM(REGEXREPLACE(D666, ""[0-9]+[a-f]?\."", """"))"),"")</f>
        <v/>
      </c>
      <c r="I666" s="113" t="str">
        <f>IFERROR(__xludf.DUMMYFUNCTION("TRIM(REGEXREPLACE(E666, ""[0-9]+[a-f]?\."", """"))"),"")</f>
        <v/>
      </c>
      <c r="J666" s="113" t="s">
        <v>3431</v>
      </c>
      <c r="K666" s="113" t="s">
        <v>3432</v>
      </c>
      <c r="L666" s="113" t="s">
        <v>3433</v>
      </c>
    </row>
    <row r="667" hidden="1">
      <c r="B667" s="119"/>
      <c r="C667" s="119"/>
      <c r="D667" s="119"/>
      <c r="E667" s="119"/>
      <c r="F667" s="110">
        <v>390.0</v>
      </c>
      <c r="G667" s="113" t="str">
        <f>IFERROR(__xludf.DUMMYFUNCTION("TRIM(REGEXREPLACE(C667, ""[0-9]+[a-f]?\."", """"))"),"")</f>
        <v/>
      </c>
      <c r="H667" s="113" t="str">
        <f>IFERROR(__xludf.DUMMYFUNCTION("TRIM(REGEXREPLACE(D667, ""[0-9]+[a-f]?\."", """"))"),"")</f>
        <v/>
      </c>
      <c r="I667" s="113" t="str">
        <f>IFERROR(__xludf.DUMMYFUNCTION("TRIM(REGEXREPLACE(E667, ""[0-9]+[a-f]?\."", """"))"),"")</f>
        <v/>
      </c>
      <c r="J667" s="113" t="s">
        <v>3434</v>
      </c>
      <c r="K667" s="113" t="s">
        <v>3435</v>
      </c>
      <c r="L667" s="113" t="s">
        <v>3436</v>
      </c>
    </row>
    <row r="668" hidden="1"/>
    <row r="669">
      <c r="A669" s="80" t="s">
        <v>217</v>
      </c>
      <c r="B669" s="157" t="s">
        <v>3438</v>
      </c>
      <c r="C669" s="76" t="s">
        <v>3439</v>
      </c>
      <c r="D669" s="76" t="s">
        <v>3441</v>
      </c>
      <c r="E669" s="76" t="s">
        <v>3442</v>
      </c>
      <c r="F669" s="110">
        <v>224.0</v>
      </c>
      <c r="G669" s="113" t="str">
        <f>IFERROR(__xludf.DUMMYFUNCTION("TRIM(REGEXREPLACE(C669, ""[0-9]+[a-f]?\."", """"))"),"Specify other")</f>
        <v>Specify other</v>
      </c>
      <c r="H669" s="113" t="str">
        <f>IFERROR(__xludf.DUMMYFUNCTION("TRIM(REGEXREPLACE(D669, ""[0-9]+[a-f]?\."", """"))"),"Autre à préciser")</f>
        <v>Autre à préciser</v>
      </c>
      <c r="I669" s="113" t="str">
        <f>IFERROR(__xludf.DUMMYFUNCTION("TRIM(REGEXREPLACE(E669, ""[0-9]+[a-f]?\."", """"))"),"Wani daban a Bayyana")</f>
        <v>Wani daban a Bayyana</v>
      </c>
      <c r="J669" s="113" t="str">
        <f>F669 &amp; ". " &amp;G669</f>
        <v>224. Specify other</v>
      </c>
      <c r="K669" s="113" t="str">
        <f>F669 &amp; ". " &amp;H669</f>
        <v>224. Autre à préciser</v>
      </c>
      <c r="L669" s="113" t="str">
        <f>F669 &amp; ". " &amp;I669</f>
        <v>224. Wani daban a Bayyana</v>
      </c>
    </row>
    <row r="670" hidden="1">
      <c r="A670" s="150" t="s">
        <v>161</v>
      </c>
      <c r="B670" s="82" t="s">
        <v>3444</v>
      </c>
      <c r="C670" s="82"/>
      <c r="D670" s="83"/>
      <c r="E670" s="83"/>
      <c r="F670" s="110">
        <v>386.0</v>
      </c>
      <c r="G670" s="113" t="str">
        <f>IFERROR(__xludf.DUMMYFUNCTION("TRIM(REGEXREPLACE(C670, ""[0-9]+[a-f]?\."", """"))"),"")</f>
        <v/>
      </c>
      <c r="H670" s="113" t="str">
        <f>IFERROR(__xludf.DUMMYFUNCTION("TRIM(REGEXREPLACE(D670, ""[0-9]+[a-f]?\."", """"))"),"")</f>
        <v/>
      </c>
      <c r="I670" s="113" t="str">
        <f>IFERROR(__xludf.DUMMYFUNCTION("TRIM(REGEXREPLACE(E670, ""[0-9]+[a-f]?\."", """"))"),"")</f>
        <v/>
      </c>
      <c r="J670" s="113" t="s">
        <v>3445</v>
      </c>
      <c r="K670" s="113" t="s">
        <v>3446</v>
      </c>
      <c r="L670" s="113" t="s">
        <v>3447</v>
      </c>
    </row>
    <row r="671">
      <c r="A671" s="114" t="s">
        <v>541</v>
      </c>
      <c r="B671" s="165" t="s">
        <v>3448</v>
      </c>
      <c r="C671" s="76" t="s">
        <v>3449</v>
      </c>
      <c r="D671" s="76" t="s">
        <v>3450</v>
      </c>
      <c r="E671" s="76" t="s">
        <v>3451</v>
      </c>
      <c r="F671" s="110">
        <v>225.0</v>
      </c>
      <c r="G671" s="113" t="str">
        <f>IFERROR(__xludf.DUMMYFUNCTION("TRIM(REGEXREPLACE(C671, ""[0-9]+[a-f]?\."", """"))"),"Does ${hoh_roster_name} currently suffer from any illness or disability that limits their ability to travel or work?")</f>
        <v>Does ${hoh_roster_name} currently suffer from any illness or disability that limits their ability to travel or work?</v>
      </c>
      <c r="H671" s="113" t="str">
        <f>IFERROR(__xludf.DUMMYFUNCTION("TRIM(REGEXREPLACE(D671, ""[0-9]+[a-f]?\."", """"))"),"Est-ce que ${hoh_roster_name} souffre actuellement d'une maladie ou d'un handicap qui limite sa capacité à voyager ou à travailler ?")</f>
        <v>Est-ce que ${hoh_roster_name} souffre actuellement d'une maladie ou d'un handicap qui limite sa capacité à voyager ou à travailler ?</v>
      </c>
      <c r="I671" s="113" t="str">
        <f>IFERROR(__xludf.DUMMYFUNCTION("TRIM(REGEXREPLACE(E671, ""[0-9]+[a-f]?\."", """"))"),"ko a halin yanzu ${hoh_roster_name} yana da rashin lafiya ko naƙasa wanda ke iya hanashi zuwa balaguro ko yin aiki?")</f>
        <v>ko a halin yanzu ${hoh_roster_name} yana da rashin lafiya ko naƙasa wanda ke iya hanashi zuwa balaguro ko yin aiki?</v>
      </c>
      <c r="J671" s="113" t="str">
        <f>F671 &amp; ". " &amp;G671</f>
        <v>225. Does ${hoh_roster_name} currently suffer from any illness or disability that limits their ability to travel or work?</v>
      </c>
      <c r="K671" s="113" t="str">
        <f>F671 &amp; ". " &amp;H671</f>
        <v>225. Est-ce que ${hoh_roster_name} souffre actuellement d'une maladie ou d'un handicap qui limite sa capacité à voyager ou à travailler ?</v>
      </c>
      <c r="L671" s="113" t="str">
        <f>F671 &amp; ". " &amp;I671</f>
        <v>225. ko a halin yanzu ${hoh_roster_name} yana da rashin lafiya ko naƙasa wanda ke iya hanashi zuwa balaguro ko yin aiki?</v>
      </c>
    </row>
    <row r="672" hidden="1">
      <c r="B672" s="119"/>
      <c r="C672" s="119"/>
      <c r="D672" s="119"/>
      <c r="E672" s="119"/>
      <c r="F672" s="110">
        <v>391.0</v>
      </c>
      <c r="G672" s="113" t="str">
        <f>IFERROR(__xludf.DUMMYFUNCTION("TRIM(REGEXREPLACE(C672, ""[0-9]+[a-f]?\."", """"))"),"")</f>
        <v/>
      </c>
      <c r="H672" s="113" t="str">
        <f>IFERROR(__xludf.DUMMYFUNCTION("TRIM(REGEXREPLACE(D672, ""[0-9]+[a-f]?\."", """"))"),"")</f>
        <v/>
      </c>
      <c r="I672" s="113" t="str">
        <f>IFERROR(__xludf.DUMMYFUNCTION("TRIM(REGEXREPLACE(E672, ""[0-9]+[a-f]?\."", """"))"),"")</f>
        <v/>
      </c>
      <c r="J672" s="113" t="s">
        <v>3455</v>
      </c>
      <c r="K672" s="113" t="s">
        <v>3456</v>
      </c>
      <c r="L672" s="113" t="s">
        <v>3457</v>
      </c>
    </row>
    <row r="673" hidden="1">
      <c r="B673" s="119"/>
      <c r="C673" s="119"/>
      <c r="D673" s="119"/>
      <c r="E673" s="119"/>
      <c r="F673" s="110">
        <v>392.0</v>
      </c>
      <c r="G673" s="113" t="str">
        <f>IFERROR(__xludf.DUMMYFUNCTION("TRIM(REGEXREPLACE(C673, ""[0-9]+[a-f]?\."", """"))"),"")</f>
        <v/>
      </c>
      <c r="H673" s="113" t="str">
        <f>IFERROR(__xludf.DUMMYFUNCTION("TRIM(REGEXREPLACE(D673, ""[0-9]+[a-f]?\."", """"))"),"")</f>
        <v/>
      </c>
      <c r="I673" s="113" t="str">
        <f>IFERROR(__xludf.DUMMYFUNCTION("TRIM(REGEXREPLACE(E673, ""[0-9]+[a-f]?\."", """"))"),"")</f>
        <v/>
      </c>
      <c r="J673" s="113" t="s">
        <v>3461</v>
      </c>
      <c r="K673" s="113" t="s">
        <v>3462</v>
      </c>
      <c r="L673" s="113" t="s">
        <v>3463</v>
      </c>
    </row>
    <row r="674" hidden="1">
      <c r="B674" s="119"/>
      <c r="C674" s="119"/>
      <c r="D674" s="119"/>
      <c r="E674" s="119"/>
      <c r="F674" s="110">
        <v>393.0</v>
      </c>
      <c r="G674" s="113" t="str">
        <f>IFERROR(__xludf.DUMMYFUNCTION("TRIM(REGEXREPLACE(C674, ""[0-9]+[a-f]?\."", """"))"),"")</f>
        <v/>
      </c>
      <c r="H674" s="113" t="str">
        <f>IFERROR(__xludf.DUMMYFUNCTION("TRIM(REGEXREPLACE(D674, ""[0-9]+[a-f]?\."", """"))"),"")</f>
        <v/>
      </c>
      <c r="I674" s="113" t="str">
        <f>IFERROR(__xludf.DUMMYFUNCTION("TRIM(REGEXREPLACE(E674, ""[0-9]+[a-f]?\."", """"))"),"")</f>
        <v/>
      </c>
      <c r="J674" s="113" t="s">
        <v>3464</v>
      </c>
      <c r="K674" s="113" t="s">
        <v>3465</v>
      </c>
      <c r="L674" s="113" t="s">
        <v>3466</v>
      </c>
    </row>
    <row r="675">
      <c r="A675" s="121" t="s">
        <v>916</v>
      </c>
      <c r="B675" s="165" t="s">
        <v>3467</v>
      </c>
      <c r="C675" s="76" t="s">
        <v>3468</v>
      </c>
      <c r="D675" s="76" t="s">
        <v>3469</v>
      </c>
      <c r="E675" s="76" t="s">
        <v>3470</v>
      </c>
      <c r="F675" s="110">
        <v>226.0</v>
      </c>
      <c r="G675" s="113" t="str">
        <f>IFERROR(__xludf.DUMMYFUNCTION("TRIM(REGEXREPLACE(C675, ""[0-9]+[a-f]?\."", """"))"),"What illness limits ${hoh_roster_name} in this way?")</f>
        <v>What illness limits ${hoh_roster_name} in this way?</v>
      </c>
      <c r="H675" s="113" t="str">
        <f>IFERROR(__xludf.DUMMYFUNCTION("TRIM(REGEXREPLACE(D675, ""[0-9]+[a-f]?\."", """"))"),"Quelle maladie limite ${hoh_roster_name} de cette manière ?")</f>
        <v>Quelle maladie limite ${hoh_roster_name} de cette manière ?</v>
      </c>
      <c r="I675" s="113" t="str">
        <f>IFERROR(__xludf.DUMMYFUNCTION("TRIM(REGEXREPLACE(E675, ""[0-9]+[a-f]?\."", """"))"),"Wace rashin lafiya ke tsaida ${hoh_roster_name} ta haka ?")</f>
        <v>Wace rashin lafiya ke tsaida ${hoh_roster_name} ta haka ?</v>
      </c>
      <c r="J675" s="113" t="str">
        <f t="shared" ref="J675:J676" si="157">F675 &amp; ". " &amp;G675</f>
        <v>226. What illness limits ${hoh_roster_name} in this way?</v>
      </c>
      <c r="K675" s="113" t="str">
        <f t="shared" ref="K675:K676" si="158">F675 &amp; ". " &amp;H675</f>
        <v>226. Quelle maladie limite ${hoh_roster_name} de cette manière ?</v>
      </c>
      <c r="L675" s="113" t="str">
        <f t="shared" ref="L675:L676" si="159">F675 &amp; ". " &amp;I675</f>
        <v>226. Wace rashin lafiya ke tsaida ${hoh_roster_name} ta haka ?</v>
      </c>
    </row>
    <row r="676">
      <c r="A676" s="162" t="s">
        <v>217</v>
      </c>
      <c r="B676" s="166" t="s">
        <v>3474</v>
      </c>
      <c r="C676" s="76" t="s">
        <v>3476</v>
      </c>
      <c r="D676" s="76" t="s">
        <v>3478</v>
      </c>
      <c r="E676" s="76" t="s">
        <v>3479</v>
      </c>
      <c r="F676" s="110">
        <v>227.0</v>
      </c>
      <c r="G676" s="113" t="str">
        <f>IFERROR(__xludf.DUMMYFUNCTION("TRIM(REGEXREPLACE(C676, ""[0-9]+[a-f]?\."", """"))"),"Other, specify:")</f>
        <v>Other, specify:</v>
      </c>
      <c r="H676" s="113" t="str">
        <f>IFERROR(__xludf.DUMMYFUNCTION("TRIM(REGEXREPLACE(D676, ""[0-9]+[a-f]?\."", """"))"),"Autre précisez:")</f>
        <v>Autre précisez:</v>
      </c>
      <c r="I676" s="113" t="str">
        <f>IFERROR(__xludf.DUMMYFUNCTION("TRIM(REGEXREPLACE(E676, ""[0-9]+[a-f]?\."", """"))"),"Sauran, bayar da cikakkun bayanai:")</f>
        <v>Sauran, bayar da cikakkun bayanai:</v>
      </c>
      <c r="J676" s="113" t="str">
        <f t="shared" si="157"/>
        <v>227. Other, specify:</v>
      </c>
      <c r="K676" s="113" t="str">
        <f t="shared" si="158"/>
        <v>227. Autre précisez:</v>
      </c>
      <c r="L676" s="113" t="str">
        <f t="shared" si="159"/>
        <v>227. Sauran, bayar da cikakkun bayanai:</v>
      </c>
    </row>
    <row r="677" hidden="1">
      <c r="B677" s="119"/>
      <c r="C677" s="119"/>
      <c r="D677" s="119"/>
      <c r="E677" s="119"/>
      <c r="F677" s="110">
        <v>396.0</v>
      </c>
      <c r="G677" s="113" t="str">
        <f>IFERROR(__xludf.DUMMYFUNCTION("TRIM(REGEXREPLACE(C677, ""[0-9]+[a-f]?\."", """"))"),"")</f>
        <v/>
      </c>
      <c r="H677" s="113" t="str">
        <f>IFERROR(__xludf.DUMMYFUNCTION("TRIM(REGEXREPLACE(D677, ""[0-9]+[a-f]?\."", """"))"),"")</f>
        <v/>
      </c>
      <c r="I677" s="113" t="str">
        <f>IFERROR(__xludf.DUMMYFUNCTION("TRIM(REGEXREPLACE(E677, ""[0-9]+[a-f]?\."", """"))"),"")</f>
        <v/>
      </c>
    </row>
    <row r="678" hidden="1">
      <c r="B678" s="119"/>
      <c r="C678" s="119"/>
      <c r="D678" s="119"/>
      <c r="E678" s="119"/>
      <c r="F678" s="110">
        <v>397.0</v>
      </c>
      <c r="G678" s="113" t="str">
        <f>IFERROR(__xludf.DUMMYFUNCTION("TRIM(REGEXREPLACE(C678, ""[0-9]+[a-f]?\."", """"))"),"")</f>
        <v/>
      </c>
      <c r="H678" s="113" t="str">
        <f>IFERROR(__xludf.DUMMYFUNCTION("TRIM(REGEXREPLACE(D678, ""[0-9]+[a-f]?\."", """"))"),"")</f>
        <v/>
      </c>
      <c r="I678" s="113" t="str">
        <f>IFERROR(__xludf.DUMMYFUNCTION("TRIM(REGEXREPLACE(E678, ""[0-9]+[a-f]?\."", """"))"),"")</f>
        <v/>
      </c>
    </row>
    <row r="679" hidden="1">
      <c r="B679" s="119"/>
      <c r="C679" s="119"/>
      <c r="D679" s="119"/>
      <c r="E679" s="119"/>
      <c r="F679" s="110">
        <v>396.0</v>
      </c>
      <c r="G679" s="113" t="str">
        <f>IFERROR(__xludf.DUMMYFUNCTION("TRIM(REGEXREPLACE(C679, ""[0-9]+[a-f]?\."", """"))"),"")</f>
        <v/>
      </c>
      <c r="H679" s="113" t="str">
        <f>IFERROR(__xludf.DUMMYFUNCTION("TRIM(REGEXREPLACE(D679, ""[0-9]+[a-f]?\."", """"))"),"")</f>
        <v/>
      </c>
      <c r="I679" s="113" t="str">
        <f>IFERROR(__xludf.DUMMYFUNCTION("TRIM(REGEXREPLACE(E679, ""[0-9]+[a-f]?\."", """"))"),"")</f>
        <v/>
      </c>
      <c r="J679" s="113" t="s">
        <v>3486</v>
      </c>
      <c r="K679" s="113" t="s">
        <v>3487</v>
      </c>
      <c r="L679" s="113" t="s">
        <v>3488</v>
      </c>
    </row>
    <row r="680" hidden="1">
      <c r="B680" s="119"/>
      <c r="C680" s="119"/>
      <c r="D680" s="119"/>
      <c r="E680" s="119"/>
      <c r="F680" s="110">
        <v>397.0</v>
      </c>
      <c r="G680" s="113" t="str">
        <f>IFERROR(__xludf.DUMMYFUNCTION("TRIM(REGEXREPLACE(C680, ""[0-9]+[a-f]?\."", """"))"),"")</f>
        <v/>
      </c>
      <c r="H680" s="113" t="str">
        <f>IFERROR(__xludf.DUMMYFUNCTION("TRIM(REGEXREPLACE(D680, ""[0-9]+[a-f]?\."", """"))"),"")</f>
        <v/>
      </c>
      <c r="I680" s="113" t="str">
        <f>IFERROR(__xludf.DUMMYFUNCTION("TRIM(REGEXREPLACE(E680, ""[0-9]+[a-f]?\."", """"))"),"")</f>
        <v/>
      </c>
      <c r="J680" s="113" t="s">
        <v>3492</v>
      </c>
      <c r="K680" s="113" t="s">
        <v>3493</v>
      </c>
      <c r="L680" s="113" t="s">
        <v>3495</v>
      </c>
    </row>
    <row r="681">
      <c r="A681" s="114" t="s">
        <v>541</v>
      </c>
      <c r="B681" s="165" t="s">
        <v>3497</v>
      </c>
      <c r="C681" s="76" t="s">
        <v>3498</v>
      </c>
      <c r="D681" s="76" t="s">
        <v>3499</v>
      </c>
      <c r="E681" s="76" t="s">
        <v>3500</v>
      </c>
      <c r="F681" s="110">
        <v>228.0</v>
      </c>
      <c r="G681" s="113" t="str">
        <f>IFERROR(__xludf.DUMMYFUNCTION("TRIM(REGEXREPLACE(C681, ""[0-9]+[a-f]?\."", """"))"),"Does ${hoh_roster_name} have children?")</f>
        <v>Does ${hoh_roster_name} have children?</v>
      </c>
      <c r="H681" s="113" t="str">
        <f>IFERROR(__xludf.DUMMYFUNCTION("TRIM(REGEXREPLACE(D681, ""[0-9]+[a-f]?\."", """"))"),"Est-ce que ${hoh_roster_name} a des enfants ?")</f>
        <v>Est-ce que ${hoh_roster_name} a des enfants ?</v>
      </c>
      <c r="I681" s="113" t="str">
        <f>IFERROR(__xludf.DUMMYFUNCTION("TRIM(REGEXREPLACE(E681, ""[0-9]+[a-f]?\."", """"))"),"ko ${hoh_roster_name} yana da yara?")</f>
        <v>ko ${hoh_roster_name} yana da yara?</v>
      </c>
      <c r="J681" s="113" t="str">
        <f>F681 &amp; ". " &amp;G681</f>
        <v>228. Does ${hoh_roster_name} have children?</v>
      </c>
      <c r="K681" s="113" t="str">
        <f>F681 &amp; ". " &amp;H681</f>
        <v>228. Est-ce que ${hoh_roster_name} a des enfants ?</v>
      </c>
      <c r="L681" s="113" t="str">
        <f>F681 &amp; ". " &amp;I681</f>
        <v>228. ko ${hoh_roster_name} yana da yara?</v>
      </c>
    </row>
    <row r="682" hidden="1">
      <c r="B682" s="119"/>
      <c r="C682" s="119"/>
      <c r="D682" s="119"/>
      <c r="E682" s="119"/>
      <c r="F682" s="110">
        <v>399.0</v>
      </c>
      <c r="G682" s="113" t="str">
        <f>IFERROR(__xludf.DUMMYFUNCTION("TRIM(REGEXREPLACE(C682, ""[0-9]+[a-f]?\."", """"))"),"")</f>
        <v/>
      </c>
      <c r="H682" s="113" t="str">
        <f>IFERROR(__xludf.DUMMYFUNCTION("TRIM(REGEXREPLACE(D682, ""[0-9]+[a-f]?\."", """"))"),"")</f>
        <v/>
      </c>
      <c r="I682" s="113" t="str">
        <f>IFERROR(__xludf.DUMMYFUNCTION("TRIM(REGEXREPLACE(E682, ""[0-9]+[a-f]?\."", """"))"),"")</f>
        <v/>
      </c>
      <c r="J682" s="113" t="s">
        <v>3504</v>
      </c>
      <c r="K682" s="113" t="s">
        <v>3505</v>
      </c>
      <c r="L682" s="113" t="s">
        <v>3506</v>
      </c>
    </row>
    <row r="683">
      <c r="A683" s="170" t="s">
        <v>238</v>
      </c>
      <c r="B683" s="171" t="s">
        <v>3507</v>
      </c>
      <c r="C683" s="76" t="s">
        <v>3508</v>
      </c>
      <c r="D683" s="76" t="s">
        <v>3509</v>
      </c>
      <c r="E683" s="76" t="s">
        <v>3510</v>
      </c>
      <c r="F683" s="110">
        <v>229.0</v>
      </c>
      <c r="G683" s="113" t="str">
        <f>IFERROR(__xludf.DUMMYFUNCTION("TRIM(REGEXREPLACE(C683, ""[0-9]+[a-f]?\."", """"))"),"How many children is ${hoh_roster_name} responsible for?")</f>
        <v>How many children is ${hoh_roster_name} responsible for?</v>
      </c>
      <c r="H683" s="113" t="str">
        <f>IFERROR(__xludf.DUMMYFUNCTION("TRIM(REGEXREPLACE(D683, ""[0-9]+[a-f]?\."", """"))"),"De combien d'enfants ${hoh_roster_name} est-il responsable ?")</f>
        <v>De combien d'enfants ${hoh_roster_name} est-il responsable ?</v>
      </c>
      <c r="I683" s="113" t="str">
        <f>IFERROR(__xludf.DUMMYFUNCTION("TRIM(REGEXREPLACE(E683, ""[0-9]+[a-f]?\."", """"))"),"Yara nawa ne ${hoh_roster_name} yake ɗauke da Nauyinsu?")</f>
        <v>Yara nawa ne ${hoh_roster_name} yake ɗauke da Nauyinsu?</v>
      </c>
      <c r="J683" s="113" t="str">
        <f t="shared" ref="J683:J684" si="160">F683 &amp; ". " &amp;G683</f>
        <v>229. How many children is ${hoh_roster_name} responsible for?</v>
      </c>
      <c r="K683" s="113" t="str">
        <f t="shared" ref="K683:K684" si="161">F683 &amp; ". " &amp;H683</f>
        <v>229. De combien d'enfants ${hoh_roster_name} est-il responsable ?</v>
      </c>
      <c r="L683" s="113" t="str">
        <f t="shared" ref="L683:L684" si="162">F683 &amp; ". " &amp;I683</f>
        <v>229. Yara nawa ne ${hoh_roster_name} yake ɗauke da Nauyinsu?</v>
      </c>
    </row>
    <row r="684">
      <c r="A684" s="114" t="s">
        <v>3515</v>
      </c>
      <c r="B684" s="165" t="s">
        <v>3516</v>
      </c>
      <c r="C684" s="76" t="s">
        <v>3517</v>
      </c>
      <c r="D684" s="76" t="s">
        <v>3518</v>
      </c>
      <c r="E684" s="76" t="s">
        <v>3519</v>
      </c>
      <c r="F684" s="110">
        <v>230.0</v>
      </c>
      <c r="G684" s="113" t="str">
        <f>IFERROR(__xludf.DUMMYFUNCTION("TRIM(REGEXREPLACE(C684, ""[0-9]+[a-f]?\."", """"))"),"What is the highest level of education that ${hoh_roster_name} has completed?")</f>
        <v>What is the highest level of education that ${hoh_roster_name} has completed?</v>
      </c>
      <c r="H684" s="113" t="str">
        <f>IFERROR(__xludf.DUMMYFUNCTION("TRIM(REGEXREPLACE(D684, ""[0-9]+[a-f]?\."", """"))"),"Quel est le plus haut niveau d'études atteint par ${hoh_roster_name} ?")</f>
        <v>Quel est le plus haut niveau d'études atteint par ${hoh_roster_name} ?</v>
      </c>
      <c r="I684" s="113" t="str">
        <f>IFERROR(__xludf.DUMMYFUNCTION("TRIM(REGEXREPLACE(E684, ""[0-9]+[a-f]?\."", """"))"),"Menene mafi girman mastayin ilimi da ${hoh_roster_name} ya kai?")</f>
        <v>Menene mafi girman mastayin ilimi da ${hoh_roster_name} ya kai?</v>
      </c>
      <c r="J684" s="113" t="str">
        <f t="shared" si="160"/>
        <v>230. What is the highest level of education that ${hoh_roster_name} has completed?</v>
      </c>
      <c r="K684" s="113" t="str">
        <f t="shared" si="161"/>
        <v>230. Quel est le plus haut niveau d'études atteint par ${hoh_roster_name} ?</v>
      </c>
      <c r="L684" s="113" t="str">
        <f t="shared" si="162"/>
        <v>230. Menene mafi girman mastayin ilimi da ${hoh_roster_name} ya kai?</v>
      </c>
    </row>
    <row r="685" hidden="1">
      <c r="B685" s="119"/>
      <c r="C685" s="119"/>
      <c r="D685" s="119"/>
      <c r="E685" s="119"/>
      <c r="F685" s="110">
        <v>400.0</v>
      </c>
      <c r="G685" s="113" t="str">
        <f>IFERROR(__xludf.DUMMYFUNCTION("TRIM(REGEXREPLACE(C685, ""[0-9]+[a-f]?\."", """"))"),"")</f>
        <v/>
      </c>
      <c r="H685" s="113" t="str">
        <f>IFERROR(__xludf.DUMMYFUNCTION("TRIM(REGEXREPLACE(D685, ""[0-9]+[a-f]?\."", """"))"),"")</f>
        <v/>
      </c>
      <c r="I685" s="113" t="str">
        <f>IFERROR(__xludf.DUMMYFUNCTION("TRIM(REGEXREPLACE(E685, ""[0-9]+[a-f]?\."", """"))"),"")</f>
        <v/>
      </c>
    </row>
    <row r="686" hidden="1">
      <c r="B686" s="119"/>
      <c r="C686" s="119"/>
      <c r="D686" s="119"/>
      <c r="E686" s="119"/>
      <c r="F686" s="110">
        <v>401.0</v>
      </c>
      <c r="G686" s="113" t="str">
        <f>IFERROR(__xludf.DUMMYFUNCTION("TRIM(REGEXREPLACE(C686, ""[0-9]+[a-f]?\."", """"))"),"")</f>
        <v/>
      </c>
      <c r="H686" s="113" t="str">
        <f>IFERROR(__xludf.DUMMYFUNCTION("TRIM(REGEXREPLACE(D686, ""[0-9]+[a-f]?\."", """"))"),"")</f>
        <v/>
      </c>
      <c r="I686" s="113" t="str">
        <f>IFERROR(__xludf.DUMMYFUNCTION("TRIM(REGEXREPLACE(E686, ""[0-9]+[a-f]?\."", """"))"),"")</f>
        <v/>
      </c>
    </row>
    <row r="687" hidden="1">
      <c r="B687" s="119"/>
      <c r="C687" s="119"/>
      <c r="D687" s="119"/>
      <c r="E687" s="119"/>
      <c r="F687" s="110">
        <v>400.0</v>
      </c>
      <c r="G687" s="113" t="str">
        <f>IFERROR(__xludf.DUMMYFUNCTION("TRIM(REGEXREPLACE(C687, ""[0-9]+[a-f]?\."", """"))"),"")</f>
        <v/>
      </c>
      <c r="H687" s="113" t="str">
        <f>IFERROR(__xludf.DUMMYFUNCTION("TRIM(REGEXREPLACE(D687, ""[0-9]+[a-f]?\."", """"))"),"")</f>
        <v/>
      </c>
      <c r="I687" s="113" t="str">
        <f>IFERROR(__xludf.DUMMYFUNCTION("TRIM(REGEXREPLACE(E687, ""[0-9]+[a-f]?\."", """"))"),"")</f>
        <v/>
      </c>
      <c r="J687" s="113" t="s">
        <v>3529</v>
      </c>
      <c r="K687" s="113" t="s">
        <v>3530</v>
      </c>
      <c r="L687" s="113" t="s">
        <v>3531</v>
      </c>
    </row>
    <row r="688" hidden="1">
      <c r="B688" s="119"/>
      <c r="C688" s="119"/>
      <c r="D688" s="119"/>
      <c r="E688" s="119"/>
      <c r="F688" s="110">
        <v>401.0</v>
      </c>
      <c r="G688" s="113" t="str">
        <f>IFERROR(__xludf.DUMMYFUNCTION("TRIM(REGEXREPLACE(C688, ""[0-9]+[a-f]?\."", """"))"),"")</f>
        <v/>
      </c>
      <c r="H688" s="113" t="str">
        <f>IFERROR(__xludf.DUMMYFUNCTION("TRIM(REGEXREPLACE(D688, ""[0-9]+[a-f]?\."", """"))"),"")</f>
        <v/>
      </c>
      <c r="I688" s="113" t="str">
        <f>IFERROR(__xludf.DUMMYFUNCTION("TRIM(REGEXREPLACE(E688, ""[0-9]+[a-f]?\."", """"))"),"")</f>
        <v/>
      </c>
      <c r="J688" s="113" t="s">
        <v>3532</v>
      </c>
      <c r="K688" s="113" t="s">
        <v>3533</v>
      </c>
      <c r="L688" s="113" t="s">
        <v>3534</v>
      </c>
    </row>
    <row r="689">
      <c r="A689" s="114" t="s">
        <v>541</v>
      </c>
      <c r="B689" s="165" t="s">
        <v>3535</v>
      </c>
      <c r="C689" s="76" t="s">
        <v>2114</v>
      </c>
      <c r="D689" s="76" t="s">
        <v>2115</v>
      </c>
      <c r="E689" s="76" t="s">
        <v>2116</v>
      </c>
      <c r="F689" s="110">
        <v>231.0</v>
      </c>
      <c r="G689" s="113" t="str">
        <f>IFERROR(__xludf.DUMMYFUNCTION("TRIM(REGEXREPLACE(C689, ""[0-9]+[a-f]?\."", """"))"),"Is ${hoh_roster_name} currently enrolled in school?")</f>
        <v>Is ${hoh_roster_name} currently enrolled in school?</v>
      </c>
      <c r="H689" s="113" t="str">
        <f>IFERROR(__xludf.DUMMYFUNCTION("TRIM(REGEXREPLACE(D689, ""[0-9]+[a-f]?\."", """"))"),"Est-ce que ${hoh_roster_name} est actuellement inscrit à l'école ?")</f>
        <v>Est-ce que ${hoh_roster_name} est actuellement inscrit à l'école ?</v>
      </c>
      <c r="I689" s="113" t="str">
        <f>IFERROR(__xludf.DUMMYFUNCTION("TRIM(REGEXREPLACE(E689, ""[0-9]+[a-f]?\."", """"))"),"Ko ${hoh_roster_name} yana yin lakwal a halin yanzu?")</f>
        <v>Ko ${hoh_roster_name} yana yin lakwal a halin yanzu?</v>
      </c>
      <c r="J689" s="113" t="str">
        <f t="shared" ref="J689:J693" si="163">F689 &amp; ". " &amp;G689</f>
        <v>231. Is ${hoh_roster_name} currently enrolled in school?</v>
      </c>
      <c r="K689" s="113" t="str">
        <f t="shared" ref="K689:K693" si="164">F689 &amp; ". " &amp;H689</f>
        <v>231. Est-ce que ${hoh_roster_name} est actuellement inscrit à l'école ?</v>
      </c>
      <c r="L689" s="113" t="str">
        <f t="shared" ref="L689:L693" si="165">F689 &amp; ". " &amp;I689</f>
        <v>231. Ko ${hoh_roster_name} yana yin lakwal a halin yanzu?</v>
      </c>
    </row>
    <row r="690">
      <c r="A690" s="114" t="s">
        <v>3542</v>
      </c>
      <c r="B690" s="165" t="s">
        <v>3543</v>
      </c>
      <c r="C690" s="76" t="s">
        <v>3544</v>
      </c>
      <c r="D690" s="76" t="s">
        <v>3545</v>
      </c>
      <c r="E690" s="76" t="s">
        <v>3546</v>
      </c>
      <c r="F690" s="110">
        <v>232.0</v>
      </c>
      <c r="G690" s="113" t="str">
        <f>IFERROR(__xludf.DUMMYFUNCTION("TRIM(REGEXREPLACE(C690, ""[0-9]+[a-f]?\."", """"))"),"What kind of school is ${hoh_roster_name} enrolled in?")</f>
        <v>What kind of school is ${hoh_roster_name} enrolled in?</v>
      </c>
      <c r="H690" s="113" t="str">
        <f>IFERROR(__xludf.DUMMYFUNCTION("TRIM(REGEXREPLACE(D690, ""[0-9]+[a-f]?\."", """"))"),"Dans quel type d'école est inscrit ${hoh_roster_name} ?")</f>
        <v>Dans quel type d'école est inscrit ${hoh_roster_name} ?</v>
      </c>
      <c r="I690" s="113" t="str">
        <f>IFERROR(__xludf.DUMMYFUNCTION("TRIM(REGEXREPLACE(E690, ""[0-9]+[a-f]?\."", """"))"),"Wace irin makaranta aka rubuta ${hoh_roster_name}?")</f>
        <v>Wace irin makaranta aka rubuta ${hoh_roster_name}?</v>
      </c>
      <c r="J690" s="113" t="str">
        <f t="shared" si="163"/>
        <v>232. What kind of school is ${hoh_roster_name} enrolled in?</v>
      </c>
      <c r="K690" s="113" t="str">
        <f t="shared" si="164"/>
        <v>232. Dans quel type d'école est inscrit ${hoh_roster_name} ?</v>
      </c>
      <c r="L690" s="113" t="str">
        <f t="shared" si="165"/>
        <v>232. Wace irin makaranta aka rubuta ${hoh_roster_name}?</v>
      </c>
    </row>
    <row r="691">
      <c r="A691" s="170" t="s">
        <v>238</v>
      </c>
      <c r="B691" s="171" t="s">
        <v>3549</v>
      </c>
      <c r="C691" s="76" t="s">
        <v>3551</v>
      </c>
      <c r="D691" s="76" t="s">
        <v>3552</v>
      </c>
      <c r="E691" s="76" t="s">
        <v>3553</v>
      </c>
      <c r="F691" s="110">
        <v>233.0</v>
      </c>
      <c r="G691" s="113" t="str">
        <f>IFERROR(__xludf.DUMMYFUNCTION("TRIM(REGEXREPLACE(C691, ""[0-9]+[a-f]?\."", """"))"),"What is the cost of school fees for the current academic year in CFA?")</f>
        <v>What is the cost of school fees for the current academic year in CFA?</v>
      </c>
      <c r="H691" s="113" t="str">
        <f>IFERROR(__xludf.DUMMYFUNCTION("TRIM(REGEXREPLACE(D691, ""[0-9]+[a-f]?\."", """"))"),"Quel est le coût des frais de scolarité pour l'année scolaire en cours (en CFA) ?")</f>
        <v>Quel est le coût des frais de scolarité pour l'année scolaire en cours (en CFA) ?</v>
      </c>
      <c r="I691" s="113" t="str">
        <f>IFERROR(__xludf.DUMMYFUNCTION("TRIM(REGEXREPLACE(E691, ""[0-9]+[a-f]?\."", """"))"),"Nawa ne kuɗin makaranta na wannan shekarar (a sefa)?")</f>
        <v>Nawa ne kuɗin makaranta na wannan shekarar (a sefa)?</v>
      </c>
      <c r="J691" s="113" t="str">
        <f t="shared" si="163"/>
        <v>233. What is the cost of school fees for the current academic year in CFA?</v>
      </c>
      <c r="K691" s="113" t="str">
        <f t="shared" si="164"/>
        <v>233. Quel est le coût des frais de scolarité pour l'année scolaire en cours (en CFA) ?</v>
      </c>
      <c r="L691" s="113" t="str">
        <f t="shared" si="165"/>
        <v>233. Nawa ne kuɗin makaranta na wannan shekarar (a sefa)?</v>
      </c>
    </row>
    <row r="692">
      <c r="A692" s="170" t="s">
        <v>238</v>
      </c>
      <c r="B692" s="171" t="s">
        <v>3558</v>
      </c>
      <c r="C692" s="76" t="s">
        <v>3559</v>
      </c>
      <c r="D692" s="76" t="s">
        <v>3560</v>
      </c>
      <c r="E692" s="76" t="s">
        <v>3561</v>
      </c>
      <c r="F692" s="110">
        <v>234.0</v>
      </c>
      <c r="G692" s="113" t="str">
        <f>IFERROR(__xludf.DUMMYFUNCTION("TRIM(REGEXREPLACE(C692, ""[0-9]+[a-f]?\."", """"))"),"In the past month (four weeks) how many days has ${hoh_roster_name} missed school for health reasons?")</f>
        <v>In the past month (four weeks) how many days has ${hoh_roster_name} missed school for health reasons?</v>
      </c>
      <c r="H692" s="113" t="str">
        <f>IFERROR(__xludf.DUMMYFUNCTION("TRIM(REGEXREPLACE(D692, ""[0-9]+[a-f]?\."", """"))"),"Au cours du dernier mois (quatre semaines), combien de jours ${hoh_roster_name} a-t-il manqué l'école pour des raisons de santé ?")</f>
        <v>Au cours du dernier mois (quatre semaines), combien de jours ${hoh_roster_name} a-t-il manqué l'école pour des raisons de santé ?</v>
      </c>
      <c r="I692" s="113" t="str">
        <f>IFERROR(__xludf.DUMMYFUNCTION("TRIM(REGEXREPLACE(E692, ""[0-9]+[a-f]?\."", """"))"),"A cikin watan da ya gabata (sati hudu), kwanaki nawa ${hoh_roster_name} yayi fashin zuwa makaranta saboda wata rishin lafiya?")</f>
        <v>A cikin watan da ya gabata (sati hudu), kwanaki nawa ${hoh_roster_name} yayi fashin zuwa makaranta saboda wata rishin lafiya?</v>
      </c>
      <c r="J692" s="113" t="str">
        <f t="shared" si="163"/>
        <v>234. In the past month (four weeks) how many days has ${hoh_roster_name} missed school for health reasons?</v>
      </c>
      <c r="K692" s="113" t="str">
        <f t="shared" si="164"/>
        <v>234. Au cours du dernier mois (quatre semaines), combien de jours ${hoh_roster_name} a-t-il manqué l'école pour des raisons de santé ?</v>
      </c>
      <c r="L692" s="113" t="str">
        <f t="shared" si="165"/>
        <v>234. A cikin watan da ya gabata (sati hudu), kwanaki nawa ${hoh_roster_name} yayi fashin zuwa makaranta saboda wata rishin lafiya?</v>
      </c>
    </row>
    <row r="693">
      <c r="A693" s="170" t="s">
        <v>238</v>
      </c>
      <c r="B693" s="171" t="s">
        <v>3564</v>
      </c>
      <c r="C693" s="76" t="s">
        <v>3566</v>
      </c>
      <c r="D693" s="76" t="s">
        <v>3568</v>
      </c>
      <c r="E693" s="76" t="s">
        <v>3570</v>
      </c>
      <c r="F693" s="110">
        <v>235.0</v>
      </c>
      <c r="G693" s="113" t="str">
        <f>IFERROR(__xludf.DUMMYFUNCTION("TRIM(REGEXREPLACE(C693, ""[0-9]+[a-f]?\."", """"))"),"In the past month (four weeks) how many days has ${hoh_roster_name} missed school for work or other reasons?")</f>
        <v>In the past month (four weeks) how many days has ${hoh_roster_name} missed school for work or other reasons?</v>
      </c>
      <c r="H693" s="113" t="str">
        <f>IFERROR(__xludf.DUMMYFUNCTION("TRIM(REGEXREPLACE(D693,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693" s="113" t="str">
        <f>IFERROR(__xludf.DUMMYFUNCTION("TRIM(REGEXREPLACE(E693, ""[0-9]+[a-f]?\."", """"))"),"A cikin watan da ya gabata (makonni hudu), kwanaki nawa ${hoh_roster_name} yayi fashin makaranta saboda aiki ko wasu dalilai?")</f>
        <v>A cikin watan da ya gabata (makonni hudu), kwanaki nawa ${hoh_roster_name} yayi fashin makaranta saboda aiki ko wasu dalilai?</v>
      </c>
      <c r="J693" s="113" t="str">
        <f t="shared" si="163"/>
        <v>235. In the past month (four weeks) how many days has ${hoh_roster_name} missed school for work or other reasons?</v>
      </c>
      <c r="K693" s="113" t="str">
        <f t="shared" si="164"/>
        <v>235. Au cours du dernier mois (quatre semaines), combien de jours ${hoh_roster_name} a-t-il manqué l'école pour le travail ou pour d'autres raisons ?</v>
      </c>
      <c r="L693" s="113" t="str">
        <f t="shared" si="165"/>
        <v>235. A cikin watan da ya gabata (makonni hudu), kwanaki nawa ${hoh_roster_name} yayi fashin makaranta saboda aiki ko wasu dalilai?</v>
      </c>
    </row>
    <row r="694" hidden="1">
      <c r="B694" s="119"/>
      <c r="C694" s="119"/>
      <c r="D694" s="119"/>
      <c r="E694" s="119"/>
      <c r="F694" s="110">
        <v>408.0</v>
      </c>
      <c r="G694" s="113" t="str">
        <f>IFERROR(__xludf.DUMMYFUNCTION("TRIM(REGEXREPLACE(C694, ""[0-9]+[a-f]?\."", """"))"),"")</f>
        <v/>
      </c>
      <c r="H694" s="113" t="str">
        <f>IFERROR(__xludf.DUMMYFUNCTION("TRIM(REGEXREPLACE(D694, ""[0-9]+[a-f]?\."", """"))"),"")</f>
        <v/>
      </c>
      <c r="I694" s="113" t="str">
        <f>IFERROR(__xludf.DUMMYFUNCTION("TRIM(REGEXREPLACE(E694, ""[0-9]+[a-f]?\."", """"))"),"")</f>
        <v/>
      </c>
    </row>
    <row r="695" hidden="1">
      <c r="B695" s="119"/>
      <c r="C695" s="119"/>
      <c r="D695" s="119"/>
      <c r="E695" s="119"/>
      <c r="F695" s="110">
        <v>407.0</v>
      </c>
      <c r="G695" s="113" t="str">
        <f>IFERROR(__xludf.DUMMYFUNCTION("TRIM(REGEXREPLACE(C695, ""[0-9]+[a-f]?\."", """"))"),"")</f>
        <v/>
      </c>
      <c r="H695" s="113" t="str">
        <f>IFERROR(__xludf.DUMMYFUNCTION("TRIM(REGEXREPLACE(D695, ""[0-9]+[a-f]?\."", """"))"),"")</f>
        <v/>
      </c>
      <c r="I695" s="113" t="str">
        <f>IFERROR(__xludf.DUMMYFUNCTION("TRIM(REGEXREPLACE(E695, ""[0-9]+[a-f]?\."", """"))"),"")</f>
        <v/>
      </c>
      <c r="J695" s="113" t="s">
        <v>3572</v>
      </c>
      <c r="K695" s="113" t="s">
        <v>3574</v>
      </c>
      <c r="L695" s="113" t="s">
        <v>3576</v>
      </c>
    </row>
    <row r="696">
      <c r="A696" s="114" t="s">
        <v>680</v>
      </c>
      <c r="B696" s="165" t="s">
        <v>3578</v>
      </c>
      <c r="C696" s="76" t="s">
        <v>3579</v>
      </c>
      <c r="D696" s="76" t="s">
        <v>3580</v>
      </c>
      <c r="E696" s="76" t="s">
        <v>3581</v>
      </c>
      <c r="F696" s="110">
        <v>236.0</v>
      </c>
      <c r="G696" s="113" t="str">
        <f>IFERROR(__xludf.DUMMYFUNCTION("TRIM(REGEXREPLACE(C696, ""[0-9]+[a-f]?\."", """"))"),"Is ${hoh_roster_name} married?")</f>
        <v>Is ${hoh_roster_name} married?</v>
      </c>
      <c r="H696" s="113" t="str">
        <f>IFERROR(__xludf.DUMMYFUNCTION("TRIM(REGEXREPLACE(D696, ""[0-9]+[a-f]?\."", """"))"),"Est-ce que ${hoh_roster_name} est marié ?")</f>
        <v>Est-ce que ${hoh_roster_name} est marié ?</v>
      </c>
      <c r="I696" s="113" t="str">
        <f>IFERROR(__xludf.DUMMYFUNCTION("TRIM(REGEXREPLACE(E696, ""[0-9]+[a-f]?\."", """"))"),"Ko ${hoh_roster_name} yanada aure?")</f>
        <v>Ko ${hoh_roster_name} yanada aure?</v>
      </c>
      <c r="J696" s="113" t="str">
        <f t="shared" ref="J696:J697" si="166">F696 &amp; ". " &amp;G696</f>
        <v>236. Is ${hoh_roster_name} married?</v>
      </c>
      <c r="K696" s="113" t="str">
        <f t="shared" ref="K696:K697" si="167">F696 &amp; ". " &amp;H696</f>
        <v>236. Est-ce que ${hoh_roster_name} est marié ?</v>
      </c>
      <c r="L696" s="113" t="str">
        <f t="shared" ref="L696:L697" si="168">F696 &amp; ". " &amp;I696</f>
        <v>236. Ko ${hoh_roster_name} yanada aure?</v>
      </c>
    </row>
    <row r="697">
      <c r="A697" s="170" t="s">
        <v>238</v>
      </c>
      <c r="B697" s="171" t="s">
        <v>3586</v>
      </c>
      <c r="C697" s="76" t="s">
        <v>3587</v>
      </c>
      <c r="D697" s="76" t="s">
        <v>3588</v>
      </c>
      <c r="E697" s="76" t="s">
        <v>3589</v>
      </c>
      <c r="F697" s="110">
        <v>237.0</v>
      </c>
      <c r="G697" s="113" t="str">
        <f>IFERROR(__xludf.DUMMYFUNCTION("TRIM(REGEXREPLACE(C697, ""[0-9]+[a-f]?\."", """"))"),"How many wives does ${hoh_new_mem_name} have?")</f>
        <v>How many wives does ${hoh_new_mem_name} have?</v>
      </c>
      <c r="H697" s="113" t="str">
        <f>IFERROR(__xludf.DUMMYFUNCTION("TRIM(REGEXREPLACE(D697, ""[0-9]+[a-f]?\."", """"))"),"Combien de femmes a ${hoh_roster_name} ?")</f>
        <v>Combien de femmes a ${hoh_roster_name} ?</v>
      </c>
      <c r="I697" s="113" t="str">
        <f>IFERROR(__xludf.DUMMYFUNCTION("TRIM(REGEXREPLACE(E697, ""[0-9]+[a-f]?\."", """"))"),"Mata nawa ${hoh_roster_name} yake da su?")</f>
        <v>Mata nawa ${hoh_roster_name} yake da su?</v>
      </c>
      <c r="J697" s="113" t="str">
        <f t="shared" si="166"/>
        <v>237. How many wives does ${hoh_new_mem_name} have?</v>
      </c>
      <c r="K697" s="113" t="str">
        <f t="shared" si="167"/>
        <v>237. Combien de femmes a ${hoh_roster_name} ?</v>
      </c>
      <c r="L697" s="113" t="str">
        <f t="shared" si="168"/>
        <v>237. Mata nawa ${hoh_roster_name} yake da su?</v>
      </c>
    </row>
    <row r="698" hidden="1">
      <c r="A698" s="150" t="s">
        <v>343</v>
      </c>
      <c r="B698" s="82" t="s">
        <v>3444</v>
      </c>
      <c r="C698" s="83"/>
      <c r="D698" s="84"/>
      <c r="E698" s="84"/>
      <c r="F698" s="110">
        <v>400.0</v>
      </c>
      <c r="G698" s="113" t="str">
        <f>IFERROR(__xludf.DUMMYFUNCTION("TRIM(REGEXREPLACE(C698, ""[0-9]+[a-f]?\."", """"))"),"")</f>
        <v/>
      </c>
      <c r="H698" s="113" t="str">
        <f>IFERROR(__xludf.DUMMYFUNCTION("TRIM(REGEXREPLACE(D698, ""[0-9]+[a-f]?\."", """"))"),"")</f>
        <v/>
      </c>
      <c r="I698" s="113" t="str">
        <f>IFERROR(__xludf.DUMMYFUNCTION("TRIM(REGEXREPLACE(E698, ""[0-9]+[a-f]?\."", """"))"),"")</f>
        <v/>
      </c>
      <c r="J698" s="113" t="s">
        <v>3596</v>
      </c>
      <c r="K698" s="113" t="s">
        <v>3597</v>
      </c>
      <c r="L698" s="113" t="s">
        <v>3598</v>
      </c>
    </row>
    <row r="699" hidden="1">
      <c r="A699" s="255"/>
      <c r="B699" s="203"/>
      <c r="C699" s="204"/>
      <c r="D699" s="204"/>
      <c r="E699" s="204"/>
      <c r="F699" s="110">
        <v>401.0</v>
      </c>
      <c r="G699" s="113" t="str">
        <f>IFERROR(__xludf.DUMMYFUNCTION("TRIM(REGEXREPLACE(C699, ""[0-9]+[a-f]?\."", """"))"),"")</f>
        <v/>
      </c>
      <c r="H699" s="113" t="str">
        <f>IFERROR(__xludf.DUMMYFUNCTION("TRIM(REGEXREPLACE(D699, ""[0-9]+[a-f]?\."", """"))"),"")</f>
        <v/>
      </c>
      <c r="I699" s="113" t="str">
        <f>IFERROR(__xludf.DUMMYFUNCTION("TRIM(REGEXREPLACE(E699, ""[0-9]+[a-f]?\."", """"))"),"")</f>
        <v/>
      </c>
      <c r="J699" s="113" t="s">
        <v>3602</v>
      </c>
      <c r="K699" s="113" t="s">
        <v>3603</v>
      </c>
      <c r="L699" s="113" t="s">
        <v>3604</v>
      </c>
    </row>
    <row r="700" hidden="1">
      <c r="B700" s="119"/>
      <c r="C700" s="119"/>
      <c r="D700" s="119"/>
      <c r="E700" s="119"/>
      <c r="F700" s="110">
        <v>412.0</v>
      </c>
      <c r="G700" s="113" t="str">
        <f>IFERROR(__xludf.DUMMYFUNCTION("TRIM(REGEXREPLACE(C700, ""[0-9]+[a-f]?\."", """"))"),"")</f>
        <v/>
      </c>
      <c r="H700" s="113" t="str">
        <f>IFERROR(__xludf.DUMMYFUNCTION("TRIM(REGEXREPLACE(D700, ""[0-9]+[a-f]?\."", """"))"),"")</f>
        <v/>
      </c>
      <c r="I700" s="113" t="str">
        <f>IFERROR(__xludf.DUMMYFUNCTION("TRIM(REGEXREPLACE(E700, ""[0-9]+[a-f]?\."", """"))"),"")</f>
        <v/>
      </c>
      <c r="J700" s="113" t="s">
        <v>3605</v>
      </c>
      <c r="K700" s="113" t="s">
        <v>3606</v>
      </c>
      <c r="L700" s="113" t="s">
        <v>3607</v>
      </c>
    </row>
    <row r="701" hidden="1">
      <c r="B701" s="119"/>
      <c r="C701" s="119"/>
      <c r="D701" s="119"/>
      <c r="E701" s="119"/>
      <c r="F701" s="110">
        <v>413.0</v>
      </c>
      <c r="G701" s="113" t="str">
        <f>IFERROR(__xludf.DUMMYFUNCTION("TRIM(REGEXREPLACE(C701, ""[0-9]+[a-f]?\."", """"))"),"")</f>
        <v/>
      </c>
      <c r="H701" s="113" t="str">
        <f>IFERROR(__xludf.DUMMYFUNCTION("TRIM(REGEXREPLACE(D701, ""[0-9]+[a-f]?\."", """"))"),"")</f>
        <v/>
      </c>
      <c r="I701" s="113" t="str">
        <f>IFERROR(__xludf.DUMMYFUNCTION("TRIM(REGEXREPLACE(E701, ""[0-9]+[a-f]?\."", """"))"),"")</f>
        <v/>
      </c>
      <c r="J701" s="113" t="s">
        <v>3611</v>
      </c>
      <c r="K701" s="113" t="s">
        <v>3612</v>
      </c>
      <c r="L701" s="113" t="s">
        <v>3613</v>
      </c>
    </row>
    <row r="702" hidden="1">
      <c r="B702" s="119"/>
      <c r="C702" s="119"/>
      <c r="D702" s="119"/>
      <c r="E702" s="119"/>
      <c r="F702" s="110">
        <v>414.0</v>
      </c>
      <c r="G702" s="113" t="str">
        <f>IFERROR(__xludf.DUMMYFUNCTION("TRIM(REGEXREPLACE(C702, ""[0-9]+[a-f]?\."", """"))"),"")</f>
        <v/>
      </c>
      <c r="H702" s="113" t="str">
        <f>IFERROR(__xludf.DUMMYFUNCTION("TRIM(REGEXREPLACE(D702, ""[0-9]+[a-f]?\."", """"))"),"")</f>
        <v/>
      </c>
      <c r="I702" s="113" t="str">
        <f>IFERROR(__xludf.DUMMYFUNCTION("TRIM(REGEXREPLACE(E702, ""[0-9]+[a-f]?\."", """"))"),"")</f>
        <v/>
      </c>
      <c r="J702" s="113" t="s">
        <v>3614</v>
      </c>
      <c r="K702" s="113" t="s">
        <v>3615</v>
      </c>
      <c r="L702" s="113" t="s">
        <v>3616</v>
      </c>
    </row>
    <row r="703" hidden="1">
      <c r="B703" s="119"/>
      <c r="C703" s="119"/>
      <c r="D703" s="119"/>
      <c r="E703" s="119"/>
      <c r="F703" s="110">
        <v>415.0</v>
      </c>
      <c r="G703" s="113" t="str">
        <f>IFERROR(__xludf.DUMMYFUNCTION("TRIM(REGEXREPLACE(C703, ""[0-9]+[a-f]?\."", """"))"),"")</f>
        <v/>
      </c>
      <c r="H703" s="113" t="str">
        <f>IFERROR(__xludf.DUMMYFUNCTION("TRIM(REGEXREPLACE(D703, ""[0-9]+[a-f]?\."", """"))"),"")</f>
        <v/>
      </c>
      <c r="I703" s="113" t="str">
        <f>IFERROR(__xludf.DUMMYFUNCTION("TRIM(REGEXREPLACE(E703, ""[0-9]+[a-f]?\."", """"))"),"")</f>
        <v/>
      </c>
      <c r="J703" s="113" t="s">
        <v>3617</v>
      </c>
      <c r="K703" s="113" t="s">
        <v>3618</v>
      </c>
      <c r="L703" s="113" t="s">
        <v>3619</v>
      </c>
    </row>
    <row r="704" hidden="1">
      <c r="B704" s="119"/>
      <c r="C704" s="119"/>
      <c r="D704" s="119"/>
      <c r="E704" s="119"/>
      <c r="F704" s="110">
        <v>416.0</v>
      </c>
      <c r="G704" s="113" t="str">
        <f>IFERROR(__xludf.DUMMYFUNCTION("TRIM(REGEXREPLACE(C704, ""[0-9]+[a-f]?\."", """"))"),"")</f>
        <v/>
      </c>
      <c r="H704" s="113" t="str">
        <f>IFERROR(__xludf.DUMMYFUNCTION("TRIM(REGEXREPLACE(D704, ""[0-9]+[a-f]?\."", """"))"),"")</f>
        <v/>
      </c>
      <c r="I704" s="113" t="str">
        <f>IFERROR(__xludf.DUMMYFUNCTION("TRIM(REGEXREPLACE(E704, ""[0-9]+[a-f]?\."", """"))"),"")</f>
        <v/>
      </c>
      <c r="J704" s="113" t="s">
        <v>3622</v>
      </c>
      <c r="K704" s="113" t="s">
        <v>3623</v>
      </c>
      <c r="L704" s="113" t="s">
        <v>3625</v>
      </c>
    </row>
    <row r="705" hidden="1">
      <c r="A705" s="256" t="s">
        <v>161</v>
      </c>
      <c r="B705" s="248" t="s">
        <v>3626</v>
      </c>
      <c r="C705" s="168" t="s">
        <v>3627</v>
      </c>
      <c r="D705" s="168"/>
      <c r="E705" s="168"/>
      <c r="F705" s="110">
        <v>402.0</v>
      </c>
      <c r="G705" s="113" t="str">
        <f>IFERROR(__xludf.DUMMYFUNCTION("TRIM(REGEXREPLACE(C705, ""[0-9]+[a-f]?\."", """"))"),"Past Migration")</f>
        <v>Past Migration</v>
      </c>
      <c r="H705" s="113" t="str">
        <f>IFERROR(__xludf.DUMMYFUNCTION("TRIM(REGEXREPLACE(D705, ""[0-9]+[a-f]?\."", """"))"),"")</f>
        <v/>
      </c>
      <c r="I705" s="113" t="str">
        <f>IFERROR(__xludf.DUMMYFUNCTION("TRIM(REGEXREPLACE(E705, ""[0-9]+[a-f]?\."", """"))"),"")</f>
        <v/>
      </c>
      <c r="J705" s="113" t="s">
        <v>3628</v>
      </c>
      <c r="K705" s="113" t="s">
        <v>3629</v>
      </c>
      <c r="L705" s="113" t="s">
        <v>3630</v>
      </c>
    </row>
    <row r="706">
      <c r="A706" s="239" t="s">
        <v>44</v>
      </c>
      <c r="B706" s="218" t="s">
        <v>3632</v>
      </c>
      <c r="C706" s="76" t="s">
        <v>3634</v>
      </c>
      <c r="D706" s="76" t="s">
        <v>3636</v>
      </c>
      <c r="E706" s="76" t="s">
        <v>3638</v>
      </c>
      <c r="F706" s="110">
        <v>238.0</v>
      </c>
      <c r="G706" s="113" t="str">
        <f>IFERROR(__xludf.DUMMYFUNCTION("TRIM(REGEXREPLACE(C706, ""[0-9]+[a-f]?\."", """"))"),"We would now like to ask you about the migration history of ${hoh_roster_name}.")</f>
        <v>We would now like to ask you about the migration history of ${hoh_roster_name}.</v>
      </c>
      <c r="H706" s="113" t="str">
        <f>IFERROR(__xludf.DUMMYFUNCTION("TRIM(REGEXREPLACE(D706, ""[0-9]+[a-f]?\."", """"))"),"Nous aimerions maintenant vous poser des questions sur l'historique de migration de ${hoh_roster_name}.")</f>
        <v>Nous aimerions maintenant vous poser des questions sur l'historique de migration de ${hoh_roster_name}.</v>
      </c>
      <c r="I706" s="113" t="str">
        <f>IFERROR(__xludf.DUMMYFUNCTION("TRIM(REGEXREPLACE(E706, ""[0-9]+[a-f]?\."", """"))"),"Yanzu muna so mu tambaye ka tarihin zuwa biɗa na ${hoh_roster_name}.")</f>
        <v>Yanzu muna so mu tambaye ka tarihin zuwa biɗa na ${hoh_roster_name}.</v>
      </c>
      <c r="J706" s="113" t="str">
        <f t="shared" ref="J706:J709" si="169">F706 &amp; ". " &amp;G706</f>
        <v>238. We would now like to ask you about the migration history of ${hoh_roster_name}.</v>
      </c>
      <c r="K706" s="113" t="str">
        <f t="shared" ref="K706:K709" si="170">F706 &amp; ". " &amp;H706</f>
        <v>238. Nous aimerions maintenant vous poser des questions sur l'historique de migration de ${hoh_roster_name}.</v>
      </c>
      <c r="L706" s="113" t="str">
        <f t="shared" ref="L706:L709" si="171">F706 &amp; ". " &amp;I706</f>
        <v>238. Yanzu muna so mu tambaye ka tarihin zuwa biɗa na ${hoh_roster_name}.</v>
      </c>
    </row>
    <row r="707">
      <c r="A707" s="239" t="s">
        <v>680</v>
      </c>
      <c r="B707" s="218" t="s">
        <v>3645</v>
      </c>
      <c r="C707" s="76" t="s">
        <v>3646</v>
      </c>
      <c r="D707" s="76" t="s">
        <v>3647</v>
      </c>
      <c r="E707" s="76" t="s">
        <v>3648</v>
      </c>
      <c r="F707" s="110">
        <v>239.0</v>
      </c>
      <c r="G707" s="113" t="str">
        <f>IFERROR(__xludf.DUMMYFUNCTION("TRIM(REGEXREPLACE(C707, ""[0-9]+[a-f]?\."", """"))"),"Since ${period_bl}, has ${hoh_roster_name} spent more than a week (7 days) away from home?")</f>
        <v>Since ${period_bl}, has ${hoh_roster_name} spent more than a week (7 days) away from home?</v>
      </c>
      <c r="H707" s="113" t="str">
        <f>IFERROR(__xludf.DUMMYFUNCTION("TRIM(REGEXREPLACE(D707, ""[0-9]+[a-f]?\."", """"))"),"Depuis cette ${period_french_bl}, ${hoh_roster_name} a-t-il passé plus d'une semaine (7 jours) loin de chez lui ?")</f>
        <v>Depuis cette ${period_french_bl}, ${hoh_roster_name} a-t-il passé plus d'une semaine (7 jours) loin de chez lui ?</v>
      </c>
      <c r="I707" s="113" t="str">
        <f>IFERROR(__xludf.DUMMYFUNCTION("TRIM(REGEXREPLACE(E707, ""[0-9]+[a-f]?\."", """"))"),"Tun wancan ${period_hausa_bl}, ${hoh_roster_name} ya shafe fiye da mako guda (kwana 7) baya gida?")</f>
        <v>Tun wancan ${period_hausa_bl}, ${hoh_roster_name} ya shafe fiye da mako guda (kwana 7) baya gida?</v>
      </c>
      <c r="J707" s="113" t="str">
        <f t="shared" si="169"/>
        <v>239. Since ${period_bl}, has ${hoh_roster_name} spent more than a week (7 days) away from home?</v>
      </c>
      <c r="K707" s="113" t="str">
        <f t="shared" si="170"/>
        <v>239. Depuis cette ${period_french_bl}, ${hoh_roster_name} a-t-il passé plus d'une semaine (7 jours) loin de chez lui ?</v>
      </c>
      <c r="L707" s="113" t="str">
        <f t="shared" si="171"/>
        <v>239. Tun wancan ${period_hausa_bl}, ${hoh_roster_name} ya shafe fiye da mako guda (kwana 7) baya gida?</v>
      </c>
    </row>
    <row r="708">
      <c r="A708" s="114" t="s">
        <v>3649</v>
      </c>
      <c r="B708" s="122" t="s">
        <v>3650</v>
      </c>
      <c r="C708" s="76" t="s">
        <v>3651</v>
      </c>
      <c r="D708" s="76" t="s">
        <v>3652</v>
      </c>
      <c r="E708" s="76" t="s">
        <v>3653</v>
      </c>
      <c r="F708" s="110">
        <v>240.0</v>
      </c>
      <c r="G708" s="113" t="str">
        <f>IFERROR(__xludf.DUMMYFUNCTION("TRIM(REGEXREPLACE(C708, ""[0-9]+[a-f]?\."", """"))"),"Since ${period_bl}, in which of the following countries has ${hoh_roster_name} spent more than one week? Select all that apply")</f>
        <v>Since ${period_bl}, in which of the following countries has ${hoh_roster_name} spent more than one week? Select all that apply</v>
      </c>
      <c r="H708" s="113" t="str">
        <f>IFERROR(__xludf.DUMMYFUNCTION("TRIM(REGEXREPLACE(D708, ""[0-9]+[a-f]?\."", """"))"),"Depuis cette ${period_french_bl}, dans lequel des pays suivants hoh_roster_name a-t-il passé plus d'une semaine ? Sélectionnez tout ce qui s'y rapporte")</f>
        <v>Depuis cette ${period_french_bl}, dans lequel des pays suivants hoh_roster_name a-t-il passé plus d'une semaine ? Sélectionnez tout ce qui s'y rapporte</v>
      </c>
      <c r="I708" s="113" t="str">
        <f>IFERROR(__xludf.DUMMYFUNCTION("TRIM(REGEXREPLACE(E708, ""[0-9]+[a-f]?\."", """"))"),"Tun daga wancan ${period_hausa_bl}, a cikin waɗanne ƙasashe ne ${hoh_roster_name} ya shafe fiye da mako ɗaya? Zaɓi duk abin da ya dace")</f>
        <v>Tun daga wancan ${period_hausa_bl}, a cikin waɗanne ƙasashe ne ${hoh_roster_name} ya shafe fiye da mako ɗaya? Zaɓi duk abin da ya dace</v>
      </c>
      <c r="J708" s="113" t="str">
        <f t="shared" si="169"/>
        <v>240. Since ${period_bl}, in which of the following countries has ${hoh_roster_name} spent more than one week? Select all that apply</v>
      </c>
      <c r="K708" s="113" t="str">
        <f t="shared" si="170"/>
        <v>240. Depuis cette ${period_french_bl}, dans lequel des pays suivants hoh_roster_name a-t-il passé plus d'une semaine ? Sélectionnez tout ce qui s'y rapporte</v>
      </c>
      <c r="L708" s="113" t="str">
        <f t="shared" si="171"/>
        <v>240. Tun daga wancan ${period_hausa_bl}, a cikin waɗanne ƙasashe ne ${hoh_roster_name} ya shafe fiye da mako ɗaya? Zaɓi duk abin da ya dace</v>
      </c>
    </row>
    <row r="709">
      <c r="A709" s="162" t="s">
        <v>217</v>
      </c>
      <c r="B709" s="257" t="s">
        <v>3657</v>
      </c>
      <c r="C709" s="76" t="s">
        <v>2205</v>
      </c>
      <c r="D709" s="76" t="s">
        <v>2206</v>
      </c>
      <c r="E709" s="76" t="s">
        <v>2207</v>
      </c>
      <c r="F709" s="110">
        <v>241.0</v>
      </c>
      <c r="G709" s="113" t="str">
        <f>IFERROR(__xludf.DUMMYFUNCTION("TRIM(REGEXREPLACE(C709, ""[0-9]+[a-f]?\."", """"))"),"Specify other")</f>
        <v>Specify other</v>
      </c>
      <c r="H709" s="113" t="str">
        <f>IFERROR(__xludf.DUMMYFUNCTION("TRIM(REGEXREPLACE(D709, ""[0-9]+[a-f]?\."", """"))"),"Autre à préciser")</f>
        <v>Autre à préciser</v>
      </c>
      <c r="I709" s="113" t="str">
        <f>IFERROR(__xludf.DUMMYFUNCTION("TRIM(REGEXREPLACE(E709, ""[0-9]+[a-f]?\."", """"))"),"Wani daban a Bayyana")</f>
        <v>Wani daban a Bayyana</v>
      </c>
      <c r="J709" s="113" t="str">
        <f t="shared" si="169"/>
        <v>241. Specify other</v>
      </c>
      <c r="K709" s="113" t="str">
        <f t="shared" si="170"/>
        <v>241. Autre à préciser</v>
      </c>
      <c r="L709" s="113" t="str">
        <f t="shared" si="171"/>
        <v>241. Wani daban a Bayyana</v>
      </c>
    </row>
    <row r="710" hidden="1">
      <c r="A710" s="256" t="s">
        <v>115</v>
      </c>
      <c r="B710" s="248" t="s">
        <v>3661</v>
      </c>
      <c r="C710" s="168"/>
      <c r="D710" s="168"/>
      <c r="E710" s="168"/>
      <c r="F710" s="110">
        <v>407.0</v>
      </c>
      <c r="G710" s="113" t="str">
        <f>IFERROR(__xludf.DUMMYFUNCTION("TRIM(REGEXREPLACE(C710, ""[0-9]+[a-f]?\."", """"))"),"")</f>
        <v/>
      </c>
      <c r="H710" s="113" t="str">
        <f>IFERROR(__xludf.DUMMYFUNCTION("TRIM(REGEXREPLACE(D710, ""[0-9]+[a-f]?\."", """"))"),"")</f>
        <v/>
      </c>
      <c r="I710" s="113" t="str">
        <f>IFERROR(__xludf.DUMMYFUNCTION("TRIM(REGEXREPLACE(E710, ""[0-9]+[a-f]?\."", """"))"),"")</f>
        <v/>
      </c>
      <c r="J710" s="113" t="s">
        <v>3662</v>
      </c>
      <c r="K710" s="113" t="s">
        <v>3663</v>
      </c>
      <c r="L710" s="113" t="s">
        <v>3664</v>
      </c>
    </row>
    <row r="711" hidden="1">
      <c r="A711" s="256" t="s">
        <v>115</v>
      </c>
      <c r="B711" s="248" t="s">
        <v>3665</v>
      </c>
      <c r="C711" s="168"/>
      <c r="D711" s="168"/>
      <c r="E711" s="168"/>
      <c r="F711" s="110">
        <v>408.0</v>
      </c>
      <c r="G711" s="113" t="str">
        <f>IFERROR(__xludf.DUMMYFUNCTION("TRIM(REGEXREPLACE(C711, ""[0-9]+[a-f]?\."", """"))"),"")</f>
        <v/>
      </c>
      <c r="H711" s="113" t="str">
        <f>IFERROR(__xludf.DUMMYFUNCTION("TRIM(REGEXREPLACE(D711, ""[0-9]+[a-f]?\."", """"))"),"")</f>
        <v/>
      </c>
      <c r="I711" s="113" t="str">
        <f>IFERROR(__xludf.DUMMYFUNCTION("TRIM(REGEXREPLACE(E711, ""[0-9]+[a-f]?\."", """"))"),"")</f>
        <v/>
      </c>
      <c r="J711" s="113" t="s">
        <v>3666</v>
      </c>
      <c r="K711" s="113" t="s">
        <v>3668</v>
      </c>
      <c r="L711" s="113" t="s">
        <v>3670</v>
      </c>
    </row>
    <row r="712" hidden="1">
      <c r="B712" s="119"/>
      <c r="C712" s="119"/>
      <c r="D712" s="119"/>
      <c r="E712" s="119"/>
      <c r="F712" s="110">
        <v>419.0</v>
      </c>
      <c r="G712" s="113" t="str">
        <f>IFERROR(__xludf.DUMMYFUNCTION("TRIM(REGEXREPLACE(C712, ""[0-9]+[a-f]?\."", """"))"),"")</f>
        <v/>
      </c>
      <c r="H712" s="113" t="str">
        <f>IFERROR(__xludf.DUMMYFUNCTION("TRIM(REGEXREPLACE(D712, ""[0-9]+[a-f]?\."", """"))"),"")</f>
        <v/>
      </c>
      <c r="I712" s="113" t="str">
        <f>IFERROR(__xludf.DUMMYFUNCTION("TRIM(REGEXREPLACE(E712, ""[0-9]+[a-f]?\."", """"))"),"")</f>
        <v/>
      </c>
      <c r="J712" s="113" t="s">
        <v>3672</v>
      </c>
      <c r="K712" s="113" t="s">
        <v>3673</v>
      </c>
      <c r="L712" s="113" t="s">
        <v>3674</v>
      </c>
    </row>
    <row r="713" hidden="1"/>
    <row r="714" hidden="1">
      <c r="B714" s="119"/>
      <c r="C714" s="119"/>
      <c r="D714" s="119"/>
      <c r="E714" s="119"/>
      <c r="F714" s="110">
        <v>420.0</v>
      </c>
      <c r="G714" s="113" t="str">
        <f>IFERROR(__xludf.DUMMYFUNCTION("TRIM(REGEXREPLACE(C714, ""[0-9]+[a-f]?\."", """"))"),"")</f>
        <v/>
      </c>
      <c r="H714" s="113" t="str">
        <f>IFERROR(__xludf.DUMMYFUNCTION("TRIM(REGEXREPLACE(D714, ""[0-9]+[a-f]?\."", """"))"),"")</f>
        <v/>
      </c>
      <c r="I714" s="113" t="str">
        <f>IFERROR(__xludf.DUMMYFUNCTION("TRIM(REGEXREPLACE(E714, ""[0-9]+[a-f]?\."", """"))"),"")</f>
        <v/>
      </c>
      <c r="J714" s="113" t="s">
        <v>3675</v>
      </c>
      <c r="K714" s="113" t="s">
        <v>3676</v>
      </c>
      <c r="L714" s="113" t="s">
        <v>3677</v>
      </c>
    </row>
    <row r="715" hidden="1">
      <c r="A715" s="256" t="s">
        <v>115</v>
      </c>
      <c r="B715" s="248" t="s">
        <v>3678</v>
      </c>
      <c r="C715" s="258" t="s">
        <v>3679</v>
      </c>
      <c r="D715" s="168"/>
      <c r="E715" s="168"/>
      <c r="F715" s="110">
        <v>409.0</v>
      </c>
      <c r="G715" s="113" t="str">
        <f>IFERROR(__xludf.DUMMYFUNCTION("TRIM(REGEXREPLACE(C715, ""[0-9]+[a-f]?\."", """"))"),"Excludes Burkina Faso and Mali")</f>
        <v>Excludes Burkina Faso and Mali</v>
      </c>
      <c r="H715" s="113" t="str">
        <f>IFERROR(__xludf.DUMMYFUNCTION("TRIM(REGEXREPLACE(D715, ""[0-9]+[a-f]?\."", """"))"),"")</f>
        <v/>
      </c>
      <c r="I715" s="113" t="str">
        <f>IFERROR(__xludf.DUMMYFUNCTION("TRIM(REGEXREPLACE(E715, ""[0-9]+[a-f]?\."", """"))"),"")</f>
        <v/>
      </c>
      <c r="J715" s="113" t="s">
        <v>3687</v>
      </c>
      <c r="K715" s="113" t="s">
        <v>3688</v>
      </c>
      <c r="L715" s="113" t="s">
        <v>3689</v>
      </c>
    </row>
    <row r="716" hidden="1">
      <c r="A716" s="256" t="s">
        <v>115</v>
      </c>
      <c r="B716" s="248" t="s">
        <v>3690</v>
      </c>
      <c r="C716" s="258"/>
      <c r="D716" s="168"/>
      <c r="E716" s="168"/>
      <c r="F716" s="110">
        <v>410.0</v>
      </c>
      <c r="G716" s="113" t="str">
        <f>IFERROR(__xludf.DUMMYFUNCTION("TRIM(REGEXREPLACE(C716, ""[0-9]+[a-f]?\."", """"))"),"")</f>
        <v/>
      </c>
      <c r="H716" s="113" t="str">
        <f>IFERROR(__xludf.DUMMYFUNCTION("TRIM(REGEXREPLACE(D716, ""[0-9]+[a-f]?\."", """"))"),"")</f>
        <v/>
      </c>
      <c r="I716" s="113" t="str">
        <f>IFERROR(__xludf.DUMMYFUNCTION("TRIM(REGEXREPLACE(E716, ""[0-9]+[a-f]?\."", """"))"),"")</f>
        <v/>
      </c>
      <c r="J716" s="113" t="s">
        <v>3692</v>
      </c>
      <c r="K716" s="113" t="s">
        <v>3694</v>
      </c>
      <c r="L716" s="113" t="s">
        <v>3696</v>
      </c>
    </row>
    <row r="717" hidden="1">
      <c r="A717" s="131" t="s">
        <v>150</v>
      </c>
      <c r="B717" s="164" t="s">
        <v>3697</v>
      </c>
      <c r="C717" s="133"/>
      <c r="D717" s="133"/>
      <c r="E717" s="133"/>
      <c r="F717" s="110">
        <v>411.0</v>
      </c>
      <c r="G717" s="113" t="str">
        <f>IFERROR(__xludf.DUMMYFUNCTION("TRIM(REGEXREPLACE(C717, ""[0-9]+[a-f]?\."", """"))"),"")</f>
        <v/>
      </c>
      <c r="H717" s="113" t="str">
        <f>IFERROR(__xludf.DUMMYFUNCTION("TRIM(REGEXREPLACE(D717, ""[0-9]+[a-f]?\."", """"))"),"")</f>
        <v/>
      </c>
      <c r="I717" s="113" t="str">
        <f>IFERROR(__xludf.DUMMYFUNCTION("TRIM(REGEXREPLACE(E717, ""[0-9]+[a-f]?\."", """"))"),"")</f>
        <v/>
      </c>
      <c r="J717" s="113" t="s">
        <v>3698</v>
      </c>
      <c r="K717" s="113" t="s">
        <v>3699</v>
      </c>
      <c r="L717" s="113" t="s">
        <v>3700</v>
      </c>
    </row>
    <row r="718" hidden="1">
      <c r="A718" s="167" t="s">
        <v>807</v>
      </c>
      <c r="B718" s="248" t="s">
        <v>3701</v>
      </c>
      <c r="C718" s="258" t="s">
        <v>3702</v>
      </c>
      <c r="D718" s="168"/>
      <c r="E718" s="168"/>
      <c r="F718" s="110">
        <v>412.0</v>
      </c>
      <c r="G718" s="113" t="str">
        <f>IFERROR(__xludf.DUMMYFUNCTION("TRIM(REGEXREPLACE(C718, ""[0-9]+[a-f]?\."", """"))"),"Countries")</f>
        <v>Countries</v>
      </c>
      <c r="H718" s="113" t="str">
        <f>IFERROR(__xludf.DUMMYFUNCTION("TRIM(REGEXREPLACE(D718, ""[0-9]+[a-f]?\."", """"))"),"")</f>
        <v/>
      </c>
      <c r="I718" s="113" t="str">
        <f>IFERROR(__xludf.DUMMYFUNCTION("TRIM(REGEXREPLACE(E718, ""[0-9]+[a-f]?\."", """"))"),"")</f>
        <v/>
      </c>
      <c r="J718" s="113" t="s">
        <v>3706</v>
      </c>
      <c r="K718" s="113" t="s">
        <v>3707</v>
      </c>
      <c r="L718" s="113" t="s">
        <v>3708</v>
      </c>
    </row>
    <row r="719" hidden="1">
      <c r="A719" s="131" t="s">
        <v>115</v>
      </c>
      <c r="B719" s="151" t="s">
        <v>3709</v>
      </c>
      <c r="C719" s="133" t="s">
        <v>3710</v>
      </c>
      <c r="D719" s="133"/>
      <c r="E719" s="133"/>
      <c r="F719" s="110">
        <v>413.0</v>
      </c>
      <c r="G719" s="113" t="str">
        <f>IFERROR(__xludf.DUMMYFUNCTION("TRIM(REGEXREPLACE(C719, ""[0-9]+[a-f]?\."", """"))"),"Repeat Group Index")</f>
        <v>Repeat Group Index</v>
      </c>
      <c r="H719" s="113" t="str">
        <f>IFERROR(__xludf.DUMMYFUNCTION("TRIM(REGEXREPLACE(D719, ""[0-9]+[a-f]?\."", """"))"),"")</f>
        <v/>
      </c>
      <c r="I719" s="113" t="str">
        <f>IFERROR(__xludf.DUMMYFUNCTION("TRIM(REGEXREPLACE(E719, ""[0-9]+[a-f]?\."", """"))"),"")</f>
        <v/>
      </c>
      <c r="J719" s="113" t="s">
        <v>3711</v>
      </c>
      <c r="K719" s="113" t="s">
        <v>3712</v>
      </c>
      <c r="L719" s="113" t="s">
        <v>3714</v>
      </c>
    </row>
    <row r="720" hidden="1">
      <c r="A720" s="131" t="s">
        <v>115</v>
      </c>
      <c r="B720" s="151" t="s">
        <v>3717</v>
      </c>
      <c r="C720" s="133" t="s">
        <v>3718</v>
      </c>
      <c r="D720" s="133"/>
      <c r="E720" s="133"/>
      <c r="F720" s="110">
        <v>414.0</v>
      </c>
      <c r="G720" s="113" t="str">
        <f>IFERROR(__xludf.DUMMYFUNCTION("TRIM(REGEXREPLACE(C720, ""[0-9]+[a-f]?\."", """"))"),"Country Index")</f>
        <v>Country Index</v>
      </c>
      <c r="H720" s="113" t="str">
        <f>IFERROR(__xludf.DUMMYFUNCTION("TRIM(REGEXREPLACE(D720, ""[0-9]+[a-f]?\."", """"))"),"")</f>
        <v/>
      </c>
      <c r="I720" s="113" t="str">
        <f>IFERROR(__xludf.DUMMYFUNCTION("TRIM(REGEXREPLACE(E720, ""[0-9]+[a-f]?\."", """"))"),"")</f>
        <v/>
      </c>
      <c r="J720" s="113" t="s">
        <v>3719</v>
      </c>
      <c r="K720" s="113" t="s">
        <v>3720</v>
      </c>
      <c r="L720" s="113" t="s">
        <v>3721</v>
      </c>
    </row>
    <row r="721" hidden="1">
      <c r="A721" s="131" t="s">
        <v>115</v>
      </c>
      <c r="B721" s="151" t="s">
        <v>3722</v>
      </c>
      <c r="C721" s="133" t="s">
        <v>3723</v>
      </c>
      <c r="D721" s="133"/>
      <c r="E721" s="133"/>
      <c r="F721" s="110">
        <v>415.0</v>
      </c>
      <c r="G721" s="113" t="str">
        <f>IFERROR(__xludf.DUMMYFUNCTION("TRIM(REGEXREPLACE(C721, ""[0-9]+[a-f]?\."", """"))"),"Country Name")</f>
        <v>Country Name</v>
      </c>
      <c r="H721" s="113" t="str">
        <f>IFERROR(__xludf.DUMMYFUNCTION("TRIM(REGEXREPLACE(D721, ""[0-9]+[a-f]?\."", """"))"),"")</f>
        <v/>
      </c>
      <c r="I721" s="113" t="str">
        <f>IFERROR(__xludf.DUMMYFUNCTION("TRIM(REGEXREPLACE(E721, ""[0-9]+[a-f]?\."", """"))"),"")</f>
        <v/>
      </c>
      <c r="J721" s="113" t="s">
        <v>3727</v>
      </c>
      <c r="K721" s="113" t="s">
        <v>3728</v>
      </c>
      <c r="L721" s="113" t="s">
        <v>3729</v>
      </c>
    </row>
    <row r="722">
      <c r="A722" s="121" t="s">
        <v>3730</v>
      </c>
      <c r="B722" s="122" t="s">
        <v>3731</v>
      </c>
      <c r="C722" s="76" t="s">
        <v>3732</v>
      </c>
      <c r="D722" s="76" t="s">
        <v>3733</v>
      </c>
      <c r="E722" s="76" t="s">
        <v>3734</v>
      </c>
      <c r="F722" s="110">
        <v>242.0</v>
      </c>
      <c r="G722" s="113" t="str">
        <f>IFERROR(__xludf.DUMMYFUNCTION("TRIM(REGEXREPLACE(C722, ""[0-9]+[a-f]?\."", """"))"),"In ${hoh_destination}, what was the name of the city or town that ${hoh_roster_name} moved to?")</f>
        <v>In ${hoh_destination}, what was the name of the city or town that ${hoh_roster_name} moved to?</v>
      </c>
      <c r="H722" s="113" t="str">
        <f>IFERROR(__xludf.DUMMYFUNCTION("TRIM(REGEXREPLACE(D722, ""[0-9]+[a-f]?\."", """"))"),"À ${hoh_destination}, quel était le nom de la ville dans laquelle ${hoh_roster_name} il a séjourné ?")</f>
        <v>À ${hoh_destination}, quel était le nom de la ville dans laquelle ${hoh_roster_name} il a séjourné ?</v>
      </c>
      <c r="I722" s="113" t="str">
        <f>IFERROR(__xludf.DUMMYFUNCTION("TRIM(REGEXREPLACE(E722, ""[0-9]+[a-f]?\."", """"))"),"A ${hoh_destination}, menene sunan birnin da ${hoh_roster_name} ya zauna?")</f>
        <v>A ${hoh_destination}, menene sunan birnin da ${hoh_roster_name} ya zauna?</v>
      </c>
      <c r="J722" s="113" t="str">
        <f t="shared" ref="J722:J725" si="172">F722 &amp; ". " &amp;G722</f>
        <v>242. In ${hoh_destination}, what was the name of the city or town that ${hoh_roster_name} moved to?</v>
      </c>
      <c r="K722" s="113" t="str">
        <f t="shared" ref="K722:K725" si="173">F722 &amp; ". " &amp;H722</f>
        <v>242. À ${hoh_destination}, quel était le nom de la ville dans laquelle ${hoh_roster_name} il a séjourné ?</v>
      </c>
      <c r="L722" s="113" t="str">
        <f t="shared" ref="L722:L725" si="174">F722 &amp; ". " &amp;I722</f>
        <v>242. A ${hoh_destination}, menene sunan birnin da ${hoh_roster_name} ya zauna?</v>
      </c>
    </row>
    <row r="723">
      <c r="A723" s="162" t="s">
        <v>217</v>
      </c>
      <c r="B723" s="257" t="s">
        <v>3741</v>
      </c>
      <c r="C723" s="76" t="s">
        <v>2219</v>
      </c>
      <c r="D723" s="76" t="s">
        <v>2221</v>
      </c>
      <c r="E723" s="76" t="s">
        <v>2222</v>
      </c>
      <c r="F723" s="110">
        <v>243.0</v>
      </c>
      <c r="G723" s="113" t="str">
        <f>IFERROR(__xludf.DUMMYFUNCTION("TRIM(REGEXREPLACE(C723, ""[0-9]+[a-f]?\."", """"))"),"Specify other")</f>
        <v>Specify other</v>
      </c>
      <c r="H723" s="113" t="str">
        <f>IFERROR(__xludf.DUMMYFUNCTION("TRIM(REGEXREPLACE(D723, ""[0-9]+[a-f]?\."", """"))"),"Autre à préciser")</f>
        <v>Autre à préciser</v>
      </c>
      <c r="I723" s="113" t="str">
        <f>IFERROR(__xludf.DUMMYFUNCTION("TRIM(REGEXREPLACE(E723, ""[0-9]+[a-f]?\."", """"))"),"Wani daban a Bayyana")</f>
        <v>Wani daban a Bayyana</v>
      </c>
      <c r="J723" s="113" t="str">
        <f t="shared" si="172"/>
        <v>243. Specify other</v>
      </c>
      <c r="K723" s="113" t="str">
        <f t="shared" si="173"/>
        <v>243. Autre à préciser</v>
      </c>
      <c r="L723" s="113" t="str">
        <f t="shared" si="174"/>
        <v>243. Wani daban a Bayyana</v>
      </c>
    </row>
    <row r="724">
      <c r="A724" s="121" t="s">
        <v>3742</v>
      </c>
      <c r="B724" s="218" t="s">
        <v>3743</v>
      </c>
      <c r="C724" s="76" t="s">
        <v>3746</v>
      </c>
      <c r="D724" s="76" t="s">
        <v>3748</v>
      </c>
      <c r="E724" s="76" t="s">
        <v>3750</v>
      </c>
      <c r="F724" s="110">
        <v>244.0</v>
      </c>
      <c r="G724" s="113" t="str">
        <f>IFERROR(__xludf.DUMMYFUNCTION("TRIM(REGEXREPLACE(C724, ""[0-9]+[a-f]?\."", """"))"),"In ${hoh_destination}, what was the name of the region that ${hoh_roster_name} moved to?")</f>
        <v>In ${hoh_destination}, what was the name of the region that ${hoh_roster_name} moved to?</v>
      </c>
      <c r="H724" s="113" t="str">
        <f>IFERROR(__xludf.DUMMYFUNCTION("TRIM(REGEXREPLACE(D724, ""[0-9]+[a-f]?\."", """"))"),"Dans ${hoh_destination}, quel était le nom de la région vers laquelle ${hoh_roster_name} a été déplacé ?")</f>
        <v>Dans ${hoh_destination}, quel était le nom de la région vers laquelle ${hoh_roster_name} a été déplacé ?</v>
      </c>
      <c r="I724" s="113" t="str">
        <f>IFERROR(__xludf.DUMMYFUNCTION("TRIM(REGEXREPLACE(E724, ""[0-9]+[a-f]?\."", """"))"),"A ${hoh_destination}, menene sunan yankin da ${hoh_roster_name} ya koma?")</f>
        <v>A ${hoh_destination}, menene sunan yankin da ${hoh_roster_name} ya koma?</v>
      </c>
      <c r="J724" s="113" t="str">
        <f t="shared" si="172"/>
        <v>244. In ${hoh_destination}, what was the name of the region that ${hoh_roster_name} moved to?</v>
      </c>
      <c r="K724" s="113" t="str">
        <f t="shared" si="173"/>
        <v>244. Dans ${hoh_destination}, quel était le nom de la région vers laquelle ${hoh_roster_name} a été déplacé ?</v>
      </c>
      <c r="L724" s="113" t="str">
        <f t="shared" si="174"/>
        <v>244. A ${hoh_destination}, menene sunan yankin da ${hoh_roster_name} ya koma?</v>
      </c>
    </row>
    <row r="725">
      <c r="A725" s="239" t="s">
        <v>217</v>
      </c>
      <c r="B725" s="218" t="s">
        <v>3754</v>
      </c>
      <c r="C725" s="76" t="s">
        <v>3755</v>
      </c>
      <c r="D725" s="76" t="s">
        <v>3756</v>
      </c>
      <c r="E725" s="76" t="s">
        <v>3757</v>
      </c>
      <c r="F725" s="110">
        <v>245.0</v>
      </c>
      <c r="G725" s="113" t="str">
        <f>IFERROR(__xludf.DUMMYFUNCTION("TRIM(REGEXREPLACE(C725, ""[0-9]+[a-f]?\."", """"))"),"Specify other")</f>
        <v>Specify other</v>
      </c>
      <c r="H725" s="113" t="str">
        <f>IFERROR(__xludf.DUMMYFUNCTION("TRIM(REGEXREPLACE(D725, ""[0-9]+[a-f]?\."", """"))"),"Autre à préciser")</f>
        <v>Autre à préciser</v>
      </c>
      <c r="I725" s="113" t="str">
        <f>IFERROR(__xludf.DUMMYFUNCTION("TRIM(REGEXREPLACE(E725, ""[0-9]+[a-f]?\."", """"))"),"Wani daban a Bayyana")</f>
        <v>Wani daban a Bayyana</v>
      </c>
      <c r="J725" s="113" t="str">
        <f t="shared" si="172"/>
        <v>245. Specify other</v>
      </c>
      <c r="K725" s="113" t="str">
        <f t="shared" si="173"/>
        <v>245. Autre à préciser</v>
      </c>
      <c r="L725" s="113" t="str">
        <f t="shared" si="174"/>
        <v>245. Wani daban a Bayyana</v>
      </c>
    </row>
    <row r="726" hidden="1">
      <c r="B726" s="119"/>
      <c r="C726" s="119"/>
      <c r="D726" s="119"/>
      <c r="E726" s="119"/>
      <c r="F726" s="110">
        <v>426.0</v>
      </c>
      <c r="G726" s="113" t="str">
        <f>IFERROR(__xludf.DUMMYFUNCTION("TRIM(REGEXREPLACE(C726, ""[0-9]+[a-f]?\."", """"))"),"")</f>
        <v/>
      </c>
      <c r="H726" s="113" t="str">
        <f>IFERROR(__xludf.DUMMYFUNCTION("TRIM(REGEXREPLACE(D726, ""[0-9]+[a-f]?\."", """"))"),"")</f>
        <v/>
      </c>
      <c r="I726" s="113" t="str">
        <f>IFERROR(__xludf.DUMMYFUNCTION("TRIM(REGEXREPLACE(E726, ""[0-9]+[a-f]?\."", """"))"),"")</f>
        <v/>
      </c>
      <c r="J726" s="113" t="s">
        <v>3761</v>
      </c>
      <c r="K726" s="113" t="s">
        <v>3763</v>
      </c>
      <c r="L726" s="113" t="s">
        <v>3765</v>
      </c>
    </row>
    <row r="727" hidden="1"/>
    <row r="728" hidden="1"/>
    <row r="729" hidden="1"/>
    <row r="730" hidden="1"/>
    <row r="731">
      <c r="A731" s="170" t="s">
        <v>238</v>
      </c>
      <c r="B731" s="218" t="s">
        <v>3769</v>
      </c>
      <c r="C731" s="76" t="s">
        <v>3771</v>
      </c>
      <c r="D731" s="76" t="s">
        <v>3772</v>
      </c>
      <c r="E731" s="76" t="s">
        <v>3773</v>
      </c>
      <c r="F731" s="110">
        <v>246.0</v>
      </c>
      <c r="G731" s="113" t="str">
        <f>IFERROR(__xludf.DUMMYFUNCTION("TRIM(REGEXREPLACE(C731, ""[0-9]+[a-f]?\."", """"))"),"How many times did ${hoh_roster_name} travel to ${hoh_destination} since ${period}?")</f>
        <v>How many times did ${hoh_roster_name} travel to ${hoh_destination} since ${period}?</v>
      </c>
      <c r="H731" s="113" t="str">
        <f>IFERROR(__xludf.DUMMYFUNCTION("TRIM(REGEXREPLACE(D731, ""[0-9]+[a-f]?\."", """"))"),"Combien de fois ${hoh_roster_name} s'est-il rendu à ${hoh_destination} depuis la ${period_french}?")</f>
        <v>Combien de fois ${hoh_roster_name} s'est-il rendu à ${hoh_destination} depuis la ${period_french}?</v>
      </c>
      <c r="I731" s="113" t="str">
        <f>IFERROR(__xludf.DUMMYFUNCTION("TRIM(REGEXREPLACE(E731, ""[0-9]+[a-f]?\."", """"))"),"Sau nawa ${hoh_roster_name} yayi tafiya zuwa ${hoh_destination} tun daga wancan ${period_hausa}?")</f>
        <v>Sau nawa ${hoh_roster_name} yayi tafiya zuwa ${hoh_destination} tun daga wancan ${period_hausa}?</v>
      </c>
      <c r="J731" s="113" t="str">
        <f>F731 &amp; ". " &amp;G731</f>
        <v>246. How many times did ${hoh_roster_name} travel to ${hoh_destination} since ${period}?</v>
      </c>
      <c r="K731" s="113" t="str">
        <f>F731 &amp; ". " &amp;H731</f>
        <v>246. Combien de fois ${hoh_roster_name} s'est-il rendu à ${hoh_destination} depuis la ${period_french}?</v>
      </c>
      <c r="L731" s="113" t="str">
        <f>F731 &amp; ". " &amp;I731</f>
        <v>246. Sau nawa ${hoh_roster_name} yayi tafiya zuwa ${hoh_destination} tun daga wancan ${period_hausa}?</v>
      </c>
    </row>
    <row r="732" hidden="1"/>
    <row r="733" hidden="1"/>
    <row r="734" hidden="1">
      <c r="A734" s="167" t="s">
        <v>842</v>
      </c>
      <c r="B734" s="256" t="s">
        <v>3701</v>
      </c>
      <c r="C734" s="169" t="s">
        <v>3777</v>
      </c>
      <c r="D734" s="169"/>
      <c r="E734" s="169"/>
      <c r="F734" s="110">
        <v>421.0</v>
      </c>
      <c r="G734" s="113" t="str">
        <f>IFERROR(__xludf.DUMMYFUNCTION("TRIM(REGEXREPLACE(C734, ""[0-9]+[a-f]?\."", """"))"),"Other Countries")</f>
        <v>Other Countries</v>
      </c>
      <c r="H734" s="113" t="str">
        <f>IFERROR(__xludf.DUMMYFUNCTION("TRIM(REGEXREPLACE(D734, ""[0-9]+[a-f]?\."", """"))"),"")</f>
        <v/>
      </c>
      <c r="I734" s="113" t="str">
        <f>IFERROR(__xludf.DUMMYFUNCTION("TRIM(REGEXREPLACE(E734, ""[0-9]+[a-f]?\."", """"))"),"")</f>
        <v/>
      </c>
      <c r="J734" s="113" t="s">
        <v>3781</v>
      </c>
      <c r="K734" s="113" t="s">
        <v>3783</v>
      </c>
      <c r="L734" s="113" t="s">
        <v>3785</v>
      </c>
    </row>
    <row r="735" hidden="1">
      <c r="C735" s="119"/>
      <c r="D735" s="119"/>
      <c r="E735" s="119"/>
      <c r="F735" s="110">
        <v>425.0</v>
      </c>
      <c r="G735" s="113" t="str">
        <f>IFERROR(__xludf.DUMMYFUNCTION("TRIM(REGEXREPLACE(C735, ""[0-9]+[a-f]?\."", """"))"),"")</f>
        <v/>
      </c>
      <c r="H735" s="113" t="str">
        <f>IFERROR(__xludf.DUMMYFUNCTION("TRIM(REGEXREPLACE(D735, ""[0-9]+[a-f]?\."", """"))"),"")</f>
        <v/>
      </c>
      <c r="I735" s="113" t="str">
        <f>IFERROR(__xludf.DUMMYFUNCTION("TRIM(REGEXREPLACE(E735, ""[0-9]+[a-f]?\."", """"))"),"")</f>
        <v/>
      </c>
    </row>
    <row r="736" hidden="1">
      <c r="A736" s="131" t="s">
        <v>150</v>
      </c>
      <c r="B736" s="164" t="s">
        <v>3787</v>
      </c>
      <c r="C736" s="133"/>
      <c r="D736" s="133"/>
      <c r="E736" s="133"/>
      <c r="F736" s="110">
        <v>422.0</v>
      </c>
      <c r="G736" s="113" t="str">
        <f>IFERROR(__xludf.DUMMYFUNCTION("TRIM(REGEXREPLACE(C736, ""[0-9]+[a-f]?\."", """"))"),"")</f>
        <v/>
      </c>
      <c r="H736" s="113" t="str">
        <f>IFERROR(__xludf.DUMMYFUNCTION("TRIM(REGEXREPLACE(D736, ""[0-9]+[a-f]?\."", """"))"),"")</f>
        <v/>
      </c>
      <c r="I736" s="113" t="str">
        <f>IFERROR(__xludf.DUMMYFUNCTION("TRIM(REGEXREPLACE(E736, ""[0-9]+[a-f]?\."", """"))"),"")</f>
        <v/>
      </c>
      <c r="J736" s="113" t="s">
        <v>3788</v>
      </c>
      <c r="K736" s="113" t="s">
        <v>3789</v>
      </c>
      <c r="L736" s="113" t="s">
        <v>3790</v>
      </c>
    </row>
    <row r="737" hidden="1">
      <c r="C737" s="119"/>
      <c r="D737" s="119"/>
      <c r="E737" s="119"/>
      <c r="F737" s="110">
        <v>427.0</v>
      </c>
      <c r="G737" s="113" t="str">
        <f>IFERROR(__xludf.DUMMYFUNCTION("TRIM(REGEXREPLACE(C737, ""[0-9]+[a-f]?\."", """"))"),"")</f>
        <v/>
      </c>
      <c r="H737" s="113" t="str">
        <f>IFERROR(__xludf.DUMMYFUNCTION("TRIM(REGEXREPLACE(D737, ""[0-9]+[a-f]?\."", """"))"),"")</f>
        <v/>
      </c>
      <c r="I737" s="113" t="str">
        <f>IFERROR(__xludf.DUMMYFUNCTION("TRIM(REGEXREPLACE(E737, ""[0-9]+[a-f]?\."", """"))"),"")</f>
        <v/>
      </c>
    </row>
    <row r="738" hidden="1">
      <c r="C738" s="119"/>
      <c r="D738" s="119"/>
      <c r="E738" s="119"/>
      <c r="F738" s="110">
        <v>428.0</v>
      </c>
      <c r="G738" s="113" t="str">
        <f>IFERROR(__xludf.DUMMYFUNCTION("TRIM(REGEXREPLACE(C738, ""[0-9]+[a-f]?\."", """"))"),"")</f>
        <v/>
      </c>
      <c r="H738" s="113" t="str">
        <f>IFERROR(__xludf.DUMMYFUNCTION("TRIM(REGEXREPLACE(D738, ""[0-9]+[a-f]?\."", """"))"),"")</f>
        <v/>
      </c>
      <c r="I738" s="113" t="str">
        <f>IFERROR(__xludf.DUMMYFUNCTION("TRIM(REGEXREPLACE(E738, ""[0-9]+[a-f]?\."", """"))"),"")</f>
        <v/>
      </c>
    </row>
    <row r="739" hidden="1">
      <c r="A739" s="80" t="s">
        <v>115</v>
      </c>
      <c r="B739" s="81" t="s">
        <v>3791</v>
      </c>
      <c r="C739" s="82"/>
      <c r="D739" s="83"/>
      <c r="E739" s="83"/>
      <c r="F739" s="110">
        <v>423.0</v>
      </c>
      <c r="G739" s="113" t="str">
        <f>IFERROR(__xludf.DUMMYFUNCTION("TRIM(REGEXREPLACE(C739, ""[0-9]+[a-f]?\."", """"))"),"")</f>
        <v/>
      </c>
      <c r="H739" s="113" t="str">
        <f>IFERROR(__xludf.DUMMYFUNCTION("TRIM(REGEXREPLACE(D739, ""[0-9]+[a-f]?\."", """"))"),"")</f>
        <v/>
      </c>
      <c r="I739" s="113" t="str">
        <f>IFERROR(__xludf.DUMMYFUNCTION("TRIM(REGEXREPLACE(E739, ""[0-9]+[a-f]?\."", """"))"),"")</f>
        <v/>
      </c>
      <c r="J739" s="113" t="s">
        <v>3793</v>
      </c>
      <c r="K739" s="113" t="s">
        <v>3794</v>
      </c>
      <c r="L739" s="113" t="s">
        <v>3795</v>
      </c>
    </row>
    <row r="740" hidden="1">
      <c r="C740" s="119"/>
      <c r="D740" s="119"/>
      <c r="E740" s="119"/>
      <c r="F740" s="110">
        <v>428.0</v>
      </c>
      <c r="G740" s="113" t="str">
        <f>IFERROR(__xludf.DUMMYFUNCTION("TRIM(REGEXREPLACE(C740, ""[0-9]+[a-f]?\."", """"))"),"")</f>
        <v/>
      </c>
      <c r="H740" s="113" t="str">
        <f>IFERROR(__xludf.DUMMYFUNCTION("TRIM(REGEXREPLACE(D740, ""[0-9]+[a-f]?\."", """"))"),"")</f>
        <v/>
      </c>
      <c r="I740" s="113" t="str">
        <f>IFERROR(__xludf.DUMMYFUNCTION("TRIM(REGEXREPLACE(E740, ""[0-9]+[a-f]?\."", """"))"),"")</f>
        <v/>
      </c>
      <c r="J740" s="113" t="s">
        <v>3799</v>
      </c>
      <c r="K740" s="113" t="s">
        <v>3800</v>
      </c>
      <c r="L740" s="113" t="s">
        <v>3801</v>
      </c>
    </row>
    <row r="741" hidden="1">
      <c r="C741" s="119"/>
      <c r="D741" s="119"/>
      <c r="E741" s="119"/>
      <c r="F741" s="110">
        <v>429.0</v>
      </c>
      <c r="G741" s="113" t="str">
        <f>IFERROR(__xludf.DUMMYFUNCTION("TRIM(REGEXREPLACE(C741, ""[0-9]+[a-f]?\."", """"))"),"")</f>
        <v/>
      </c>
      <c r="H741" s="113" t="str">
        <f>IFERROR(__xludf.DUMMYFUNCTION("TRIM(REGEXREPLACE(D741, ""[0-9]+[a-f]?\."", """"))"),"")</f>
        <v/>
      </c>
      <c r="I741" s="113" t="str">
        <f>IFERROR(__xludf.DUMMYFUNCTION("TRIM(REGEXREPLACE(E741, ""[0-9]+[a-f]?\."", """"))"),"")</f>
        <v/>
      </c>
      <c r="J741" s="113" t="s">
        <v>3802</v>
      </c>
      <c r="K741" s="113" t="s">
        <v>3803</v>
      </c>
      <c r="L741" s="113" t="s">
        <v>3805</v>
      </c>
    </row>
    <row r="742">
      <c r="A742" s="114" t="s">
        <v>680</v>
      </c>
      <c r="B742" s="165" t="s">
        <v>3807</v>
      </c>
      <c r="C742" s="76" t="s">
        <v>3808</v>
      </c>
      <c r="D742" s="76" t="s">
        <v>3810</v>
      </c>
      <c r="E742" s="76" t="s">
        <v>3811</v>
      </c>
      <c r="F742" s="110">
        <v>247.0</v>
      </c>
      <c r="G742" s="113" t="str">
        <f>IFERROR(__xludf.DUMMYFUNCTION("TRIM(REGEXREPLACE(C742, ""[0-9]+[a-f]?\."", """"))"),"Since ${period_bl}, was there ever a time when ${hoh_roster_name} planned to migrate but then had to cancel their plans?")</f>
        <v>Since ${period_bl}, was there ever a time when ${hoh_roster_name} planned to migrate but then had to cancel their plans?</v>
      </c>
      <c r="H742" s="113" t="str">
        <f>IFERROR(__xludf.DUMMYFUNCTION("TRIM(REGEXREPLACE(D742, ""[0-9]+[a-f]?\."", """"))"),"Depuis cette ${period_french_bl}, y a-t-il déjà eu un moment où ${hoh_roster_name} avait prévu de migrer mais a ensuite dû annuler ses projets ?")</f>
        <v>Depuis cette ${period_french_bl}, y a-t-il déjà eu un moment où ${hoh_roster_name} avait prévu de migrer mais a ensuite dû annuler ses projets ?</v>
      </c>
      <c r="I742" s="113" t="str">
        <f>IFERROR(__xludf.DUMMYFUNCTION("TRIM(REGEXREPLACE(E742, ""[0-9]+[a-f]?\."", """"))"),"Tun daga ${period_hausa_bl}, ko akwai lokacin da ${hoh_roster_name} ya shirya zuwa biɗa amma sai ya soke shirinshi?")</f>
        <v>Tun daga ${period_hausa_bl}, ko akwai lokacin da ${hoh_roster_name} ya shirya zuwa biɗa amma sai ya soke shirinshi?</v>
      </c>
      <c r="J742" s="113" t="str">
        <f t="shared" ref="J742:J744" si="175">F742 &amp; ". " &amp;G742</f>
        <v>247. Since ${period_bl}, was there ever a time when ${hoh_roster_name} planned to migrate but then had to cancel their plans?</v>
      </c>
      <c r="K742" s="113" t="str">
        <f t="shared" ref="K742:K744" si="176">F742 &amp; ". " &amp;H742</f>
        <v>247. Depuis cette ${period_french_bl}, y a-t-il déjà eu un moment où ${hoh_roster_name} avait prévu de migrer mais a ensuite dû annuler ses projets ?</v>
      </c>
      <c r="L742" s="113" t="str">
        <f t="shared" ref="L742:L744" si="177">F742 &amp; ". " &amp;I742</f>
        <v>247. Tun daga ${period_hausa_bl}, ko akwai lokacin da ${hoh_roster_name} ya shirya zuwa biɗa amma sai ya soke shirinshi?</v>
      </c>
    </row>
    <row r="743">
      <c r="A743" s="184" t="s">
        <v>3649</v>
      </c>
      <c r="B743" s="163" t="s">
        <v>3819</v>
      </c>
      <c r="C743" s="76" t="s">
        <v>3821</v>
      </c>
      <c r="D743" s="76" t="s">
        <v>3822</v>
      </c>
      <c r="E743" s="76" t="s">
        <v>3823</v>
      </c>
      <c r="F743" s="110">
        <v>248.0</v>
      </c>
      <c r="G743" s="113" t="str">
        <f>IFERROR(__xludf.DUMMYFUNCTION("TRIM(REGEXREPLACE(C743, ""[0-9]+[a-f]?\."", """"))"),"Where did they plan to migrate?")</f>
        <v>Where did they plan to migrate?</v>
      </c>
      <c r="H743" s="113" t="str">
        <f>IFERROR(__xludf.DUMMYFUNCTION("TRIM(REGEXREPLACE(D743, ""[0-9]+[a-f]?\."", """"))"),"Où envisageait-il de migrer ?")</f>
        <v>Où envisageait-il de migrer ?</v>
      </c>
      <c r="I743" s="113" t="str">
        <f>IFERROR(__xludf.DUMMYFUNCTION("TRIM(REGEXREPLACE(E743, ""[0-9]+[a-f]?\."", """"))"),"Zuwa ina ya shirya zuwa biɗar?")</f>
        <v>Zuwa ina ya shirya zuwa biɗar?</v>
      </c>
      <c r="J743" s="113" t="str">
        <f t="shared" si="175"/>
        <v>248. Where did they plan to migrate?</v>
      </c>
      <c r="K743" s="113" t="str">
        <f t="shared" si="176"/>
        <v>248. Où envisageait-il de migrer ?</v>
      </c>
      <c r="L743" s="113" t="str">
        <f t="shared" si="177"/>
        <v>248. Zuwa ina ya shirya zuwa biɗar?</v>
      </c>
    </row>
    <row r="744">
      <c r="A744" s="121" t="s">
        <v>217</v>
      </c>
      <c r="B744" s="163" t="s">
        <v>3827</v>
      </c>
      <c r="C744" s="76" t="s">
        <v>3828</v>
      </c>
      <c r="D744" s="76" t="s">
        <v>3829</v>
      </c>
      <c r="E744" s="76" t="s">
        <v>3830</v>
      </c>
      <c r="F744" s="110">
        <v>249.0</v>
      </c>
      <c r="G744" s="113" t="str">
        <f>IFERROR(__xludf.DUMMYFUNCTION("TRIM(REGEXREPLACE(C744, ""[0-9]+[a-f]?\."", """"))"),"Specify other")</f>
        <v>Specify other</v>
      </c>
      <c r="H744" s="113" t="str">
        <f>IFERROR(__xludf.DUMMYFUNCTION("TRIM(REGEXREPLACE(D744, ""[0-9]+[a-f]?\."", """"))"),"Autre à préciser")</f>
        <v>Autre à préciser</v>
      </c>
      <c r="I744" s="113" t="str">
        <f>IFERROR(__xludf.DUMMYFUNCTION("TRIM(REGEXREPLACE(E744, ""[0-9]+[a-f]?\."", """"))"),"Wani daban a Bayyana")</f>
        <v>Wani daban a Bayyana</v>
      </c>
      <c r="J744" s="113" t="str">
        <f t="shared" si="175"/>
        <v>249. Specify other</v>
      </c>
      <c r="K744" s="113" t="str">
        <f t="shared" si="176"/>
        <v>249. Autre à préciser</v>
      </c>
      <c r="L744" s="113" t="str">
        <f t="shared" si="177"/>
        <v>249. Wani daban a Bayyana</v>
      </c>
    </row>
    <row r="745" hidden="1">
      <c r="A745" s="121" t="s">
        <v>807</v>
      </c>
      <c r="B745" s="157" t="s">
        <v>3832</v>
      </c>
      <c r="C745" s="76" t="s">
        <v>3834</v>
      </c>
      <c r="D745" s="76"/>
      <c r="E745" s="76"/>
      <c r="F745" s="110">
        <v>427.0</v>
      </c>
      <c r="G745" s="113" t="str">
        <f>IFERROR(__xludf.DUMMYFUNCTION("TRIM(REGEXREPLACE(C745, ""[0-9]+[a-f]?\."", """"))"),"Failed Migrations")</f>
        <v>Failed Migrations</v>
      </c>
      <c r="H745" s="113" t="str">
        <f>IFERROR(__xludf.DUMMYFUNCTION("TRIM(REGEXREPLACE(D745, ""[0-9]+[a-f]?\."", """"))"),"")</f>
        <v/>
      </c>
      <c r="I745" s="113" t="str">
        <f>IFERROR(__xludf.DUMMYFUNCTION("TRIM(REGEXREPLACE(E745, ""[0-9]+[a-f]?\."", """"))"),"")</f>
        <v/>
      </c>
      <c r="J745" s="113" t="s">
        <v>3836</v>
      </c>
      <c r="K745" s="113" t="s">
        <v>3838</v>
      </c>
      <c r="L745" s="113" t="s">
        <v>3839</v>
      </c>
    </row>
    <row r="746" hidden="1">
      <c r="A746" s="121" t="s">
        <v>115</v>
      </c>
      <c r="B746" s="157" t="s">
        <v>3840</v>
      </c>
      <c r="C746" s="76"/>
      <c r="D746" s="76"/>
      <c r="E746" s="76"/>
      <c r="F746" s="110">
        <v>428.0</v>
      </c>
      <c r="G746" s="113" t="str">
        <f>IFERROR(__xludf.DUMMYFUNCTION("TRIM(REGEXREPLACE(C746, ""[0-9]+[a-f]?\."", """"))"),"")</f>
        <v/>
      </c>
      <c r="H746" s="113" t="str">
        <f>IFERROR(__xludf.DUMMYFUNCTION("TRIM(REGEXREPLACE(D746, ""[0-9]+[a-f]?\."", """"))"),"")</f>
        <v/>
      </c>
      <c r="I746" s="113" t="str">
        <f>IFERROR(__xludf.DUMMYFUNCTION("TRIM(REGEXREPLACE(E746, ""[0-9]+[a-f]?\."", """"))"),"")</f>
        <v/>
      </c>
      <c r="J746" s="113" t="s">
        <v>3841</v>
      </c>
      <c r="K746" s="113" t="s">
        <v>3842</v>
      </c>
      <c r="L746" s="113" t="s">
        <v>3843</v>
      </c>
    </row>
    <row r="747" hidden="1">
      <c r="C747" s="119"/>
      <c r="D747" s="119"/>
      <c r="E747" s="119"/>
      <c r="F747" s="110">
        <v>435.0</v>
      </c>
      <c r="G747" s="113" t="str">
        <f>IFERROR(__xludf.DUMMYFUNCTION("TRIM(REGEXREPLACE(C747, ""[0-9]+[a-f]?\."", """"))"),"")</f>
        <v/>
      </c>
      <c r="H747" s="113" t="str">
        <f>IFERROR(__xludf.DUMMYFUNCTION("TRIM(REGEXREPLACE(D747, ""[0-9]+[a-f]?\."", """"))"),"")</f>
        <v/>
      </c>
      <c r="I747" s="113" t="str">
        <f>IFERROR(__xludf.DUMMYFUNCTION("TRIM(REGEXREPLACE(E747, ""[0-9]+[a-f]?\."", """"))"),"")</f>
        <v/>
      </c>
      <c r="J747" s="113" t="s">
        <v>3847</v>
      </c>
      <c r="K747" s="113" t="s">
        <v>3849</v>
      </c>
      <c r="L747" s="113" t="s">
        <v>3850</v>
      </c>
    </row>
    <row r="748" hidden="1">
      <c r="C748" s="119"/>
      <c r="D748" s="119"/>
      <c r="E748" s="119"/>
      <c r="F748" s="110">
        <v>436.0</v>
      </c>
      <c r="G748" s="113" t="str">
        <f>IFERROR(__xludf.DUMMYFUNCTION("TRIM(REGEXREPLACE(C748, ""[0-9]+[a-f]?\."", """"))"),"")</f>
        <v/>
      </c>
      <c r="H748" s="113" t="str">
        <f>IFERROR(__xludf.DUMMYFUNCTION("TRIM(REGEXREPLACE(D748, ""[0-9]+[a-f]?\."", """"))"),"")</f>
        <v/>
      </c>
      <c r="I748" s="113" t="str">
        <f>IFERROR(__xludf.DUMMYFUNCTION("TRIM(REGEXREPLACE(E748, ""[0-9]+[a-f]?\."", """"))"),"")</f>
        <v/>
      </c>
      <c r="J748" s="113" t="s">
        <v>3851</v>
      </c>
      <c r="K748" s="113" t="s">
        <v>3852</v>
      </c>
      <c r="L748" s="113" t="s">
        <v>3853</v>
      </c>
    </row>
    <row r="749" hidden="1">
      <c r="C749" s="119"/>
      <c r="D749" s="119"/>
      <c r="E749" s="119"/>
      <c r="F749" s="110">
        <v>437.0</v>
      </c>
      <c r="G749" s="113" t="str">
        <f>IFERROR(__xludf.DUMMYFUNCTION("TRIM(REGEXREPLACE(C749, ""[0-9]+[a-f]?\."", """"))"),"")</f>
        <v/>
      </c>
      <c r="H749" s="113" t="str">
        <f>IFERROR(__xludf.DUMMYFUNCTION("TRIM(REGEXREPLACE(D749, ""[0-9]+[a-f]?\."", """"))"),"")</f>
        <v/>
      </c>
      <c r="I749" s="113" t="str">
        <f>IFERROR(__xludf.DUMMYFUNCTION("TRIM(REGEXREPLACE(E749, ""[0-9]+[a-f]?\."", """"))"),"")</f>
        <v/>
      </c>
      <c r="J749" s="113" t="s">
        <v>3854</v>
      </c>
      <c r="K749" s="113" t="s">
        <v>3855</v>
      </c>
      <c r="L749" s="113" t="s">
        <v>3856</v>
      </c>
    </row>
    <row r="750" hidden="1">
      <c r="C750" s="119"/>
      <c r="D750" s="119"/>
      <c r="E750" s="119"/>
      <c r="F750" s="110">
        <v>438.0</v>
      </c>
      <c r="G750" s="113" t="str">
        <f>IFERROR(__xludf.DUMMYFUNCTION("TRIM(REGEXREPLACE(C750, ""[0-9]+[a-f]?\."", """"))"),"")</f>
        <v/>
      </c>
      <c r="H750" s="113" t="str">
        <f>IFERROR(__xludf.DUMMYFUNCTION("TRIM(REGEXREPLACE(D750, ""[0-9]+[a-f]?\."", """"))"),"")</f>
        <v/>
      </c>
      <c r="I750" s="113" t="str">
        <f>IFERROR(__xludf.DUMMYFUNCTION("TRIM(REGEXREPLACE(E750, ""[0-9]+[a-f]?\."", """"))"),"")</f>
        <v/>
      </c>
      <c r="J750" s="113" t="s">
        <v>3858</v>
      </c>
      <c r="K750" s="113" t="s">
        <v>3859</v>
      </c>
      <c r="L750" s="113" t="s">
        <v>3861</v>
      </c>
    </row>
    <row r="751" hidden="1">
      <c r="C751" s="119"/>
      <c r="D751" s="119"/>
      <c r="E751" s="119"/>
      <c r="F751" s="110">
        <v>439.0</v>
      </c>
      <c r="G751" s="113" t="str">
        <f>IFERROR(__xludf.DUMMYFUNCTION("TRIM(REGEXREPLACE(C751, ""[0-9]+[a-f]?\."", """"))"),"")</f>
        <v/>
      </c>
      <c r="H751" s="113" t="str">
        <f>IFERROR(__xludf.DUMMYFUNCTION("TRIM(REGEXREPLACE(D751, ""[0-9]+[a-f]?\."", """"))"),"")</f>
        <v/>
      </c>
      <c r="I751" s="113" t="str">
        <f>IFERROR(__xludf.DUMMYFUNCTION("TRIM(REGEXREPLACE(E751, ""[0-9]+[a-f]?\."", """"))"),"")</f>
        <v/>
      </c>
      <c r="J751" s="113" t="s">
        <v>3863</v>
      </c>
      <c r="K751" s="113" t="s">
        <v>3864</v>
      </c>
      <c r="L751" s="113" t="s">
        <v>3865</v>
      </c>
    </row>
    <row r="752" hidden="1">
      <c r="C752" s="119"/>
      <c r="D752" s="119"/>
      <c r="E752" s="119"/>
      <c r="F752" s="110">
        <v>439.0</v>
      </c>
      <c r="G752" s="113" t="str">
        <f>IFERROR(__xludf.DUMMYFUNCTION("TRIM(REGEXREPLACE(C752, ""[0-9]+[a-f]?\."", """"))"),"")</f>
        <v/>
      </c>
      <c r="H752" s="113" t="str">
        <f>IFERROR(__xludf.DUMMYFUNCTION("TRIM(REGEXREPLACE(D752, ""[0-9]+[a-f]?\."", """"))"),"")</f>
        <v/>
      </c>
      <c r="I752" s="113" t="str">
        <f>IFERROR(__xludf.DUMMYFUNCTION("TRIM(REGEXREPLACE(E752, ""[0-9]+[a-f]?\."", """"))"),"")</f>
        <v/>
      </c>
    </row>
    <row r="753" hidden="1">
      <c r="C753" s="119"/>
      <c r="D753" s="119"/>
      <c r="E753" s="119"/>
      <c r="F753" s="110">
        <v>440.0</v>
      </c>
      <c r="G753" s="113" t="str">
        <f>IFERROR(__xludf.DUMMYFUNCTION("TRIM(REGEXREPLACE(C753, ""[0-9]+[a-f]?\."", """"))"),"")</f>
        <v/>
      </c>
      <c r="H753" s="113" t="str">
        <f>IFERROR(__xludf.DUMMYFUNCTION("TRIM(REGEXREPLACE(D753, ""[0-9]+[a-f]?\."", """"))"),"")</f>
        <v/>
      </c>
      <c r="I753" s="113" t="str">
        <f>IFERROR(__xludf.DUMMYFUNCTION("TRIM(REGEXREPLACE(E753, ""[0-9]+[a-f]?\."", """"))"),"")</f>
        <v/>
      </c>
      <c r="J753" s="113" t="s">
        <v>3869</v>
      </c>
      <c r="K753" s="113" t="s">
        <v>3870</v>
      </c>
      <c r="L753" s="113" t="s">
        <v>3871</v>
      </c>
    </row>
    <row r="754" hidden="1"/>
    <row r="755" hidden="1">
      <c r="C755" s="119"/>
      <c r="D755" s="119"/>
      <c r="E755" s="119"/>
      <c r="F755" s="110">
        <v>441.0</v>
      </c>
      <c r="G755" s="113" t="str">
        <f>IFERROR(__xludf.DUMMYFUNCTION("TRIM(REGEXREPLACE(C755, ""[0-9]+[a-f]?\."", """"))"),"")</f>
        <v/>
      </c>
      <c r="H755" s="113" t="str">
        <f>IFERROR(__xludf.DUMMYFUNCTION("TRIM(REGEXREPLACE(D755, ""[0-9]+[a-f]?\."", """"))"),"")</f>
        <v/>
      </c>
      <c r="I755" s="113" t="str">
        <f>IFERROR(__xludf.DUMMYFUNCTION("TRIM(REGEXREPLACE(E755, ""[0-9]+[a-f]?\."", """"))"),"")</f>
        <v/>
      </c>
      <c r="J755" s="113" t="s">
        <v>3872</v>
      </c>
      <c r="K755" s="113" t="s">
        <v>3873</v>
      </c>
      <c r="L755" s="113" t="s">
        <v>3874</v>
      </c>
    </row>
    <row r="756" hidden="1">
      <c r="C756" s="119"/>
      <c r="D756" s="119"/>
      <c r="E756" s="119"/>
      <c r="F756" s="110">
        <v>441.0</v>
      </c>
      <c r="G756" s="113" t="str">
        <f>IFERROR(__xludf.DUMMYFUNCTION("TRIM(REGEXREPLACE(C756, ""[0-9]+[a-f]?\."", """"))"),"")</f>
        <v/>
      </c>
      <c r="H756" s="113" t="str">
        <f>IFERROR(__xludf.DUMMYFUNCTION("TRIM(REGEXREPLACE(D756, ""[0-9]+[a-f]?\."", """"))"),"")</f>
        <v/>
      </c>
      <c r="I756" s="113" t="str">
        <f>IFERROR(__xludf.DUMMYFUNCTION("TRIM(REGEXREPLACE(E756, ""[0-9]+[a-f]?\."", """"))"),"")</f>
        <v/>
      </c>
    </row>
    <row r="757" hidden="1">
      <c r="C757" s="119"/>
      <c r="D757" s="119"/>
      <c r="E757" s="119"/>
      <c r="F757" s="110">
        <v>442.0</v>
      </c>
      <c r="G757" s="113" t="str">
        <f>IFERROR(__xludf.DUMMYFUNCTION("TRIM(REGEXREPLACE(C757, ""[0-9]+[a-f]?\."", """"))"),"")</f>
        <v/>
      </c>
      <c r="H757" s="113" t="str">
        <f>IFERROR(__xludf.DUMMYFUNCTION("TRIM(REGEXREPLACE(D757, ""[0-9]+[a-f]?\."", """"))"),"")</f>
        <v/>
      </c>
      <c r="I757" s="113" t="str">
        <f>IFERROR(__xludf.DUMMYFUNCTION("TRIM(REGEXREPLACE(E757, ""[0-9]+[a-f]?\."", """"))"),"")</f>
        <v/>
      </c>
      <c r="J757" s="113" t="s">
        <v>3877</v>
      </c>
      <c r="K757" s="113" t="s">
        <v>3878</v>
      </c>
      <c r="L757" s="113" t="s">
        <v>3879</v>
      </c>
    </row>
    <row r="758" hidden="1">
      <c r="C758" s="119"/>
      <c r="D758" s="119"/>
      <c r="E758" s="119"/>
      <c r="F758" s="110">
        <v>443.0</v>
      </c>
      <c r="G758" s="113" t="str">
        <f>IFERROR(__xludf.DUMMYFUNCTION("TRIM(REGEXREPLACE(C758, ""[0-9]+[a-f]?\."", """"))"),"")</f>
        <v/>
      </c>
      <c r="H758" s="113" t="str">
        <f>IFERROR(__xludf.DUMMYFUNCTION("TRIM(REGEXREPLACE(D758, ""[0-9]+[a-f]?\."", """"))"),"")</f>
        <v/>
      </c>
      <c r="I758" s="113" t="str">
        <f>IFERROR(__xludf.DUMMYFUNCTION("TRIM(REGEXREPLACE(E758, ""[0-9]+[a-f]?\."", """"))"),"")</f>
        <v/>
      </c>
      <c r="J758" s="113" t="s">
        <v>3880</v>
      </c>
      <c r="K758" s="113" t="s">
        <v>3881</v>
      </c>
      <c r="L758" s="113" t="s">
        <v>3882</v>
      </c>
    </row>
    <row r="759" hidden="1">
      <c r="C759" s="119"/>
      <c r="D759" s="119"/>
      <c r="E759" s="119"/>
      <c r="F759" s="110">
        <v>444.0</v>
      </c>
      <c r="G759" s="113" t="str">
        <f>IFERROR(__xludf.DUMMYFUNCTION("TRIM(REGEXREPLACE(C759, ""[0-9]+[a-f]?\."", """"))"),"")</f>
        <v/>
      </c>
      <c r="H759" s="113" t="str">
        <f>IFERROR(__xludf.DUMMYFUNCTION("TRIM(REGEXREPLACE(D759, ""[0-9]+[a-f]?\."", """"))"),"")</f>
        <v/>
      </c>
      <c r="I759" s="113" t="str">
        <f>IFERROR(__xludf.DUMMYFUNCTION("TRIM(REGEXREPLACE(E759, ""[0-9]+[a-f]?\."", """"))"),"")</f>
        <v/>
      </c>
    </row>
    <row r="760" hidden="1">
      <c r="C760" s="119"/>
      <c r="D760" s="119"/>
      <c r="E760" s="119"/>
      <c r="F760" s="110">
        <v>445.0</v>
      </c>
      <c r="G760" s="113" t="str">
        <f>IFERROR(__xludf.DUMMYFUNCTION("TRIM(REGEXREPLACE(C760, ""[0-9]+[a-f]?\."", """"))"),"")</f>
        <v/>
      </c>
      <c r="H760" s="113" t="str">
        <f>IFERROR(__xludf.DUMMYFUNCTION("TRIM(REGEXREPLACE(D760, ""[0-9]+[a-f]?\."", """"))"),"")</f>
        <v/>
      </c>
      <c r="I760" s="113" t="str">
        <f>IFERROR(__xludf.DUMMYFUNCTION("TRIM(REGEXREPLACE(E760, ""[0-9]+[a-f]?\."", """"))"),"")</f>
        <v/>
      </c>
    </row>
    <row r="761" hidden="1">
      <c r="A761" s="121" t="s">
        <v>115</v>
      </c>
      <c r="B761" s="157" t="s">
        <v>3884</v>
      </c>
      <c r="C761" s="76"/>
      <c r="D761" s="76"/>
      <c r="E761" s="76"/>
      <c r="F761" s="110">
        <v>429.0</v>
      </c>
      <c r="G761" s="113" t="str">
        <f>IFERROR(__xludf.DUMMYFUNCTION("TRIM(REGEXREPLACE(C761, ""[0-9]+[a-f]?\."", """"))"),"")</f>
        <v/>
      </c>
      <c r="H761" s="113" t="str">
        <f>IFERROR(__xludf.DUMMYFUNCTION("TRIM(REGEXREPLACE(D761, ""[0-9]+[a-f]?\."", """"))"),"")</f>
        <v/>
      </c>
      <c r="I761" s="113" t="str">
        <f>IFERROR(__xludf.DUMMYFUNCTION("TRIM(REGEXREPLACE(E761, ""[0-9]+[a-f]?\."", """"))"),"")</f>
        <v/>
      </c>
      <c r="J761" s="113" t="s">
        <v>3887</v>
      </c>
      <c r="K761" s="113" t="s">
        <v>3888</v>
      </c>
      <c r="L761" s="113" t="s">
        <v>3890</v>
      </c>
    </row>
    <row r="762" hidden="1">
      <c r="A762" s="131" t="s">
        <v>115</v>
      </c>
      <c r="B762" s="151" t="s">
        <v>3892</v>
      </c>
      <c r="C762" s="133" t="s">
        <v>3723</v>
      </c>
      <c r="D762" s="133"/>
      <c r="E762" s="133"/>
      <c r="F762" s="110">
        <v>430.0</v>
      </c>
      <c r="G762" s="113" t="str">
        <f>IFERROR(__xludf.DUMMYFUNCTION("TRIM(REGEXREPLACE(C762, ""[0-9]+[a-f]?\."", """"))"),"Country Name")</f>
        <v>Country Name</v>
      </c>
      <c r="H762" s="113" t="str">
        <f>IFERROR(__xludf.DUMMYFUNCTION("TRIM(REGEXREPLACE(D762, ""[0-9]+[a-f]?\."", """"))"),"")</f>
        <v/>
      </c>
      <c r="I762" s="113" t="str">
        <f>IFERROR(__xludf.DUMMYFUNCTION("TRIM(REGEXREPLACE(E762, ""[0-9]+[a-f]?\."", """"))"),"")</f>
        <v/>
      </c>
      <c r="J762" s="113" t="s">
        <v>3893</v>
      </c>
      <c r="K762" s="113" t="s">
        <v>3894</v>
      </c>
      <c r="L762" s="113" t="s">
        <v>3895</v>
      </c>
    </row>
    <row r="763">
      <c r="A763" s="121" t="s">
        <v>3730</v>
      </c>
      <c r="B763" s="122" t="s">
        <v>3896</v>
      </c>
      <c r="C763" s="76" t="s">
        <v>3897</v>
      </c>
      <c r="D763" s="76" t="s">
        <v>3899</v>
      </c>
      <c r="E763" s="76" t="s">
        <v>3901</v>
      </c>
      <c r="F763" s="110">
        <v>250.0</v>
      </c>
      <c r="G763" s="113" t="str">
        <f>IFERROR(__xludf.DUMMYFUNCTION("TRIM(REGEXREPLACE(C763, ""[0-9]+[a-f]?\."", """"))"),"In ${hoh_failed_country}, what was the name of the city or town that ${hoh_roster_name} planned to move to?")</f>
        <v>In ${hoh_failed_country}, what was the name of the city or town that ${hoh_roster_name} planned to move to?</v>
      </c>
      <c r="H763" s="113" t="str">
        <f>IFERROR(__xludf.DUMMYFUNCTION("TRIM(REGEXREPLACE(D763, ""[0-9]+[a-f]?\."", """"))"),"Dans ${hoh_failed_country}, quel était le nom de la ville ou du village vers lequel ${hoh_roster_name} prévoyait de voyager ?")</f>
        <v>Dans ${hoh_failed_country}, quel était le nom de la ville ou du village vers lequel ${hoh_roster_name} prévoyait de voyager ?</v>
      </c>
      <c r="I763" s="113" t="str">
        <f>IFERROR(__xludf.DUMMYFUNCTION("TRIM(REGEXREPLACE(E763, ""[0-9]+[a-f]?\."", """"))"),"A ƙasar ${hoh_failed_country}, menene sunan birni ko garin da sunan ${hoh_roster_name} yayi shirin zuwa?")</f>
        <v>A ƙasar ${hoh_failed_country}, menene sunan birni ko garin da sunan ${hoh_roster_name} yayi shirin zuwa?</v>
      </c>
      <c r="J763" s="113" t="str">
        <f t="shared" ref="J763:J769" si="178">F763 &amp; ". " &amp;G763</f>
        <v>250. In ${hoh_failed_country}, what was the name of the city or town that ${hoh_roster_name} planned to move to?</v>
      </c>
      <c r="K763" s="113" t="str">
        <f t="shared" ref="K763:K769" si="179">F763 &amp; ". " &amp;H763</f>
        <v>250. Dans ${hoh_failed_country}, quel était le nom de la ville ou du village vers lequel ${hoh_roster_name} prévoyait de voyager ?</v>
      </c>
      <c r="L763" s="113" t="str">
        <f t="shared" ref="L763:L769" si="180">F763 &amp; ". " &amp;I763</f>
        <v>250. A ƙasar ${hoh_failed_country}, menene sunan birni ko garin da sunan ${hoh_roster_name} yayi shirin zuwa?</v>
      </c>
    </row>
    <row r="764">
      <c r="A764" s="162" t="s">
        <v>217</v>
      </c>
      <c r="B764" s="257" t="s">
        <v>3908</v>
      </c>
      <c r="C764" s="76" t="s">
        <v>3910</v>
      </c>
      <c r="D764" s="76" t="s">
        <v>3911</v>
      </c>
      <c r="E764" s="76" t="s">
        <v>3912</v>
      </c>
      <c r="F764" s="110">
        <v>251.0</v>
      </c>
      <c r="G764" s="113" t="str">
        <f>IFERROR(__xludf.DUMMYFUNCTION("TRIM(REGEXREPLACE(C764, ""[0-9]+[a-f]?\."", """"))"),"Specify other")</f>
        <v>Specify other</v>
      </c>
      <c r="H764" s="113" t="str">
        <f>IFERROR(__xludf.DUMMYFUNCTION("TRIM(REGEXREPLACE(D764, ""[0-9]+[a-f]?\."", """"))"),"Autre à préciser")</f>
        <v>Autre à préciser</v>
      </c>
      <c r="I764" s="113" t="str">
        <f>IFERROR(__xludf.DUMMYFUNCTION("TRIM(REGEXREPLACE(E764, ""[0-9]+[a-f]?\."", """"))"),"Wani daban a Bayyana")</f>
        <v>Wani daban a Bayyana</v>
      </c>
      <c r="J764" s="113" t="str">
        <f t="shared" si="178"/>
        <v>251. Specify other</v>
      </c>
      <c r="K764" s="113" t="str">
        <f t="shared" si="179"/>
        <v>251. Autre à préciser</v>
      </c>
      <c r="L764" s="113" t="str">
        <f t="shared" si="180"/>
        <v>251. Wani daban a Bayyana</v>
      </c>
    </row>
    <row r="765">
      <c r="A765" s="121" t="s">
        <v>3742</v>
      </c>
      <c r="B765" s="218" t="s">
        <v>3913</v>
      </c>
      <c r="C765" s="76" t="e">
        <v>#N/A</v>
      </c>
      <c r="D765" s="76" t="e">
        <v>#N/A</v>
      </c>
      <c r="E765" s="76" t="e">
        <v>#N/A</v>
      </c>
      <c r="F765" s="110">
        <v>252.0</v>
      </c>
      <c r="G765" s="113" t="str">
        <f>IFERROR(__xludf.DUMMYFUNCTION("TRIM(REGEXREPLACE(C765, ""[0-9]+[a-f]?\."", """"))"),"#N/A")</f>
        <v>#N/A</v>
      </c>
      <c r="H765" s="113" t="str">
        <f>IFERROR(__xludf.DUMMYFUNCTION("TRIM(REGEXREPLACE(D765, ""[0-9]+[a-f]?\."", """"))"),"#N/A")</f>
        <v>#N/A</v>
      </c>
      <c r="I765" s="113" t="str">
        <f>IFERROR(__xludf.DUMMYFUNCTION("TRIM(REGEXREPLACE(E765, ""[0-9]+[a-f]?\."", """"))"),"#N/A")</f>
        <v>#N/A</v>
      </c>
      <c r="J765" s="113" t="str">
        <f t="shared" si="178"/>
        <v>#N/A</v>
      </c>
      <c r="K765" s="113" t="str">
        <f t="shared" si="179"/>
        <v>#N/A</v>
      </c>
      <c r="L765" s="113" t="str">
        <f t="shared" si="180"/>
        <v>#N/A</v>
      </c>
    </row>
    <row r="766">
      <c r="A766" s="239" t="s">
        <v>217</v>
      </c>
      <c r="B766" s="218" t="s">
        <v>3914</v>
      </c>
      <c r="C766" s="76" t="s">
        <v>3915</v>
      </c>
      <c r="D766" s="76" t="s">
        <v>3916</v>
      </c>
      <c r="E766" s="76" t="s">
        <v>3917</v>
      </c>
      <c r="F766" s="110">
        <v>253.0</v>
      </c>
      <c r="G766" s="113" t="str">
        <f>IFERROR(__xludf.DUMMYFUNCTION("TRIM(REGEXREPLACE(C766, ""[0-9]+[a-f]?\."", """"))"),"Specify other")</f>
        <v>Specify other</v>
      </c>
      <c r="H766" s="113" t="str">
        <f>IFERROR(__xludf.DUMMYFUNCTION("TRIM(REGEXREPLACE(D766, ""[0-9]+[a-f]?\."", """"))"),"Autre à préciser")</f>
        <v>Autre à préciser</v>
      </c>
      <c r="I766" s="113" t="str">
        <f>IFERROR(__xludf.DUMMYFUNCTION("TRIM(REGEXREPLACE(E766, ""[0-9]+[a-f]?\."", """"))"),"Wani daban a Bayyana")</f>
        <v>Wani daban a Bayyana</v>
      </c>
      <c r="J766" s="113" t="str">
        <f t="shared" si="178"/>
        <v>253. Specify other</v>
      </c>
      <c r="K766" s="113" t="str">
        <f t="shared" si="179"/>
        <v>253. Autre à préciser</v>
      </c>
      <c r="L766" s="113" t="str">
        <f t="shared" si="180"/>
        <v>253. Wani daban a Bayyana</v>
      </c>
    </row>
    <row r="767">
      <c r="A767" s="170" t="s">
        <v>238</v>
      </c>
      <c r="B767" s="171" t="s">
        <v>3921</v>
      </c>
      <c r="C767" s="76" t="s">
        <v>3923</v>
      </c>
      <c r="D767" s="76" t="s">
        <v>3924</v>
      </c>
      <c r="E767" s="76" t="s">
        <v>3925</v>
      </c>
      <c r="F767" s="110">
        <v>254.0</v>
      </c>
      <c r="G767" s="113" t="str">
        <f>IFERROR(__xludf.DUMMYFUNCTION("TRIM(REGEXREPLACE(C767, ""[0-9]+[a-f]?\."", """"))"),"How many times did they plan to migrate to ${hoh_failed_country} and fail?")</f>
        <v>How many times did they plan to migrate to ${hoh_failed_country} and fail?</v>
      </c>
      <c r="H767" s="113" t="str">
        <f>IFERROR(__xludf.DUMMYFUNCTION("TRIM(REGEXREPLACE(D767, ""[0-9]+[a-f]?\."", """"))"),"Combien de fois ont-ils prévu de migrer vers ${hoh_failed_country} et ont-ils échoué ?")</f>
        <v>Combien de fois ont-ils prévu de migrer vers ${hoh_failed_country} et ont-ils échoué ?</v>
      </c>
      <c r="I767" s="113" t="str">
        <f>IFERROR(__xludf.DUMMYFUNCTION("TRIM(REGEXREPLACE(E767, ""[0-9]+[a-f]?\."", """"))"),"Sau nawa ya shirya zuwa ƙasar ${hoh_failed_country} kuma ya kasa?")</f>
        <v>Sau nawa ya shirya zuwa ƙasar ${hoh_failed_country} kuma ya kasa?</v>
      </c>
      <c r="J767" s="113" t="str">
        <f t="shared" si="178"/>
        <v>254. How many times did they plan to migrate to ${hoh_failed_country} and fail?</v>
      </c>
      <c r="K767" s="113" t="str">
        <f t="shared" si="179"/>
        <v>254. Combien de fois ont-ils prévu de migrer vers ${hoh_failed_country} et ont-ils échoué ?</v>
      </c>
      <c r="L767" s="113" t="str">
        <f t="shared" si="180"/>
        <v>254. Sau nawa ya shirya zuwa ƙasar ${hoh_failed_country} kuma ya kasa?</v>
      </c>
    </row>
    <row r="768">
      <c r="A768" s="114" t="s">
        <v>3929</v>
      </c>
      <c r="B768" s="165" t="s">
        <v>3930</v>
      </c>
      <c r="C768" s="76" t="s">
        <v>3931</v>
      </c>
      <c r="D768" s="76" t="s">
        <v>3932</v>
      </c>
      <c r="E768" s="76" t="s">
        <v>3933</v>
      </c>
      <c r="F768" s="110">
        <v>255.0</v>
      </c>
      <c r="G768" s="113" t="str">
        <f>IFERROR(__xludf.DUMMYFUNCTION("TRIM(REGEXREPLACE(C768, ""[0-9]+[a-f]?\."", """"))"),"Why did they change their plans?")</f>
        <v>Why did they change their plans?</v>
      </c>
      <c r="H768" s="113" t="str">
        <f>IFERROR(__xludf.DUMMYFUNCTION("TRIM(REGEXREPLACE(D768, ""[0-9]+[a-f]?\."", """"))"),"Pourquoi a-t-il changé son plan?")</f>
        <v>Pourquoi a-t-il changé son plan?</v>
      </c>
      <c r="I768" s="113" t="str">
        <f>IFERROR(__xludf.DUMMYFUNCTION("TRIM(REGEXREPLACE(E768, ""[0-9]+[a-f]?\."", """"))"),"Me yasa ya fasa tafiyar?")</f>
        <v>Me yasa ya fasa tafiyar?</v>
      </c>
      <c r="J768" s="113" t="str">
        <f t="shared" si="178"/>
        <v>255. Why did they change their plans?</v>
      </c>
      <c r="K768" s="113" t="str">
        <f t="shared" si="179"/>
        <v>255. Pourquoi a-t-il changé son plan?</v>
      </c>
      <c r="L768" s="113" t="str">
        <f t="shared" si="180"/>
        <v>255. Me yasa ya fasa tafiyar?</v>
      </c>
    </row>
    <row r="769">
      <c r="A769" s="162" t="s">
        <v>217</v>
      </c>
      <c r="B769" s="166" t="s">
        <v>3940</v>
      </c>
      <c r="C769" s="76" t="s">
        <v>3941</v>
      </c>
      <c r="D769" s="76" t="s">
        <v>3942</v>
      </c>
      <c r="E769" s="76" t="s">
        <v>3943</v>
      </c>
      <c r="F769" s="110">
        <v>256.0</v>
      </c>
      <c r="G769" s="113" t="str">
        <f>IFERROR(__xludf.DUMMYFUNCTION("TRIM(REGEXREPLACE(C769, ""[0-9]+[a-f]?\."", """"))"),"Specify other reason")</f>
        <v>Specify other reason</v>
      </c>
      <c r="H769" s="113" t="str">
        <f>IFERROR(__xludf.DUMMYFUNCTION("TRIM(REGEXREPLACE(D769, ""[0-9]+[a-f]?\."", """"))"),"Précisez une autre raison")</f>
        <v>Précisez une autre raison</v>
      </c>
      <c r="I769" s="113" t="str">
        <f>IFERROR(__xludf.DUMMYFUNCTION("TRIM(REGEXREPLACE(E769, ""[0-9]+[a-f]?\."", """"))"),"Baiyana wani dalili daban")</f>
        <v>Baiyana wani dalili daban</v>
      </c>
      <c r="J769" s="113" t="str">
        <f t="shared" si="178"/>
        <v>256. Specify other reason</v>
      </c>
      <c r="K769" s="113" t="str">
        <f t="shared" si="179"/>
        <v>256. Précisez une autre raison</v>
      </c>
      <c r="L769" s="113" t="str">
        <f t="shared" si="180"/>
        <v>256. Baiyana wani dalili daban</v>
      </c>
    </row>
    <row r="770" hidden="1">
      <c r="A770" s="121" t="s">
        <v>842</v>
      </c>
      <c r="B770" s="157" t="s">
        <v>3832</v>
      </c>
      <c r="C770" s="76"/>
      <c r="D770" s="76"/>
      <c r="E770" s="76"/>
      <c r="F770" s="110">
        <v>438.0</v>
      </c>
      <c r="G770" s="113" t="str">
        <f>IFERROR(__xludf.DUMMYFUNCTION("TRIM(REGEXREPLACE(C770, ""[0-9]+[a-f]?\."", """"))"),"")</f>
        <v/>
      </c>
      <c r="H770" s="113" t="str">
        <f>IFERROR(__xludf.DUMMYFUNCTION("TRIM(REGEXREPLACE(D770, ""[0-9]+[a-f]?\."", """"))"),"")</f>
        <v/>
      </c>
      <c r="I770" s="113" t="str">
        <f>IFERROR(__xludf.DUMMYFUNCTION("TRIM(REGEXREPLACE(E770, ""[0-9]+[a-f]?\."", """"))"),"")</f>
        <v/>
      </c>
      <c r="J770" s="113" t="s">
        <v>3944</v>
      </c>
      <c r="K770" s="113" t="s">
        <v>3945</v>
      </c>
      <c r="L770" s="113" t="s">
        <v>3946</v>
      </c>
    </row>
    <row r="771" hidden="1">
      <c r="A771" s="256" t="s">
        <v>343</v>
      </c>
      <c r="B771" s="169" t="s">
        <v>3626</v>
      </c>
      <c r="C771" s="169" t="s">
        <v>3627</v>
      </c>
      <c r="D771" s="169"/>
      <c r="E771" s="169"/>
      <c r="F771" s="110">
        <v>439.0</v>
      </c>
      <c r="G771" s="113" t="str">
        <f>IFERROR(__xludf.DUMMYFUNCTION("TRIM(REGEXREPLACE(C771, ""[0-9]+[a-f]?\."", """"))"),"Past Migration")</f>
        <v>Past Migration</v>
      </c>
      <c r="H771" s="113" t="str">
        <f>IFERROR(__xludf.DUMMYFUNCTION("TRIM(REGEXREPLACE(D771, ""[0-9]+[a-f]?\."", """"))"),"")</f>
        <v/>
      </c>
      <c r="I771" s="113" t="str">
        <f>IFERROR(__xludf.DUMMYFUNCTION("TRIM(REGEXREPLACE(E771, ""[0-9]+[a-f]?\."", """"))"),"")</f>
        <v/>
      </c>
      <c r="J771" s="113" t="s">
        <v>3947</v>
      </c>
      <c r="K771" s="113" t="s">
        <v>3948</v>
      </c>
      <c r="L771" s="113" t="s">
        <v>3949</v>
      </c>
    </row>
    <row r="772" hidden="1">
      <c r="A772" s="80" t="s">
        <v>150</v>
      </c>
      <c r="B772" s="81" t="s">
        <v>3950</v>
      </c>
      <c r="C772" s="82"/>
      <c r="D772" s="83"/>
      <c r="E772" s="83"/>
      <c r="F772" s="110">
        <v>440.0</v>
      </c>
      <c r="G772" s="113" t="str">
        <f>IFERROR(__xludf.DUMMYFUNCTION("TRIM(REGEXREPLACE(C772, ""[0-9]+[a-f]?\."", """"))"),"")</f>
        <v/>
      </c>
      <c r="H772" s="113" t="str">
        <f>IFERROR(__xludf.DUMMYFUNCTION("TRIM(REGEXREPLACE(D772, ""[0-9]+[a-f]?\."", """"))"),"")</f>
        <v/>
      </c>
      <c r="I772" s="113" t="str">
        <f>IFERROR(__xludf.DUMMYFUNCTION("TRIM(REGEXREPLACE(E772, ""[0-9]+[a-f]?\."", """"))"),"")</f>
        <v/>
      </c>
      <c r="J772" s="113" t="s">
        <v>3953</v>
      </c>
      <c r="K772" s="113" t="s">
        <v>3955</v>
      </c>
      <c r="L772" s="113" t="s">
        <v>3957</v>
      </c>
    </row>
    <row r="773" hidden="1">
      <c r="A773" s="80" t="s">
        <v>115</v>
      </c>
      <c r="B773" s="81" t="s">
        <v>3958</v>
      </c>
      <c r="C773" s="82"/>
      <c r="D773" s="83"/>
      <c r="E773" s="83"/>
      <c r="F773" s="110">
        <v>441.0</v>
      </c>
      <c r="G773" s="113" t="str">
        <f>IFERROR(__xludf.DUMMYFUNCTION("TRIM(REGEXREPLACE(C773, ""[0-9]+[a-f]?\."", """"))"),"")</f>
        <v/>
      </c>
      <c r="H773" s="113" t="str">
        <f>IFERROR(__xludf.DUMMYFUNCTION("TRIM(REGEXREPLACE(D773, ""[0-9]+[a-f]?\."", """"))"),"")</f>
        <v/>
      </c>
      <c r="I773" s="113" t="str">
        <f>IFERROR(__xludf.DUMMYFUNCTION("TRIM(REGEXREPLACE(E773, ""[0-9]+[a-f]?\."", """"))"),"")</f>
        <v/>
      </c>
      <c r="J773" s="113" t="s">
        <v>3959</v>
      </c>
      <c r="K773" s="113" t="s">
        <v>3960</v>
      </c>
      <c r="L773" s="113" t="s">
        <v>3961</v>
      </c>
    </row>
    <row r="774" hidden="1">
      <c r="C774" s="119"/>
      <c r="D774" s="119"/>
      <c r="E774" s="119"/>
      <c r="F774" s="110">
        <v>454.0</v>
      </c>
      <c r="G774" s="113" t="str">
        <f>IFERROR(__xludf.DUMMYFUNCTION("TRIM(REGEXREPLACE(C774, ""[0-9]+[a-f]?\."", """"))"),"")</f>
        <v/>
      </c>
      <c r="H774" s="113" t="str">
        <f>IFERROR(__xludf.DUMMYFUNCTION("TRIM(REGEXREPLACE(D774, ""[0-9]+[a-f]?\."", """"))"),"")</f>
        <v/>
      </c>
      <c r="I774" s="113" t="str">
        <f>IFERROR(__xludf.DUMMYFUNCTION("TRIM(REGEXREPLACE(E774, ""[0-9]+[a-f]?\."", """"))"),"")</f>
        <v/>
      </c>
      <c r="J774" s="113" t="s">
        <v>3963</v>
      </c>
      <c r="K774" s="113" t="s">
        <v>3965</v>
      </c>
      <c r="L774" s="113" t="s">
        <v>3966</v>
      </c>
    </row>
    <row r="775" hidden="1">
      <c r="A775" s="167" t="s">
        <v>842</v>
      </c>
      <c r="B775" s="169" t="s">
        <v>3245</v>
      </c>
      <c r="C775" s="169" t="s">
        <v>3246</v>
      </c>
      <c r="D775" s="169"/>
      <c r="E775" s="169"/>
      <c r="F775" s="110">
        <v>442.0</v>
      </c>
      <c r="G775" s="113" t="str">
        <f>IFERROR(__xludf.DUMMYFUNCTION("TRIM(REGEXREPLACE(C775, ""[0-9]+[a-f]?\."", """"))"),"Roster")</f>
        <v>Roster</v>
      </c>
      <c r="H775" s="113" t="str">
        <f>IFERROR(__xludf.DUMMYFUNCTION("TRIM(REGEXREPLACE(D775, ""[0-9]+[a-f]?\."", """"))"),"")</f>
        <v/>
      </c>
      <c r="I775" s="113" t="str">
        <f>IFERROR(__xludf.DUMMYFUNCTION("TRIM(REGEXREPLACE(E775, ""[0-9]+[a-f]?\."", """"))"),"")</f>
        <v/>
      </c>
      <c r="J775" s="113" t="s">
        <v>3968</v>
      </c>
      <c r="K775" s="113" t="s">
        <v>3969</v>
      </c>
      <c r="L775" s="113" t="s">
        <v>3970</v>
      </c>
    </row>
    <row r="776" hidden="1">
      <c r="C776" s="119"/>
      <c r="D776" s="119"/>
      <c r="E776" s="119"/>
      <c r="F776" s="110">
        <v>456.0</v>
      </c>
      <c r="G776" s="113" t="str">
        <f>IFERROR(__xludf.DUMMYFUNCTION("TRIM(REGEXREPLACE(C776, ""[0-9]+[a-f]?\."", """"))"),"")</f>
        <v/>
      </c>
      <c r="H776" s="113" t="str">
        <f>IFERROR(__xludf.DUMMYFUNCTION("TRIM(REGEXREPLACE(D776, ""[0-9]+[a-f]?\."", """"))"),"")</f>
        <v/>
      </c>
      <c r="I776" s="113" t="str">
        <f>IFERROR(__xludf.DUMMYFUNCTION("TRIM(REGEXREPLACE(E776, ""[0-9]+[a-f]?\."", """"))"),"")</f>
        <v/>
      </c>
      <c r="J776" s="113" t="s">
        <v>3971</v>
      </c>
      <c r="K776" s="113" t="s">
        <v>3972</v>
      </c>
      <c r="L776" s="113" t="s">
        <v>3973</v>
      </c>
    </row>
    <row r="777" hidden="1">
      <c r="F777" s="110">
        <v>443.0</v>
      </c>
      <c r="G777" s="113" t="str">
        <f>IFERROR(__xludf.DUMMYFUNCTION("TRIM(REGEXREPLACE(C777, ""[0-9]+[a-f]?\."", """"))"),"")</f>
        <v/>
      </c>
      <c r="H777" s="113" t="str">
        <f>IFERROR(__xludf.DUMMYFUNCTION("TRIM(REGEXREPLACE(D777, ""[0-9]+[a-f]?\."", """"))"),"")</f>
        <v/>
      </c>
      <c r="I777" s="113" t="str">
        <f>IFERROR(__xludf.DUMMYFUNCTION("TRIM(REGEXREPLACE(E777, ""[0-9]+[a-f]?\."", """"))"),"")</f>
        <v/>
      </c>
      <c r="J777" s="113" t="s">
        <v>3977</v>
      </c>
      <c r="K777" s="113" t="s">
        <v>3978</v>
      </c>
      <c r="L777" s="113" t="s">
        <v>3979</v>
      </c>
    </row>
    <row r="778" hidden="1">
      <c r="C778" s="119"/>
      <c r="D778" s="119"/>
      <c r="E778" s="119"/>
      <c r="F778" s="110">
        <v>458.0</v>
      </c>
      <c r="G778" s="113" t="str">
        <f>IFERROR(__xludf.DUMMYFUNCTION("TRIM(REGEXREPLACE(C778, ""[0-9]+[a-f]?\."", """"))"),"")</f>
        <v/>
      </c>
      <c r="H778" s="113" t="str">
        <f>IFERROR(__xludf.DUMMYFUNCTION("TRIM(REGEXREPLACE(D778, ""[0-9]+[a-f]?\."", """"))"),"")</f>
        <v/>
      </c>
      <c r="I778" s="113" t="str">
        <f>IFERROR(__xludf.DUMMYFUNCTION("TRIM(REGEXREPLACE(E778, ""[0-9]+[a-f]?\."", """"))"),"")</f>
        <v/>
      </c>
      <c r="J778" s="113" t="s">
        <v>3980</v>
      </c>
      <c r="K778" s="113" t="s">
        <v>3981</v>
      </c>
      <c r="L778" s="113" t="s">
        <v>3982</v>
      </c>
    </row>
    <row r="779" hidden="1">
      <c r="A779" s="131" t="s">
        <v>115</v>
      </c>
      <c r="B779" s="142" t="s">
        <v>3983</v>
      </c>
      <c r="C779" s="133" t="s">
        <v>3984</v>
      </c>
      <c r="D779" s="133" t="s">
        <v>3985</v>
      </c>
      <c r="E779" s="133" t="s">
        <v>3986</v>
      </c>
      <c r="F779" s="110">
        <v>444.0</v>
      </c>
      <c r="G779" s="113" t="str">
        <f>IFERROR(__xludf.DUMMYFUNCTION("TRIM(REGEXREPLACE(C779, ""[0-9]+[a-f]?\."", """"))"),"Members 7+")</f>
        <v>Members 7+</v>
      </c>
      <c r="H779" s="113" t="str">
        <f>IFERROR(__xludf.DUMMYFUNCTION("TRIM(REGEXREPLACE(D779, ""[0-9]+[a-f]?\."", """"))"),"Membres 7+")</f>
        <v>Membres 7+</v>
      </c>
      <c r="I779" s="113" t="str">
        <f>IFERROR(__xludf.DUMMYFUNCTION("TRIM(REGEXREPLACE(E779, ""[0-9]+[a-f]?\."", """"))"),"Membobi 7+")</f>
        <v>Membobi 7+</v>
      </c>
      <c r="J779" s="113" t="s">
        <v>3987</v>
      </c>
      <c r="K779" s="113" t="s">
        <v>3988</v>
      </c>
      <c r="L779" s="113" t="s">
        <v>3989</v>
      </c>
    </row>
    <row r="780" hidden="1">
      <c r="A780" s="131" t="s">
        <v>115</v>
      </c>
      <c r="B780" s="262" t="s">
        <v>3990</v>
      </c>
      <c r="C780" s="133" t="s">
        <v>3991</v>
      </c>
      <c r="D780" s="133"/>
      <c r="E780" s="133"/>
      <c r="F780" s="110">
        <v>445.0</v>
      </c>
      <c r="G780" s="113" t="str">
        <f>IFERROR(__xludf.DUMMYFUNCTION("TRIM(REGEXREPLACE(C780, ""[0-9]+[a-f]?\."", """"))"),"Members Living in HH")</f>
        <v>Members Living in HH</v>
      </c>
      <c r="H780" s="113" t="str">
        <f>IFERROR(__xludf.DUMMYFUNCTION("TRIM(REGEXREPLACE(D780, ""[0-9]+[a-f]?\."", """"))"),"")</f>
        <v/>
      </c>
      <c r="I780" s="113" t="str">
        <f>IFERROR(__xludf.DUMMYFUNCTION("TRIM(REGEXREPLACE(E780, ""[0-9]+[a-f]?\."", """"))"),"")</f>
        <v/>
      </c>
      <c r="J780" s="113" t="s">
        <v>3992</v>
      </c>
      <c r="K780" s="113" t="s">
        <v>3993</v>
      </c>
      <c r="L780" s="113" t="s">
        <v>3994</v>
      </c>
    </row>
    <row r="781" hidden="1">
      <c r="C781" s="119"/>
      <c r="D781" s="119"/>
      <c r="E781" s="119"/>
      <c r="F781" s="110">
        <v>460.0</v>
      </c>
      <c r="G781" s="113" t="str">
        <f>IFERROR(__xludf.DUMMYFUNCTION("TRIM(REGEXREPLACE(C781, ""[0-9]+[a-f]?\."", """"))"),"")</f>
        <v/>
      </c>
      <c r="H781" s="113" t="str">
        <f>IFERROR(__xludf.DUMMYFUNCTION("TRIM(REGEXREPLACE(D781, ""[0-9]+[a-f]?\."", """"))"),"")</f>
        <v/>
      </c>
      <c r="I781" s="113" t="str">
        <f>IFERROR(__xludf.DUMMYFUNCTION("TRIM(REGEXREPLACE(E781, ""[0-9]+[a-f]?\."", """"))"),"")</f>
        <v/>
      </c>
    </row>
    <row r="782" hidden="1">
      <c r="C782" s="119"/>
      <c r="D782" s="119"/>
      <c r="E782" s="119"/>
      <c r="F782" s="110">
        <v>459.0</v>
      </c>
      <c r="G782" s="113" t="str">
        <f>IFERROR(__xludf.DUMMYFUNCTION("TRIM(REGEXREPLACE(C782, ""[0-9]+[a-f]?\."", """"))"),"")</f>
        <v/>
      </c>
      <c r="H782" s="113" t="str">
        <f>IFERROR(__xludf.DUMMYFUNCTION("TRIM(REGEXREPLACE(D782, ""[0-9]+[a-f]?\."", """"))"),"")</f>
        <v/>
      </c>
      <c r="I782" s="113" t="str">
        <f>IFERROR(__xludf.DUMMYFUNCTION("TRIM(REGEXREPLACE(E782, ""[0-9]+[a-f]?\."", """"))"),"")</f>
        <v/>
      </c>
      <c r="J782" s="113" t="s">
        <v>3999</v>
      </c>
      <c r="K782" s="113" t="s">
        <v>4000</v>
      </c>
      <c r="L782" s="113" t="s">
        <v>4001</v>
      </c>
    </row>
    <row r="783" hidden="1">
      <c r="A783" s="131" t="s">
        <v>115</v>
      </c>
      <c r="B783" s="262" t="s">
        <v>4002</v>
      </c>
      <c r="C783" s="204"/>
      <c r="D783" s="97"/>
      <c r="E783" s="97"/>
      <c r="F783" s="110">
        <v>446.0</v>
      </c>
      <c r="G783" s="113" t="str">
        <f>IFERROR(__xludf.DUMMYFUNCTION("TRIM(REGEXREPLACE(C783, ""[0-9]+[a-f]?\."", """"))"),"")</f>
        <v/>
      </c>
      <c r="H783" s="113" t="str">
        <f>IFERROR(__xludf.DUMMYFUNCTION("TRIM(REGEXREPLACE(D783, ""[0-9]+[a-f]?\."", """"))"),"")</f>
        <v/>
      </c>
      <c r="I783" s="113" t="str">
        <f>IFERROR(__xludf.DUMMYFUNCTION("TRIM(REGEXREPLACE(E783, ""[0-9]+[a-f]?\."", """"))"),"")</f>
        <v/>
      </c>
      <c r="J783" s="113" t="s">
        <v>4004</v>
      </c>
      <c r="K783" s="113" t="s">
        <v>4006</v>
      </c>
      <c r="L783" s="113" t="s">
        <v>4007</v>
      </c>
    </row>
    <row r="784" hidden="1">
      <c r="A784" s="256" t="s">
        <v>115</v>
      </c>
      <c r="B784" s="248" t="s">
        <v>4009</v>
      </c>
      <c r="C784" s="204"/>
      <c r="D784" s="97"/>
      <c r="E784" s="97"/>
      <c r="F784" s="110">
        <v>447.0</v>
      </c>
      <c r="G784" s="113" t="str">
        <f>IFERROR(__xludf.DUMMYFUNCTION("TRIM(REGEXREPLACE(C784, ""[0-9]+[a-f]?\."", """"))"),"")</f>
        <v/>
      </c>
      <c r="H784" s="113" t="str">
        <f>IFERROR(__xludf.DUMMYFUNCTION("TRIM(REGEXREPLACE(D784, ""[0-9]+[a-f]?\."", """"))"),"")</f>
        <v/>
      </c>
      <c r="I784" s="113" t="str">
        <f>IFERROR(__xludf.DUMMYFUNCTION("TRIM(REGEXREPLACE(E784, ""[0-9]+[a-f]?\."", """"))"),"")</f>
        <v/>
      </c>
      <c r="J784" s="113" t="s">
        <v>4010</v>
      </c>
      <c r="K784" s="113" t="s">
        <v>4011</v>
      </c>
      <c r="L784" s="113" t="s">
        <v>4012</v>
      </c>
    </row>
    <row r="785" hidden="1">
      <c r="A785" s="256" t="s">
        <v>115</v>
      </c>
      <c r="B785" s="248" t="s">
        <v>4013</v>
      </c>
      <c r="C785" s="204"/>
      <c r="D785" s="97"/>
      <c r="E785" s="97"/>
      <c r="F785" s="110">
        <v>448.0</v>
      </c>
      <c r="G785" s="113" t="str">
        <f>IFERROR(__xludf.DUMMYFUNCTION("TRIM(REGEXREPLACE(C785, ""[0-9]+[a-f]?\."", """"))"),"")</f>
        <v/>
      </c>
      <c r="H785" s="113" t="str">
        <f>IFERROR(__xludf.DUMMYFUNCTION("TRIM(REGEXREPLACE(D785, ""[0-9]+[a-f]?\."", """"))"),"")</f>
        <v/>
      </c>
      <c r="I785" s="113" t="str">
        <f>IFERROR(__xludf.DUMMYFUNCTION("TRIM(REGEXREPLACE(E785, ""[0-9]+[a-f]?\."", """"))"),"")</f>
        <v/>
      </c>
      <c r="J785" s="113" t="s">
        <v>4017</v>
      </c>
      <c r="K785" s="113" t="s">
        <v>4018</v>
      </c>
      <c r="L785" s="113" t="s">
        <v>4020</v>
      </c>
    </row>
    <row r="786" hidden="1">
      <c r="A786" s="256" t="s">
        <v>115</v>
      </c>
      <c r="B786" s="248" t="s">
        <v>4021</v>
      </c>
      <c r="C786" s="204"/>
      <c r="D786" s="97"/>
      <c r="E786" s="97"/>
      <c r="F786" s="110">
        <v>449.0</v>
      </c>
      <c r="G786" s="113" t="str">
        <f>IFERROR(__xludf.DUMMYFUNCTION("TRIM(REGEXREPLACE(C786, ""[0-9]+[a-f]?\."", """"))"),"")</f>
        <v/>
      </c>
      <c r="H786" s="113" t="str">
        <f>IFERROR(__xludf.DUMMYFUNCTION("TRIM(REGEXREPLACE(D786, ""[0-9]+[a-f]?\."", """"))"),"")</f>
        <v/>
      </c>
      <c r="I786" s="113" t="str">
        <f>IFERROR(__xludf.DUMMYFUNCTION("TRIM(REGEXREPLACE(E786, ""[0-9]+[a-f]?\."", """"))"),"")</f>
        <v/>
      </c>
      <c r="J786" s="113" t="s">
        <v>4022</v>
      </c>
      <c r="K786" s="113" t="s">
        <v>4023</v>
      </c>
      <c r="L786" s="113" t="s">
        <v>4024</v>
      </c>
    </row>
    <row r="787" hidden="1">
      <c r="A787" s="256" t="s">
        <v>115</v>
      </c>
      <c r="B787" s="248" t="s">
        <v>4025</v>
      </c>
      <c r="C787" s="204"/>
      <c r="D787" s="97"/>
      <c r="E787" s="97"/>
      <c r="F787" s="110">
        <v>450.0</v>
      </c>
      <c r="G787" s="113" t="str">
        <f>IFERROR(__xludf.DUMMYFUNCTION("TRIM(REGEXREPLACE(C787, ""[0-9]+[a-f]?\."", """"))"),"")</f>
        <v/>
      </c>
      <c r="H787" s="113" t="str">
        <f>IFERROR(__xludf.DUMMYFUNCTION("TRIM(REGEXREPLACE(D787, ""[0-9]+[a-f]?\."", """"))"),"")</f>
        <v/>
      </c>
      <c r="I787" s="113" t="str">
        <f>IFERROR(__xludf.DUMMYFUNCTION("TRIM(REGEXREPLACE(E787, ""[0-9]+[a-f]?\."", """"))"),"")</f>
        <v/>
      </c>
      <c r="J787" s="113" t="s">
        <v>4026</v>
      </c>
      <c r="K787" s="113" t="s">
        <v>4027</v>
      </c>
      <c r="L787" s="113" t="s">
        <v>4028</v>
      </c>
    </row>
    <row r="788" hidden="1">
      <c r="A788" s="203"/>
      <c r="B788" s="203"/>
      <c r="C788" s="204"/>
      <c r="D788" s="97"/>
      <c r="E788" s="97"/>
      <c r="F788" s="110">
        <v>451.0</v>
      </c>
      <c r="G788" s="113" t="str">
        <f>IFERROR(__xludf.DUMMYFUNCTION("TRIM(REGEXREPLACE(C788, ""[0-9]+[a-f]?\."", """"))"),"")</f>
        <v/>
      </c>
      <c r="H788" s="113" t="str">
        <f>IFERROR(__xludf.DUMMYFUNCTION("TRIM(REGEXREPLACE(D788, ""[0-9]+[a-f]?\."", """"))"),"")</f>
        <v/>
      </c>
      <c r="I788" s="113" t="str">
        <f>IFERROR(__xludf.DUMMYFUNCTION("TRIM(REGEXREPLACE(E788, ""[0-9]+[a-f]?\."", """"))"),"")</f>
        <v/>
      </c>
      <c r="J788" s="113" t="s">
        <v>4029</v>
      </c>
      <c r="K788" s="113" t="s">
        <v>4030</v>
      </c>
      <c r="L788" s="113" t="s">
        <v>4031</v>
      </c>
    </row>
    <row r="789" hidden="1">
      <c r="A789" s="150" t="s">
        <v>161</v>
      </c>
      <c r="B789" s="82" t="s">
        <v>4032</v>
      </c>
      <c r="C789" s="82" t="s">
        <v>4033</v>
      </c>
      <c r="D789" s="83"/>
      <c r="E789" s="83"/>
      <c r="F789" s="110">
        <v>452.0</v>
      </c>
      <c r="G789" s="113" t="str">
        <f>IFERROR(__xludf.DUMMYFUNCTION("TRIM(REGEXREPLACE(C789, ""[0-9]+[a-f]?\."", """"))"),"Household Resources")</f>
        <v>Household Resources</v>
      </c>
      <c r="H789" s="113" t="str">
        <f>IFERROR(__xludf.DUMMYFUNCTION("TRIM(REGEXREPLACE(D789, ""[0-9]+[a-f]?\."", """"))"),"")</f>
        <v/>
      </c>
      <c r="I789" s="113" t="str">
        <f>IFERROR(__xludf.DUMMYFUNCTION("TRIM(REGEXREPLACE(E789, ""[0-9]+[a-f]?\."", """"))"),"")</f>
        <v/>
      </c>
      <c r="J789" s="113" t="s">
        <v>4035</v>
      </c>
      <c r="K789" s="113" t="s">
        <v>4036</v>
      </c>
      <c r="L789" s="113" t="s">
        <v>4039</v>
      </c>
    </row>
    <row r="790" hidden="1"/>
    <row r="791">
      <c r="A791" s="152" t="s">
        <v>44</v>
      </c>
      <c r="B791" s="77" t="s">
        <v>4043</v>
      </c>
      <c r="C791" s="76" t="s">
        <v>4045</v>
      </c>
      <c r="D791" s="76" t="s">
        <v>4046</v>
      </c>
      <c r="E791" s="76" t="s">
        <v>4047</v>
      </c>
      <c r="F791" s="110">
        <v>257.0</v>
      </c>
      <c r="G791" s="113" t="str">
        <f>IFERROR(__xludf.DUMMYFUNCTION("TRIM(REGEXREPLACE(C791, ""[0-9]+[a-f]?\."", """"))"),"Now I will ask you about how your household manages its resources.")</f>
        <v>Now I will ask you about how your household manages its resources.</v>
      </c>
      <c r="H791" s="113" t="str">
        <f>IFERROR(__xludf.DUMMYFUNCTION("TRIM(REGEXREPLACE(D791, ""[0-9]+[a-f]?\."", """"))"),"Je vais maintenant vous demander comment votre ménage gère ses ressources.")</f>
        <v>Je vais maintenant vous demander comment votre ménage gère ses ressources.</v>
      </c>
      <c r="I791" s="113" t="str">
        <f>IFERROR(__xludf.DUMMYFUNCTION("TRIM(REGEXREPLACE(E791, ""[0-9]+[a-f]?\."", """"))"),"Yanzu zan tambaye ku yadda gidanku yake sarrafa dukiyoyinshi.")</f>
        <v>Yanzu zan tambaye ku yadda gidanku yake sarrafa dukiyoyinshi.</v>
      </c>
      <c r="J791" s="113" t="str">
        <f t="shared" ref="J791:J792" si="181">F791 &amp; ". " &amp;G791</f>
        <v>257. Now I will ask you about how your household manages its resources.</v>
      </c>
      <c r="K791" s="113" t="str">
        <f t="shared" ref="K791:K792" si="182">F791 &amp; ". " &amp;H791</f>
        <v>257. Je vais maintenant vous demander comment votre ménage gère ses ressources.</v>
      </c>
      <c r="L791" s="113" t="str">
        <f t="shared" ref="L791:L792" si="183">F791 &amp; ". " &amp;I791</f>
        <v>257. Yanzu zan tambaye ku yadda gidanku yake sarrafa dukiyoyinshi.</v>
      </c>
    </row>
    <row r="792">
      <c r="A792" s="114" t="s">
        <v>680</v>
      </c>
      <c r="B792" s="165" t="s">
        <v>4054</v>
      </c>
      <c r="C792" s="76" t="s">
        <v>4056</v>
      </c>
      <c r="D792" s="76" t="s">
        <v>4058</v>
      </c>
      <c r="E792" s="76" t="s">
        <v>4060</v>
      </c>
      <c r="F792" s="110">
        <v>258.0</v>
      </c>
      <c r="G792" s="113" t="str">
        <f>IFERROR(__xludf.DUMMYFUNCTION("TRIM(REGEXREPLACE(C792, ""[0-9]+[a-f]?\."", """"))"),"Do you or another member of the household own this house?")</f>
        <v>Do you or another member of the household own this house?</v>
      </c>
      <c r="H792" s="113" t="str">
        <f>IFERROR(__xludf.DUMMYFUNCTION("TRIM(REGEXREPLACE(D792, ""[0-9]+[a-f]?\."", """"))"),"Est-ce que vous ou un autre membre du ménage êtes propriétaire de cette maison ?")</f>
        <v>Est-ce que vous ou un autre membre du ménage êtes propriétaire de cette maison ?</v>
      </c>
      <c r="I792" s="113" t="str">
        <f>IFERROR(__xludf.DUMMYFUNCTION("TRIM(REGEXREPLACE(E792, ""[0-9]+[a-f]?\."", """"))"),"Shin wannan gidan mallakarku ne kai ko wani dan cikin gidan ?")</f>
        <v>Shin wannan gidan mallakarku ne kai ko wani dan cikin gidan ?</v>
      </c>
      <c r="J792" s="113" t="str">
        <f t="shared" si="181"/>
        <v>258. Do you or another member of the household own this house?</v>
      </c>
      <c r="K792" s="113" t="str">
        <f t="shared" si="182"/>
        <v>258. Est-ce que vous ou un autre membre du ménage êtes propriétaire de cette maison ?</v>
      </c>
      <c r="L792" s="113" t="str">
        <f t="shared" si="183"/>
        <v>258. Shin wannan gidan mallakarku ne kai ko wani dan cikin gidan ?</v>
      </c>
    </row>
    <row r="793" hidden="1">
      <c r="C793" s="119"/>
      <c r="D793" s="119"/>
      <c r="E793" s="119"/>
      <c r="F793" s="110">
        <v>464.0</v>
      </c>
      <c r="G793" s="113" t="str">
        <f>IFERROR(__xludf.DUMMYFUNCTION("TRIM(REGEXREPLACE(C793, ""[0-9]+[a-f]?\."", """"))"),"")</f>
        <v/>
      </c>
      <c r="H793" s="113" t="str">
        <f>IFERROR(__xludf.DUMMYFUNCTION("TRIM(REGEXREPLACE(D793, ""[0-9]+[a-f]?\."", """"))"),"")</f>
        <v/>
      </c>
      <c r="I793" s="113" t="str">
        <f>IFERROR(__xludf.DUMMYFUNCTION("TRIM(REGEXREPLACE(E793, ""[0-9]+[a-f]?\."", """"))"),"")</f>
        <v/>
      </c>
      <c r="J793" s="113" t="s">
        <v>4061</v>
      </c>
      <c r="K793" s="113" t="s">
        <v>4062</v>
      </c>
      <c r="L793" s="113" t="s">
        <v>4063</v>
      </c>
    </row>
    <row r="794" hidden="1"/>
    <row r="795">
      <c r="A795" s="170" t="s">
        <v>238</v>
      </c>
      <c r="B795" s="171" t="s">
        <v>4065</v>
      </c>
      <c r="C795" s="76" t="s">
        <v>4067</v>
      </c>
      <c r="D795" s="76" t="s">
        <v>4069</v>
      </c>
      <c r="E795" s="76" t="s">
        <v>4070</v>
      </c>
      <c r="F795" s="110">
        <v>259.0</v>
      </c>
      <c r="G795" s="113" t="str">
        <f>IFERROR(__xludf.DUMMYFUNCTION("TRIM(REGEXREPLACE(C795, ""[0-9]+[a-f]?\."", """"))"),"What is your best estimate of the value of your home in CFA?")</f>
        <v>What is your best estimate of the value of your home in CFA?</v>
      </c>
      <c r="H795" s="113" t="str">
        <f>IFERROR(__xludf.DUMMYFUNCTION("TRIM(REGEXREPLACE(D795, ""[0-9]+[a-f]?\."", """"))"),"Quelle est votre meilleure estimation de la valeur de votre maison en CFA ?")</f>
        <v>Quelle est votre meilleure estimation de la valeur de votre maison en CFA ?</v>
      </c>
      <c r="I795" s="113" t="str">
        <f>IFERROR(__xludf.DUMMYFUNCTION("TRIM(REGEXREPLACE(E795, ""[0-9]+[a-f]?\."", """"))"),"A ganinka wannan gidan aƙalla ya yi nawa a kudin CFA ?")</f>
        <v>A ganinka wannan gidan aƙalla ya yi nawa a kudin CFA ?</v>
      </c>
      <c r="J795" s="113" t="str">
        <f t="shared" ref="J795:J797" si="184">F795 &amp; ". " &amp;G795</f>
        <v>259. What is your best estimate of the value of your home in CFA?</v>
      </c>
      <c r="K795" s="113" t="str">
        <f t="shared" ref="K795:K797" si="185">F795 &amp; ". " &amp;H795</f>
        <v>259. Quelle est votre meilleure estimation de la valeur de votre maison en CFA ?</v>
      </c>
      <c r="L795" s="113" t="str">
        <f t="shared" ref="L795:L797" si="186">F795 &amp; ". " &amp;I795</f>
        <v>259. A ganinka wannan gidan aƙalla ya yi nawa a kudin CFA ?</v>
      </c>
    </row>
    <row r="796">
      <c r="A796" s="114" t="s">
        <v>4077</v>
      </c>
      <c r="B796" s="165" t="s">
        <v>4078</v>
      </c>
      <c r="C796" s="76" t="s">
        <v>4079</v>
      </c>
      <c r="D796" s="76" t="s">
        <v>4080</v>
      </c>
      <c r="E796" s="76" t="s">
        <v>4081</v>
      </c>
      <c r="F796" s="110">
        <v>260.0</v>
      </c>
      <c r="G796" s="113" t="str">
        <f>IFERROR(__xludf.DUMMYFUNCTION("TRIM(REGEXREPLACE(C796, ""[0-9]+[a-f]?\."", """"))"),"Does your household own the following goods?")</f>
        <v>Does your household own the following goods?</v>
      </c>
      <c r="H796" s="113" t="str">
        <f>IFERROR(__xludf.DUMMYFUNCTION("TRIM(REGEXREPLACE(D796, ""[0-9]+[a-f]?\."", """"))"),"Votre ménage possède-t-il les biens suivants ?")</f>
        <v>Votre ménage possède-t-il les biens suivants ?</v>
      </c>
      <c r="I796" s="113" t="str">
        <f>IFERROR(__xludf.DUMMYFUNCTION("TRIM(REGEXREPLACE(E796, ""[0-9]+[a-f]?\."", """"))"),"Ko gidanku na da kadarori masu zuwa?")</f>
        <v>Ko gidanku na da kadarori masu zuwa?</v>
      </c>
      <c r="J796" s="113" t="str">
        <f t="shared" si="184"/>
        <v>260. Does your household own the following goods?</v>
      </c>
      <c r="K796" s="113" t="str">
        <f t="shared" si="185"/>
        <v>260. Votre ménage possède-t-il les biens suivants ?</v>
      </c>
      <c r="L796" s="113" t="str">
        <f t="shared" si="186"/>
        <v>260. Ko gidanku na da kadarori masu zuwa?</v>
      </c>
    </row>
    <row r="797">
      <c r="A797" s="114" t="s">
        <v>4082</v>
      </c>
      <c r="B797" s="165" t="s">
        <v>4083</v>
      </c>
      <c r="C797" s="76" t="s">
        <v>4084</v>
      </c>
      <c r="D797" s="76" t="s">
        <v>4085</v>
      </c>
      <c r="E797" s="76" t="s">
        <v>4086</v>
      </c>
      <c r="F797" s="110">
        <v>261.0</v>
      </c>
      <c r="G797" s="113" t="str">
        <f>IFERROR(__xludf.DUMMYFUNCTION("TRIM(REGEXREPLACE(C797, ""[0-9]+[a-f]?\."", """"))"),"Does your household own any of the following types of livestock?")</f>
        <v>Does your household own any of the following types of livestock?</v>
      </c>
      <c r="H797" s="113" t="str">
        <f>IFERROR(__xludf.DUMMYFUNCTION("TRIM(REGEXREPLACE(D797, ""[0-9]+[a-f]?\."", """"))"),"Votre ménage possède-t-il l'un des types de bétail suivants ?")</f>
        <v>Votre ménage possède-t-il l'un des types de bétail suivants ?</v>
      </c>
      <c r="I797" s="113" t="str">
        <f>IFERROR(__xludf.DUMMYFUNCTION("TRIM(REGEXREPLACE(E797, ""[0-9]+[a-f]?\."", """"))"),"ko gidanku yana da ɗaya daga cikin irin wadannan dabbobi?")</f>
        <v>ko gidanku yana da ɗaya daga cikin irin wadannan dabbobi?</v>
      </c>
      <c r="J797" s="113" t="str">
        <f t="shared" si="184"/>
        <v>261. Does your household own any of the following types of livestock?</v>
      </c>
      <c r="K797" s="113" t="str">
        <f t="shared" si="185"/>
        <v>261. Votre ménage possède-t-il l'un des types de bétail suivants ?</v>
      </c>
      <c r="L797" s="113" t="str">
        <f t="shared" si="186"/>
        <v>261. ko gidanku yana da ɗaya daga cikin irin wadannan dabbobi?</v>
      </c>
    </row>
    <row r="798" hidden="1">
      <c r="A798" s="131" t="s">
        <v>150</v>
      </c>
      <c r="B798" s="164" t="s">
        <v>4087</v>
      </c>
      <c r="C798" s="133"/>
      <c r="D798" s="133"/>
      <c r="E798" s="133"/>
      <c r="F798" s="110">
        <v>458.0</v>
      </c>
      <c r="G798" s="113" t="str">
        <f>IFERROR(__xludf.DUMMYFUNCTION("TRIM(REGEXREPLACE(C798, ""[0-9]+[a-f]?\."", """"))"),"")</f>
        <v/>
      </c>
      <c r="H798" s="113" t="str">
        <f>IFERROR(__xludf.DUMMYFUNCTION("TRIM(REGEXREPLACE(D798, ""[0-9]+[a-f]?\."", """"))"),"")</f>
        <v/>
      </c>
      <c r="I798" s="113" t="str">
        <f>IFERROR(__xludf.DUMMYFUNCTION("TRIM(REGEXREPLACE(E798, ""[0-9]+[a-f]?\."", """"))"),"")</f>
        <v/>
      </c>
      <c r="J798" s="113" t="s">
        <v>4088</v>
      </c>
      <c r="K798" s="113" t="s">
        <v>4089</v>
      </c>
      <c r="L798" s="113" t="s">
        <v>4090</v>
      </c>
    </row>
    <row r="799" hidden="1">
      <c r="A799" s="167" t="s">
        <v>807</v>
      </c>
      <c r="B799" s="168" t="s">
        <v>4091</v>
      </c>
      <c r="C799" s="168" t="s">
        <v>4092</v>
      </c>
      <c r="D799" s="169" t="s">
        <v>4093</v>
      </c>
      <c r="E799" s="169" t="s">
        <v>4094</v>
      </c>
      <c r="F799" s="110">
        <v>459.0</v>
      </c>
      <c r="G799" s="113" t="str">
        <f>IFERROR(__xludf.DUMMYFUNCTION("TRIM(REGEXREPLACE(C799, ""[0-9]+[a-f]?\."", """"))"),"Assets")</f>
        <v>Assets</v>
      </c>
      <c r="H799" s="113" t="str">
        <f>IFERROR(__xludf.DUMMYFUNCTION("TRIM(REGEXREPLACE(D799, ""[0-9]+[a-f]?\."", """"))"),"Actifs")</f>
        <v>Actifs</v>
      </c>
      <c r="I799" s="113" t="str">
        <f>IFERROR(__xludf.DUMMYFUNCTION("TRIM(REGEXREPLACE(E799, ""[0-9]+[a-f]?\."", """"))"),"Kadara")</f>
        <v>Kadara</v>
      </c>
      <c r="J799" s="113" t="s">
        <v>4095</v>
      </c>
      <c r="K799" s="113" t="s">
        <v>4096</v>
      </c>
      <c r="L799" s="113" t="s">
        <v>4098</v>
      </c>
    </row>
    <row r="800" hidden="1">
      <c r="A800" s="131" t="s">
        <v>115</v>
      </c>
      <c r="B800" s="132" t="s">
        <v>4100</v>
      </c>
      <c r="C800" s="133" t="s">
        <v>4102</v>
      </c>
      <c r="D800" s="133" t="s">
        <v>4104</v>
      </c>
      <c r="E800" s="133" t="s">
        <v>4105</v>
      </c>
      <c r="F800" s="110">
        <v>460.0</v>
      </c>
      <c r="G800" s="113" t="str">
        <f>IFERROR(__xludf.DUMMYFUNCTION("TRIM(REGEXREPLACE(C800, ""[0-9]+[a-f]?\."", """"))"),"Asset Name")</f>
        <v>Asset Name</v>
      </c>
      <c r="H800" s="113" t="str">
        <f>IFERROR(__xludf.DUMMYFUNCTION("TRIM(REGEXREPLACE(D800, ""[0-9]+[a-f]?\."", """"))"),"Nom de l'actif")</f>
        <v>Nom de l'actif</v>
      </c>
      <c r="I800" s="113" t="str">
        <f>IFERROR(__xludf.DUMMYFUNCTION("TRIM(REGEXREPLACE(E800, ""[0-9]+[a-f]?\."", """"))"),"Sunan kadara")</f>
        <v>Sunan kadara</v>
      </c>
      <c r="J800" s="113" t="s">
        <v>4106</v>
      </c>
      <c r="K800" s="113" t="s">
        <v>4107</v>
      </c>
      <c r="L800" s="113" t="s">
        <v>4108</v>
      </c>
    </row>
    <row r="801" hidden="1"/>
    <row r="802" hidden="1"/>
    <row r="803" hidden="1"/>
    <row r="804">
      <c r="A804" s="170" t="s">
        <v>238</v>
      </c>
      <c r="B804" s="171" t="s">
        <v>4109</v>
      </c>
      <c r="C804" s="76" t="s">
        <v>4110</v>
      </c>
      <c r="D804" s="76" t="s">
        <v>4111</v>
      </c>
      <c r="E804" s="76" t="s">
        <v>4112</v>
      </c>
      <c r="F804" s="110">
        <v>262.0</v>
      </c>
      <c r="G804" s="113" t="str">
        <f>IFERROR(__xludf.DUMMYFUNCTION("TRIM(REGEXREPLACE(C804, ""[0-9]+[a-f]?\."", """"))"),"How many ${hoh_livestock_name} does your household own?")</f>
        <v>How many ${hoh_livestock_name} does your household own?</v>
      </c>
      <c r="H804" s="113" t="str">
        <f>IFERROR(__xludf.DUMMYFUNCTION("TRIM(REGEXREPLACE(D804, ""[0-9]+[a-f]?\."", """"))"),"Combien de ${hoh_livestock_name} votre ménage possède-t-il ?")</f>
        <v>Combien de ${hoh_livestock_name} votre ménage possède-t-il ?</v>
      </c>
      <c r="I804" s="113" t="str">
        <f>IFERROR(__xludf.DUMMYFUNCTION("TRIM(REGEXREPLACE(E804, ""[0-9]+[a-f]?\."", """"))"),"${hoh_livestock_name} Nawa gidan ku ya mallaka ?")</f>
        <v>${hoh_livestock_name} Nawa gidan ku ya mallaka ?</v>
      </c>
      <c r="J804" s="113" t="str">
        <f t="shared" ref="J804:J805" si="187">F804 &amp; ". " &amp;G804</f>
        <v>262. How many ${hoh_livestock_name} does your household own?</v>
      </c>
      <c r="K804" s="113" t="str">
        <f t="shared" ref="K804:K805" si="188">F804 &amp; ". " &amp;H804</f>
        <v>262. Combien de ${hoh_livestock_name} votre ménage possède-t-il ?</v>
      </c>
      <c r="L804" s="113" t="str">
        <f t="shared" ref="L804:L805" si="189">F804 &amp; ". " &amp;I804</f>
        <v>262. ${hoh_livestock_name} Nawa gidan ku ya mallaka ?</v>
      </c>
    </row>
    <row r="805">
      <c r="A805" s="170" t="s">
        <v>238</v>
      </c>
      <c r="B805" s="171" t="s">
        <v>4120</v>
      </c>
      <c r="C805" s="76" t="s">
        <v>4122</v>
      </c>
      <c r="D805" s="76" t="s">
        <v>4124</v>
      </c>
      <c r="E805" s="76" t="s">
        <v>4125</v>
      </c>
      <c r="F805" s="110">
        <v>263.0</v>
      </c>
      <c r="G805" s="113" t="str">
        <f>IFERROR(__xludf.DUMMYFUNCTION("TRIM(REGEXREPLACE(C805, ""[0-9]+[a-f]?\."", """"))"),"How much is ${hoh_livestock_name} worth in CFA?")</f>
        <v>How much is ${hoh_livestock_name} worth in CFA?</v>
      </c>
      <c r="H805" s="113" t="str">
        <f>IFERROR(__xludf.DUMMYFUNCTION("TRIM(REGEXREPLACE(D805, ""[0-9]+[a-f]?\."", """"))"),"Combien vaut ${hoh_livestock_name} en CFA ?")</f>
        <v>Combien vaut ${hoh_livestock_name} en CFA ?</v>
      </c>
      <c r="I805" s="113" t="str">
        <f>IFERROR(__xludf.DUMMYFUNCTION("TRIM(REGEXREPLACE(E805, ""[0-9]+[a-f]?\."", """"))"),"Nawa ne kuɗin ${hoh_livestock_name} a sefa?")</f>
        <v>Nawa ne kuɗin ${hoh_livestock_name} a sefa?</v>
      </c>
      <c r="J805" s="113" t="str">
        <f t="shared" si="187"/>
        <v>263. How much is ${hoh_livestock_name} worth in CFA?</v>
      </c>
      <c r="K805" s="113" t="str">
        <f t="shared" si="188"/>
        <v>263. Combien vaut ${hoh_livestock_name} en CFA ?</v>
      </c>
      <c r="L805" s="113" t="str">
        <f t="shared" si="189"/>
        <v>263. Nawa ne kuɗin ${hoh_livestock_name} a sefa?</v>
      </c>
    </row>
    <row r="806" hidden="1">
      <c r="A806" s="167" t="s">
        <v>842</v>
      </c>
      <c r="B806" s="169" t="s">
        <v>4091</v>
      </c>
      <c r="C806" s="169" t="s">
        <v>4092</v>
      </c>
      <c r="D806" s="169" t="s">
        <v>4093</v>
      </c>
      <c r="E806" s="169" t="s">
        <v>4094</v>
      </c>
      <c r="F806" s="110">
        <v>463.0</v>
      </c>
      <c r="G806" s="113" t="str">
        <f>IFERROR(__xludf.DUMMYFUNCTION("TRIM(REGEXREPLACE(C806, ""[0-9]+[a-f]?\."", """"))"),"Assets")</f>
        <v>Assets</v>
      </c>
      <c r="H806" s="113" t="str">
        <f>IFERROR(__xludf.DUMMYFUNCTION("TRIM(REGEXREPLACE(D806, ""[0-9]+[a-f]?\."", """"))"),"Actifs")</f>
        <v>Actifs</v>
      </c>
      <c r="I806" s="113" t="str">
        <f>IFERROR(__xludf.DUMMYFUNCTION("TRIM(REGEXREPLACE(E806, ""[0-9]+[a-f]?\."", """"))"),"Kadara")</f>
        <v>Kadara</v>
      </c>
      <c r="J806" s="113" t="s">
        <v>4132</v>
      </c>
      <c r="K806" s="113" t="s">
        <v>4133</v>
      </c>
      <c r="L806" s="113" t="s">
        <v>4134</v>
      </c>
    </row>
    <row r="807" hidden="1">
      <c r="A807" s="131" t="s">
        <v>150</v>
      </c>
      <c r="B807" s="164" t="s">
        <v>4135</v>
      </c>
      <c r="C807" s="133"/>
      <c r="D807" s="133"/>
      <c r="E807" s="133"/>
      <c r="F807" s="110">
        <v>464.0</v>
      </c>
      <c r="G807" s="113" t="str">
        <f>IFERROR(__xludf.DUMMYFUNCTION("TRIM(REGEXREPLACE(C807, ""[0-9]+[a-f]?\."", """"))"),"")</f>
        <v/>
      </c>
      <c r="H807" s="113" t="str">
        <f>IFERROR(__xludf.DUMMYFUNCTION("TRIM(REGEXREPLACE(D807, ""[0-9]+[a-f]?\."", """"))"),"")</f>
        <v/>
      </c>
      <c r="I807" s="113" t="str">
        <f>IFERROR(__xludf.DUMMYFUNCTION("TRIM(REGEXREPLACE(E807, ""[0-9]+[a-f]?\."", """"))"),"")</f>
        <v/>
      </c>
      <c r="J807" s="113" t="s">
        <v>4136</v>
      </c>
      <c r="K807" s="113" t="s">
        <v>4137</v>
      </c>
      <c r="L807" s="113" t="s">
        <v>4138</v>
      </c>
    </row>
    <row r="808" hidden="1">
      <c r="A808" s="80" t="s">
        <v>115</v>
      </c>
      <c r="B808" s="81" t="s">
        <v>4139</v>
      </c>
      <c r="C808" s="82"/>
      <c r="D808" s="83"/>
      <c r="E808" s="83"/>
      <c r="F808" s="110">
        <v>465.0</v>
      </c>
      <c r="G808" s="113" t="str">
        <f>IFERROR(__xludf.DUMMYFUNCTION("TRIM(REGEXREPLACE(C808, ""[0-9]+[a-f]?\."", """"))"),"")</f>
        <v/>
      </c>
      <c r="H808" s="113" t="str">
        <f>IFERROR(__xludf.DUMMYFUNCTION("TRIM(REGEXREPLACE(D808, ""[0-9]+[a-f]?\."", """"))"),"")</f>
        <v/>
      </c>
      <c r="I808" s="113" t="str">
        <f>IFERROR(__xludf.DUMMYFUNCTION("TRIM(REGEXREPLACE(E808, ""[0-9]+[a-f]?\."", """"))"),"")</f>
        <v/>
      </c>
      <c r="J808" s="113" t="s">
        <v>4143</v>
      </c>
      <c r="K808" s="113" t="s">
        <v>4145</v>
      </c>
      <c r="L808" s="113" t="s">
        <v>4146</v>
      </c>
    </row>
    <row r="809" hidden="1"/>
    <row r="810" hidden="1"/>
    <row r="811" hidden="1"/>
    <row r="812" hidden="1"/>
    <row r="813" hidden="1"/>
    <row r="814" hidden="1"/>
    <row r="815" hidden="1">
      <c r="A815" s="131" t="s">
        <v>150</v>
      </c>
      <c r="B815" s="164" t="s">
        <v>4149</v>
      </c>
      <c r="C815" s="133"/>
      <c r="D815" s="133"/>
      <c r="E815" s="133"/>
      <c r="F815" s="110">
        <v>466.0</v>
      </c>
      <c r="G815" s="113" t="str">
        <f>IFERROR(__xludf.DUMMYFUNCTION("TRIM(REGEXREPLACE(C815, ""[0-9]+[a-f]?\."", """"))"),"")</f>
        <v/>
      </c>
      <c r="H815" s="113" t="str">
        <f>IFERROR(__xludf.DUMMYFUNCTION("TRIM(REGEXREPLACE(D815, ""[0-9]+[a-f]?\."", """"))"),"")</f>
        <v/>
      </c>
      <c r="I815" s="113" t="str">
        <f>IFERROR(__xludf.DUMMYFUNCTION("TRIM(REGEXREPLACE(E815, ""[0-9]+[a-f]?\."", """"))"),"")</f>
        <v/>
      </c>
      <c r="J815" s="113" t="s">
        <v>4153</v>
      </c>
      <c r="K815" s="113" t="s">
        <v>4154</v>
      </c>
      <c r="L815" s="113" t="s">
        <v>4155</v>
      </c>
    </row>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c r="C1001" s="119"/>
    </row>
    <row r="1002" hidden="1">
      <c r="C1002" s="119"/>
    </row>
    <row r="1003" hidden="1">
      <c r="C1003" s="119"/>
    </row>
    <row r="1004" hidden="1">
      <c r="C1004" s="119"/>
    </row>
    <row r="1005" hidden="1">
      <c r="C1005" s="119"/>
    </row>
    <row r="1006" hidden="1">
      <c r="C1006" s="119"/>
    </row>
    <row r="1007" hidden="1">
      <c r="C1007" s="119"/>
    </row>
    <row r="1008" hidden="1">
      <c r="C1008" s="119"/>
    </row>
    <row r="1009" hidden="1">
      <c r="C1009" s="119"/>
    </row>
    <row r="1010" hidden="1">
      <c r="C1010" s="119"/>
    </row>
    <row r="1011" hidden="1">
      <c r="C1011" s="119"/>
    </row>
    <row r="1012" hidden="1">
      <c r="C1012" s="119"/>
    </row>
    <row r="1013" hidden="1">
      <c r="C1013" s="119"/>
    </row>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c r="A2001" s="152" t="s">
        <v>44</v>
      </c>
      <c r="B2001" s="77" t="s">
        <v>4206</v>
      </c>
      <c r="C2001" s="76" t="s">
        <v>4207</v>
      </c>
      <c r="D2001" s="76" t="s">
        <v>4208</v>
      </c>
      <c r="E2001" s="76" t="s">
        <v>4209</v>
      </c>
      <c r="F2001" s="110">
        <v>264.0</v>
      </c>
      <c r="G2001" s="113" t="str">
        <f>IFERROR(__xludf.DUMMYFUNCTION("TRIM(REGEXREPLACE(C2001,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2001" s="113" t="str">
        <f>IFERROR(__xludf.DUMMYFUNCTION("TRIM(REGEXREPLACE(D2001, ""[0-9]+[a-f]?\."", """"))"),"Maintenant, nous allons parler des activités agricoles et d'élevage de votre ménage.
 Commençons par la dernière saison agricole")</f>
        <v>Maintenant, nous allons parler des activités agricoles et d'élevage de votre ménage.
 Commençons par la dernière saison agricole</v>
      </c>
      <c r="I2001" s="113" t="str">
        <f>IFERROR(__xludf.DUMMYFUNCTION("TRIM(REGEXREPLACE(E2001, ""[0-9]+[a-f]?\."", """"))"),"Yanzu za mu yi hira bisa aikin noma da kiwo na gidanku.")</f>
        <v>Yanzu za mu yi hira bisa aikin noma da kiwo na gidanku.</v>
      </c>
      <c r="J2001" s="113" t="str">
        <f t="shared" ref="J2001:J2007" si="190">F2001 &amp; ". " &amp;G2001</f>
        <v>264. Now we'll talk about your households' agricultural and and animal husbandry activities. 
 Let's starting with the most recent agricultural season</v>
      </c>
      <c r="K2001" s="113" t="str">
        <f t="shared" ref="K2001:K2007" si="191">F2001 &amp; ". " &amp;H2001</f>
        <v>264. Maintenant, nous allons parler des activités agricoles et d'élevage de votre ménage.
 Commençons par la dernière saison agricole</v>
      </c>
      <c r="L2001" s="113" t="str">
        <f t="shared" ref="L2001:L2007" si="192">F2001 &amp; ". " &amp;I2001</f>
        <v>264. Yanzu za mu yi hira bisa aikin noma da kiwo na gidanku.</v>
      </c>
    </row>
    <row r="2002">
      <c r="A2002" s="264" t="s">
        <v>256</v>
      </c>
      <c r="B2002" s="265" t="s">
        <v>4218</v>
      </c>
      <c r="C2002" s="76" t="s">
        <v>4221</v>
      </c>
      <c r="D2002" s="76" t="s">
        <v>4222</v>
      </c>
      <c r="E2002" s="76" t="s">
        <v>4223</v>
      </c>
      <c r="F2002" s="110">
        <v>265.0</v>
      </c>
      <c r="G2002" s="113" t="str">
        <f>IFERROR(__xludf.DUMMYFUNCTION("TRIM(REGEXREPLACE(C2002,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2002" s="113" t="str">
        <f>IFERROR(__xludf.DUMMYFUNCTION("TRIM(REGEXREPLACE(D2002,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2002" s="113" t="str">
        <f>IFERROR(__xludf.DUMMYFUNCTION("TRIM(REGEXREPLACE(E2002, ""[0-9]+[a-f]?\."", """"))"),"A ganinka da gonakan da kuka mallaka da na haya da na aro wanda kuka noma a bana sun kai eka nawa?")</f>
        <v>A ganinka da gonakan da kuka mallaka da na haya da na aro wanda kuka noma a bana sun kai eka nawa?</v>
      </c>
      <c r="J2002" s="113" t="str">
        <f t="shared" si="190"/>
        <v>265. Thinking of all the agricultural land your household owned, rented or and had access to during the last agricultural season, please estimate its total size in hectres</v>
      </c>
      <c r="K2002" s="113" t="str">
        <f t="shared" si="191"/>
        <v>265. En pensant à toutes les terres agricoles que votre ménage possédait, louait ou auxquelles il avait accès au cours de la dernière saison agricole, veuillez estimer leur superficie totale en hectares</v>
      </c>
      <c r="L2002" s="113" t="str">
        <f t="shared" si="192"/>
        <v>265. A ganinka da gonakan da kuka mallaka da na haya da na aro wanda kuka noma a bana sun kai eka nawa?</v>
      </c>
    </row>
    <row r="2003">
      <c r="A2003" s="264" t="s">
        <v>256</v>
      </c>
      <c r="B2003" s="265" t="s">
        <v>4228</v>
      </c>
      <c r="C2003" s="76" t="s">
        <v>4230</v>
      </c>
      <c r="D2003" s="76" t="s">
        <v>4231</v>
      </c>
      <c r="E2003" s="76" t="s">
        <v>4233</v>
      </c>
      <c r="F2003" s="110">
        <v>266.0</v>
      </c>
      <c r="G2003" s="113" t="str">
        <f>IFERROR(__xludf.DUMMYFUNCTION("TRIM(REGEXREPLACE(C2003, ""[0-9]+[a-f]?\."", """"))"),"How much of this land (in hectares) do you or another member of your household own?")</f>
        <v>How much of this land (in hectares) do you or another member of your household own?</v>
      </c>
      <c r="H2003" s="113" t="str">
        <f>IFERROR(__xludf.DUMMYFUNCTION("TRIM(REGEXREPLACE(D2003, ""[0-9]+[a-f]?\."", """"))"),"Quelle superficie de cette terre (en hectares) vous ou un autre membre de votre ménage possédez?")</f>
        <v>Quelle superficie de cette terre (en hectares) vous ou un autre membre de votre ménage possédez?</v>
      </c>
      <c r="I2003" s="113" t="str">
        <f>IFERROR(__xludf.DUMMYFUNCTION("TRIM(REGEXREPLACE(E2003, ""[0-9]+[a-f]?\."", """"))"),"Eka nawa ne mallakinku cikin wadannan gonakin, ku ko wani ɗan gidanku?")</f>
        <v>Eka nawa ne mallakinku cikin wadannan gonakin, ku ko wani ɗan gidanku?</v>
      </c>
      <c r="J2003" s="113" t="str">
        <f t="shared" si="190"/>
        <v>266. How much of this land (in hectares) do you or another member of your household own?</v>
      </c>
      <c r="K2003" s="113" t="str">
        <f t="shared" si="191"/>
        <v>266. Quelle superficie de cette terre (en hectares) vous ou un autre membre de votre ménage possédez?</v>
      </c>
      <c r="L2003" s="113" t="str">
        <f t="shared" si="192"/>
        <v>266. Eka nawa ne mallakinku cikin wadannan gonakin, ku ko wani ɗan gidanku?</v>
      </c>
    </row>
    <row r="2004">
      <c r="A2004" s="264" t="s">
        <v>256</v>
      </c>
      <c r="B2004" s="265" t="s">
        <v>4234</v>
      </c>
      <c r="C2004" s="76" t="s">
        <v>4235</v>
      </c>
      <c r="D2004" s="76" t="s">
        <v>4236</v>
      </c>
      <c r="E2004" s="76" t="s">
        <v>4237</v>
      </c>
      <c r="F2004" s="110">
        <v>267.0</v>
      </c>
      <c r="G2004" s="113" t="str">
        <f>IFERROR(__xludf.DUMMYFUNCTION("TRIM(REGEXREPLACE(C2004, ""[0-9]+[a-f]?\."", """"))"),"How much of this land, if any have you sold in the past year?")</f>
        <v>How much of this land, if any have you sold in the past year?</v>
      </c>
      <c r="H2004" s="113" t="str">
        <f>IFERROR(__xludf.DUMMYFUNCTION("TRIM(REGEXREPLACE(D2004, ""[0-9]+[a-f]?\."", """"))"),"Quelle superficie de ce terrain, si c'est déjà arrivé, avez-vous vendu au cours de l'année écoulée ?")</f>
        <v>Quelle superficie de ce terrain, si c'est déjà arrivé, avez-vous vendu au cours de l'année écoulée ?</v>
      </c>
      <c r="I2004" s="113" t="str">
        <f>IFERROR(__xludf.DUMMYFUNCTION("TRIM(REGEXREPLACE(E2004, ""[0-9]+[a-f]?\."", """"))"),"Eka nawa ne kuka saida, idan ya taɓa faruwa, a cikin shekarar da ta gabata?")</f>
        <v>Eka nawa ne kuka saida, idan ya taɓa faruwa, a cikin shekarar da ta gabata?</v>
      </c>
      <c r="J2004" s="113" t="str">
        <f t="shared" si="190"/>
        <v>267. How much of this land, if any have you sold in the past year?</v>
      </c>
      <c r="K2004" s="113" t="str">
        <f t="shared" si="191"/>
        <v>267. Quelle superficie de ce terrain, si c'est déjà arrivé, avez-vous vendu au cours de l'année écoulée ?</v>
      </c>
      <c r="L2004" s="113" t="str">
        <f t="shared" si="192"/>
        <v>267. Eka nawa ne kuka saida, idan ya taɓa faruwa, a cikin shekarar da ta gabata?</v>
      </c>
    </row>
    <row r="2005">
      <c r="A2005" s="264" t="s">
        <v>256</v>
      </c>
      <c r="B2005" s="265" t="s">
        <v>4241</v>
      </c>
      <c r="C2005" s="76" t="s">
        <v>4242</v>
      </c>
      <c r="D2005" s="76" t="s">
        <v>4243</v>
      </c>
      <c r="E2005" s="76" t="s">
        <v>4244</v>
      </c>
      <c r="F2005" s="110">
        <v>268.0</v>
      </c>
      <c r="G2005" s="113" t="str">
        <f>IFERROR(__xludf.DUMMYFUNCTION("TRIM(REGEXREPLACE(C2005, ""[0-9]+[a-f]?\."", """"))"),"How much of this land, if any have you purchased in the past year?")</f>
        <v>How much of this land, if any have you purchased in the past year?</v>
      </c>
      <c r="H2005" s="113" t="str">
        <f>IFERROR(__xludf.DUMMYFUNCTION("TRIM(REGEXREPLACE(D2005, ""[0-9]+[a-f]?\."", """"))"),"Quelle superficie de ce terrain, si c'est déjà arrivé, avez-vous acheté au cours de la dernière année ?")</f>
        <v>Quelle superficie de ce terrain, si c'est déjà arrivé, avez-vous acheté au cours de la dernière année ?</v>
      </c>
      <c r="I2005" s="113" t="str">
        <f>IFERROR(__xludf.DUMMYFUNCTION("TRIM(REGEXREPLACE(E2005, ""[0-9]+[a-f]?\."", """"))"),"Eka nawa ne kuka saye, idan ya faru, a cikin shekarar da ta gabata?")</f>
        <v>Eka nawa ne kuka saye, idan ya faru, a cikin shekarar da ta gabata?</v>
      </c>
      <c r="J2005" s="113" t="str">
        <f t="shared" si="190"/>
        <v>268. How much of this land, if any have you purchased in the past year?</v>
      </c>
      <c r="K2005" s="113" t="str">
        <f t="shared" si="191"/>
        <v>268. Quelle superficie de ce terrain, si c'est déjà arrivé, avez-vous acheté au cours de la dernière année ?</v>
      </c>
      <c r="L2005" s="113" t="str">
        <f t="shared" si="192"/>
        <v>268. Eka nawa ne kuka saye, idan ya faru, a cikin shekarar da ta gabata?</v>
      </c>
    </row>
    <row r="2006">
      <c r="A2006" s="264" t="s">
        <v>256</v>
      </c>
      <c r="B2006" s="265" t="s">
        <v>4251</v>
      </c>
      <c r="C2006" s="76" t="s">
        <v>4252</v>
      </c>
      <c r="D2006" s="76" t="s">
        <v>4253</v>
      </c>
      <c r="E2006" s="76" t="s">
        <v>4254</v>
      </c>
      <c r="F2006" s="110">
        <v>269.0</v>
      </c>
      <c r="G2006" s="113" t="str">
        <f>IFERROR(__xludf.DUMMYFUNCTION("TRIM(REGEXREPLACE(C2006, ""[0-9]+[a-f]?\."", """"))"),"How much of this land (in hectares) did you rent during the last agricultural season?")</f>
        <v>How much of this land (in hectares) did you rent during the last agricultural season?</v>
      </c>
      <c r="H2006" s="113" t="str">
        <f>IFERROR(__xludf.DUMMYFUNCTION("TRIM(REGEXREPLACE(D2006, ""[0-9]+[a-f]?\."", """"))"),"Quelle superficie de cette terre (en hectares) avez-vous louée au cours de la dernière saison agricole ?")</f>
        <v>Quelle superficie de cette terre (en hectares) avez-vous louée au cours de la dernière saison agricole ?</v>
      </c>
      <c r="I2006" s="113" t="str">
        <f>IFERROR(__xludf.DUMMYFUNCTION("TRIM(REGEXREPLACE(E2006, ""[0-9]+[a-f]?\."", """"))"),"Eka nawa ne kuka yi haya a lokacin noman da ta wuce?")</f>
        <v>Eka nawa ne kuka yi haya a lokacin noman da ta wuce?</v>
      </c>
      <c r="J2006" s="113" t="str">
        <f t="shared" si="190"/>
        <v>269. How much of this land (in hectares) did you rent during the last agricultural season?</v>
      </c>
      <c r="K2006" s="113" t="str">
        <f t="shared" si="191"/>
        <v>269. Quelle superficie de cette terre (en hectares) avez-vous louée au cours de la dernière saison agricole ?</v>
      </c>
      <c r="L2006" s="113" t="str">
        <f t="shared" si="192"/>
        <v>269. Eka nawa ne kuka yi haya a lokacin noman da ta wuce?</v>
      </c>
    </row>
    <row r="2007">
      <c r="A2007" s="170" t="s">
        <v>238</v>
      </c>
      <c r="B2007" s="171" t="s">
        <v>4255</v>
      </c>
      <c r="C2007" s="76" t="s">
        <v>4256</v>
      </c>
      <c r="D2007" s="76" t="s">
        <v>4257</v>
      </c>
      <c r="E2007" s="76" t="s">
        <v>4258</v>
      </c>
      <c r="F2007" s="110">
        <v>270.0</v>
      </c>
      <c r="G2007" s="113" t="str">
        <f>IFERROR(__xludf.DUMMYFUNCTION("TRIM(REGEXREPLACE(C2007, ""[0-9]+[a-f]?\."", """"))"),"How much did you pay to rent this land during the last agricultural season (in CFA)?")</f>
        <v>How much did you pay to rent this land during the last agricultural season (in CFA)?</v>
      </c>
      <c r="H2007" s="113" t="str">
        <f>IFERROR(__xludf.DUMMYFUNCTION("TRIM(REGEXREPLACE(D2007, ""[0-9]+[a-f]?\."", """"))"),"A combien avez-vous loué ce terrain (en CFA) au cours de la dernière saison agricole ?")</f>
        <v>A combien avez-vous loué ce terrain (en CFA) au cours de la dernière saison agricole ?</v>
      </c>
      <c r="I2007" s="113" t="str">
        <f>IFERROR(__xludf.DUMMYFUNCTION("TRIM(REGEXREPLACE(E2007, ""[0-9]+[a-f]?\."", """"))"),"A nawa kuka yi hayar wannan gonar a lokacin noman da ta wuce (a sefa)?")</f>
        <v>A nawa kuka yi hayar wannan gonar a lokacin noman da ta wuce (a sefa)?</v>
      </c>
      <c r="J2007" s="113" t="str">
        <f t="shared" si="190"/>
        <v>270. How much did you pay to rent this land during the last agricultural season (in CFA)?</v>
      </c>
      <c r="K2007" s="113" t="str">
        <f t="shared" si="191"/>
        <v>270. A combien avez-vous loué ce terrain (en CFA) au cours de la dernière saison agricole ?</v>
      </c>
      <c r="L2007" s="113" t="str">
        <f t="shared" si="192"/>
        <v>270. A nawa kuka yi hayar wannan gonar a lokacin noman da ta wuce (a sefa)?</v>
      </c>
    </row>
    <row r="2008" hidden="1">
      <c r="A2008" s="131" t="s">
        <v>150</v>
      </c>
      <c r="B2008" s="164" t="s">
        <v>4259</v>
      </c>
      <c r="C2008" s="133"/>
      <c r="D2008" s="133"/>
      <c r="E2008" s="133"/>
    </row>
    <row r="2009" hidden="1">
      <c r="A2009" s="80" t="s">
        <v>115</v>
      </c>
      <c r="B2009" s="81" t="s">
        <v>4260</v>
      </c>
      <c r="C2009" s="82"/>
      <c r="D2009" s="83"/>
      <c r="E2009" s="83"/>
    </row>
    <row r="2010">
      <c r="A2010" s="152" t="s">
        <v>44</v>
      </c>
      <c r="B2010" s="77" t="s">
        <v>4264</v>
      </c>
      <c r="C2010" s="76" t="s">
        <v>4266</v>
      </c>
      <c r="D2010" s="76" t="s">
        <v>4267</v>
      </c>
      <c r="E2010" s="76" t="s">
        <v>4268</v>
      </c>
      <c r="F2010" s="110">
        <v>271.0</v>
      </c>
      <c r="G2010" s="113" t="str">
        <f>IFERROR(__xludf.DUMMYFUNCTION("TRIM(REGEXREPLACE(C2010, ""[0-9]+[a-f]?\."", """"))"),"Now we will focus on agricultural activities during last agricultural season")</f>
        <v>Now we will focus on agricultural activities during last agricultural season</v>
      </c>
      <c r="H2010" s="113" t="str">
        <f>IFERROR(__xludf.DUMMYFUNCTION("TRIM(REGEXREPLACE(D2010, ""[0-9]+[a-f]?\."", """"))"),"Maintenant, nous allons nous concentrer sur les activités agricoles au cours de la dernière saison agricole")</f>
        <v>Maintenant, nous allons nous concentrer sur les activités agricoles au cours de la dernière saison agricole</v>
      </c>
      <c r="I2010" s="113" t="str">
        <f>IFERROR(__xludf.DUMMYFUNCTION("TRIM(REGEXREPLACE(E2010, ""[0-9]+[a-f]?\."", """"))"),"Yanzu za mu maida hankali kan ayyukan noma a lokacin damanar da ta wuce")</f>
        <v>Yanzu za mu maida hankali kan ayyukan noma a lokacin damanar da ta wuce</v>
      </c>
      <c r="J2010" s="113" t="str">
        <f t="shared" ref="J2010:J2012" si="193">F2010 &amp; ". " &amp;G2010</f>
        <v>271. Now we will focus on agricultural activities during last agricultural season</v>
      </c>
      <c r="K2010" s="113" t="str">
        <f t="shared" ref="K2010:K2012" si="194">F2010 &amp; ". " &amp;H2010</f>
        <v>271. Maintenant, nous allons nous concentrer sur les activités agricoles au cours de la dernière saison agricole</v>
      </c>
      <c r="L2010" s="113" t="str">
        <f t="shared" ref="L2010:L2012" si="195">F2010 &amp; ". " &amp;I2010</f>
        <v>271. Yanzu za mu maida hankali kan ayyukan noma a lokacin damanar da ta wuce</v>
      </c>
    </row>
    <row r="2011">
      <c r="A2011" s="114" t="s">
        <v>4275</v>
      </c>
      <c r="B2011" s="165" t="s">
        <v>4276</v>
      </c>
      <c r="C2011" s="76" t="s">
        <v>4277</v>
      </c>
      <c r="D2011" s="76" t="s">
        <v>4278</v>
      </c>
      <c r="E2011" s="76" t="s">
        <v>4279</v>
      </c>
      <c r="F2011" s="110">
        <v>272.0</v>
      </c>
      <c r="G2011" s="113" t="str">
        <f>IFERROR(__xludf.DUMMYFUNCTION("TRIM(REGEXREPLACE(C2011, ""[0-9]+[a-f]?\."", """"))"),"Which of the following crops did your household grow during the last agricultural season?")</f>
        <v>Which of the following crops did your household grow during the last agricultural season?</v>
      </c>
      <c r="H2011" s="113" t="str">
        <f>IFERROR(__xludf.DUMMYFUNCTION("TRIM(REGEXREPLACE(D2011, ""[0-9]+[a-f]?\."", """"))"),"Laquelle des cultures suivantes votre ménage a-t-il cultivées au cours de la dernière saison agricole ?")</f>
        <v>Laquelle des cultures suivantes votre ménage a-t-il cultivées au cours de la dernière saison agricole ?</v>
      </c>
      <c r="I2011" s="113" t="str">
        <f>IFERROR(__xludf.DUMMYFUNCTION("TRIM(REGEXREPLACE(E2011, ""[0-9]+[a-f]?\."", """"))"),"Wanne daga cikin waɗannan amfanin gidanku ya noma a damanar da ta gabata?")</f>
        <v>Wanne daga cikin waɗannan amfanin gidanku ya noma a damanar da ta gabata?</v>
      </c>
      <c r="J2011" s="113" t="str">
        <f t="shared" si="193"/>
        <v>272. Which of the following crops did your household grow during the last agricultural season?</v>
      </c>
      <c r="K2011" s="113" t="str">
        <f t="shared" si="194"/>
        <v>272. Laquelle des cultures suivantes votre ménage a-t-il cultivées au cours de la dernière saison agricole ?</v>
      </c>
      <c r="L2011" s="113" t="str">
        <f t="shared" si="195"/>
        <v>272. Wanne daga cikin waɗannan amfanin gidanku ya noma a damanar da ta gabata?</v>
      </c>
    </row>
    <row r="2012">
      <c r="A2012" s="162" t="s">
        <v>217</v>
      </c>
      <c r="B2012" s="166" t="s">
        <v>4281</v>
      </c>
      <c r="C2012" s="76" t="s">
        <v>2575</v>
      </c>
      <c r="D2012" s="76" t="s">
        <v>2576</v>
      </c>
      <c r="E2012" s="76" t="s">
        <v>2577</v>
      </c>
      <c r="F2012" s="110">
        <v>273.0</v>
      </c>
      <c r="G2012" s="113" t="str">
        <f>IFERROR(__xludf.DUMMYFUNCTION("TRIM(REGEXREPLACE(C2012, ""[0-9]+[a-f]?\."", """"))"),"Specify other:")</f>
        <v>Specify other:</v>
      </c>
      <c r="H2012" s="113" t="str">
        <f>IFERROR(__xludf.DUMMYFUNCTION("TRIM(REGEXREPLACE(D2012, ""[0-9]+[a-f]?\."", """"))"),"Précisez la culture")</f>
        <v>Précisez la culture</v>
      </c>
      <c r="I2012" s="113" t="str">
        <f>IFERROR(__xludf.DUMMYFUNCTION("TRIM(REGEXREPLACE(E2012, ""[0-9]+[a-f]?\."", """"))"),"Baiyana wani abu daban:")</f>
        <v>Baiyana wani abu daban:</v>
      </c>
      <c r="J2012" s="113" t="str">
        <f t="shared" si="193"/>
        <v>273. Specify other:</v>
      </c>
      <c r="K2012" s="113" t="str">
        <f t="shared" si="194"/>
        <v>273. Précisez la culture</v>
      </c>
      <c r="L2012" s="113" t="str">
        <f t="shared" si="195"/>
        <v>273. Baiyana wani abu daban:</v>
      </c>
    </row>
    <row r="2013" hidden="1">
      <c r="A2013" s="131" t="s">
        <v>150</v>
      </c>
      <c r="B2013" s="164" t="s">
        <v>4285</v>
      </c>
      <c r="C2013" s="133"/>
      <c r="D2013" s="133"/>
      <c r="E2013" s="133"/>
    </row>
    <row r="2014" hidden="1">
      <c r="A2014" s="167" t="s">
        <v>807</v>
      </c>
      <c r="B2014" s="168" t="s">
        <v>4289</v>
      </c>
      <c r="C2014" s="168" t="s">
        <v>4290</v>
      </c>
      <c r="D2014" s="169" t="s">
        <v>4291</v>
      </c>
      <c r="E2014" s="169" t="s">
        <v>4292</v>
      </c>
    </row>
    <row r="2015" hidden="1">
      <c r="A2015" s="131" t="s">
        <v>115</v>
      </c>
      <c r="B2015" s="132" t="s">
        <v>4293</v>
      </c>
      <c r="C2015" s="133" t="s">
        <v>4294</v>
      </c>
      <c r="D2015" s="133" t="s">
        <v>4295</v>
      </c>
      <c r="E2015" s="133" t="s">
        <v>4296</v>
      </c>
    </row>
    <row r="2016" hidden="1">
      <c r="A2016" s="150" t="s">
        <v>161</v>
      </c>
      <c r="B2016" s="82" t="s">
        <v>4300</v>
      </c>
      <c r="C2016" s="82"/>
      <c r="D2016" s="83"/>
      <c r="E2016" s="83"/>
    </row>
    <row r="2017">
      <c r="A2017" s="264" t="s">
        <v>256</v>
      </c>
      <c r="B2017" s="265" t="s">
        <v>4301</v>
      </c>
      <c r="C2017" s="76" t="s">
        <v>4302</v>
      </c>
      <c r="D2017" s="76" t="s">
        <v>4303</v>
      </c>
      <c r="E2017" s="76" t="s">
        <v>4304</v>
      </c>
      <c r="F2017" s="110">
        <v>274.0</v>
      </c>
      <c r="G2017" s="113" t="str">
        <f>IFERROR(__xludf.DUMMYFUNCTION("TRIM(REGEXREPLACE(C2017, ""[0-9]+[a-f]?\."", """"))"),"How much of ${hoh_crop_name} did your household produce?")</f>
        <v>How much of ${hoh_crop_name} did your household produce?</v>
      </c>
      <c r="H2017" s="113" t="str">
        <f>IFERROR(__xludf.DUMMYFUNCTION("TRIM(REGEXREPLACE(D2017, ""[0-9]+[a-f]?\."", """"))"),"Quelle quantité de ${hoh_crop_name} votre ménage a-t-il produit ?")</f>
        <v>Quelle quantité de ${hoh_crop_name} votre ménage a-t-il produit ?</v>
      </c>
      <c r="I2017" s="113" t="str">
        <f>IFERROR(__xludf.DUMMYFUNCTION("TRIM(REGEXREPLACE(E2017, ""[0-9]+[a-f]?\."", """"))"),"${hoh_crop_name} Nawa gidanku ya samu?")</f>
        <v>${hoh_crop_name} Nawa gidanku ya samu?</v>
      </c>
      <c r="J2017" s="113" t="str">
        <f t="shared" ref="J2017:J2018" si="196">F2017 &amp; ". " &amp;G2017</f>
        <v>274. How much of ${hoh_crop_name} did your household produce?</v>
      </c>
      <c r="K2017" s="113" t="str">
        <f t="shared" ref="K2017:K2018" si="197">F2017 &amp; ". " &amp;H2017</f>
        <v>274. Quelle quantité de ${hoh_crop_name} votre ménage a-t-il produit ?</v>
      </c>
      <c r="L2017" s="113" t="str">
        <f t="shared" ref="L2017:L2018" si="198">F2017 &amp; ". " &amp;I2017</f>
        <v>274. ${hoh_crop_name} Nawa gidanku ya samu?</v>
      </c>
    </row>
    <row r="2018">
      <c r="A2018" s="114" t="s">
        <v>4305</v>
      </c>
      <c r="B2018" s="165" t="s">
        <v>4306</v>
      </c>
      <c r="C2018" s="76" t="s">
        <v>4307</v>
      </c>
      <c r="D2018" s="76" t="s">
        <v>4308</v>
      </c>
      <c r="E2018" s="76" t="s">
        <v>4310</v>
      </c>
      <c r="F2018" s="110">
        <v>275.0</v>
      </c>
      <c r="G2018" s="113" t="str">
        <f>IFERROR(__xludf.DUMMYFUNCTION("TRIM(REGEXREPLACE(C2018, ""[0-9]+[a-f]?\."", """"))"),"Select crop unit for ${hoh_crop_name}")</f>
        <v>Select crop unit for ${hoh_crop_name}</v>
      </c>
      <c r="H2018" s="113" t="str">
        <f>IFERROR(__xludf.DUMMYFUNCTION("TRIM(REGEXREPLACE(D2018, ""[0-9]+[a-f]?\."", """"))"),"Sélectionnez l'unité de culture pour ${hoh_crop_name}")</f>
        <v>Sélectionnez l'unité de culture pour ${hoh_crop_name}</v>
      </c>
      <c r="I2018" s="113" t="str">
        <f>IFERROR(__xludf.DUMMYFUNCTION("TRIM(REGEXREPLACE(E2018, ""[0-9]+[a-f]?\."", """"))"),"Zaɓi amfanin gonar don ${hoh_crop_name}")</f>
        <v>Zaɓi amfanin gonar don ${hoh_crop_name}</v>
      </c>
      <c r="J2018" s="113" t="str">
        <f t="shared" si="196"/>
        <v>275. Select crop unit for ${hoh_crop_name}</v>
      </c>
      <c r="K2018" s="113" t="str">
        <f t="shared" si="197"/>
        <v>275. Sélectionnez l'unité de culture pour ${hoh_crop_name}</v>
      </c>
      <c r="L2018" s="113" t="str">
        <f t="shared" si="198"/>
        <v>275. Zaɓi amfanin gonar don ${hoh_crop_name}</v>
      </c>
    </row>
    <row r="2019" hidden="1">
      <c r="A2019" s="150" t="s">
        <v>343</v>
      </c>
      <c r="B2019" s="83" t="s">
        <v>4300</v>
      </c>
      <c r="C2019" s="83"/>
      <c r="D2019" s="83"/>
      <c r="E2019" s="83"/>
    </row>
    <row r="2020">
      <c r="A2020" s="162" t="s">
        <v>217</v>
      </c>
      <c r="B2020" s="166" t="s">
        <v>4318</v>
      </c>
      <c r="C2020" s="76" t="s">
        <v>4319</v>
      </c>
      <c r="D2020" s="76" t="s">
        <v>4320</v>
      </c>
      <c r="E2020" s="76" t="s">
        <v>4321</v>
      </c>
      <c r="F2020" s="110">
        <v>276.0</v>
      </c>
      <c r="G2020" s="113" t="str">
        <f>IFERROR(__xludf.DUMMYFUNCTION("TRIM(REGEXREPLACE(C2020, ""[0-9]+[a-f]?\."", """"))"),"Specify other unit:")</f>
        <v>Specify other unit:</v>
      </c>
      <c r="H2020" s="113" t="str">
        <f>IFERROR(__xludf.DUMMYFUNCTION("TRIM(REGEXREPLACE(D2020, ""[0-9]+[a-f]?\."", """"))"),"Spécifiez une autre unité :")</f>
        <v>Spécifiez une autre unité :</v>
      </c>
      <c r="I2020" s="113" t="str">
        <f>IFERROR(__xludf.DUMMYFUNCTION("TRIM(REGEXREPLACE(E2020, ""[0-9]+[a-f]?\."", """"))"),"Baiyana wani amfanin gonar daban:")</f>
        <v>Baiyana wani amfanin gonar daban:</v>
      </c>
      <c r="J2020" s="113" t="str">
        <f>F2020 &amp; ". " &amp;G2020</f>
        <v>276. Specify other unit:</v>
      </c>
      <c r="K2020" s="113" t="str">
        <f>F2020 &amp; ". " &amp;H2020</f>
        <v>276. Spécifiez une autre unité :</v>
      </c>
      <c r="L2020" s="113" t="str">
        <f>F2020 &amp; ". " &amp;I2020</f>
        <v>276. Baiyana wani amfanin gonar daban:</v>
      </c>
    </row>
    <row r="2021" hidden="1">
      <c r="A2021" s="131" t="s">
        <v>115</v>
      </c>
      <c r="B2021" s="132" t="s">
        <v>4325</v>
      </c>
      <c r="C2021" s="133" t="s">
        <v>4326</v>
      </c>
      <c r="D2021" s="133"/>
      <c r="E2021" s="133"/>
    </row>
    <row r="2022">
      <c r="A2022" s="264" t="s">
        <v>256</v>
      </c>
      <c r="B2022" s="265" t="s">
        <v>4327</v>
      </c>
      <c r="C2022" s="76" t="s">
        <v>4328</v>
      </c>
      <c r="D2022" s="76" t="s">
        <v>4329</v>
      </c>
      <c r="E2022" s="76" t="s">
        <v>4330</v>
      </c>
      <c r="F2022" s="110">
        <v>277.0</v>
      </c>
      <c r="G2022" s="113" t="str">
        <f>IFERROR(__xludf.DUMMYFUNCTION("TRIM(REGEXREPLACE(C2022, ""[0-9]+[a-f]?\."", """"))"),"What quantity (${hoh_crop_unit_name}) of ${hoh_crop_name} did your household sell since the last harvest?")</f>
        <v>What quantity (${hoh_crop_unit_name}) of ${hoh_crop_name} did your household sell since the last harvest?</v>
      </c>
      <c r="H2022" s="113" t="str">
        <f>IFERROR(__xludf.DUMMYFUNCTION("TRIM(REGEXREPLACE(D2022, ""[0-9]+[a-f]?\."", """"))"),"Quelle quantité (${hoh_crop_unit_name}) de ${hoh_crop_name} votre ménage a-t-il vendu depuis la dernière récolte ?")</f>
        <v>Quelle quantité (${hoh_crop_unit_name}) de ${hoh_crop_name} votre ménage a-t-il vendu depuis la dernière récolte ?</v>
      </c>
      <c r="I2022" s="113" t="str">
        <f>IFERROR(__xludf.DUMMYFUNCTION("TRIM(REGEXREPLACE(E2022, ""[0-9]+[a-f]?\."", """"))"),"Nawa ne yawan (${hoh_crop_unit_name}) na ${hoh_crop_name} gidanku ya saida tun daga kaka na ƙarshe?")</f>
        <v>Nawa ne yawan (${hoh_crop_unit_name}) na ${hoh_crop_name} gidanku ya saida tun daga kaka na ƙarshe?</v>
      </c>
      <c r="J2022" s="113" t="str">
        <f t="shared" ref="J2022:J2025" si="199">F2022 &amp; ". " &amp;G2022</f>
        <v>277. What quantity (${hoh_crop_unit_name}) of ${hoh_crop_name} did your household sell since the last harvest?</v>
      </c>
      <c r="K2022" s="113" t="str">
        <f t="shared" ref="K2022:K2025" si="200">F2022 &amp; ". " &amp;H2022</f>
        <v>277. Quelle quantité (${hoh_crop_unit_name}) de ${hoh_crop_name} votre ménage a-t-il vendu depuis la dernière récolte ?</v>
      </c>
      <c r="L2022" s="113" t="str">
        <f t="shared" ref="L2022:L2025" si="201">F2022 &amp; ". " &amp;I2022</f>
        <v>277. Nawa ne yawan (${hoh_crop_unit_name}) na ${hoh_crop_name} gidanku ya saida tun daga kaka na ƙarshe?</v>
      </c>
    </row>
    <row r="2023">
      <c r="A2023" s="170" t="s">
        <v>238</v>
      </c>
      <c r="B2023" s="171" t="s">
        <v>4333</v>
      </c>
      <c r="C2023" s="76" t="s">
        <v>4334</v>
      </c>
      <c r="D2023" s="76" t="s">
        <v>4335</v>
      </c>
      <c r="E2023" s="76" t="s">
        <v>4336</v>
      </c>
      <c r="F2023" s="110">
        <v>278.0</v>
      </c>
      <c r="G2023" s="113" t="str">
        <f>IFERROR(__xludf.DUMMYFUNCTION("TRIM(REGEXREPLACE(C2023, ""[0-9]+[a-f]?\."", """"))"),"What was the price per ${hoh_crop_unit_name} of ${hoh_crop_name} you sold in CFA?")</f>
        <v>What was the price per ${hoh_crop_unit_name} of ${hoh_crop_name} you sold in CFA?</v>
      </c>
      <c r="H2023" s="113" t="str">
        <f>IFERROR(__xludf.DUMMYFUNCTION("TRIM(REGEXREPLACE(D2023, ""[0-9]+[a-f]?\."", """"))"),"Quel était le prix unitaire (${hoh_crop_unit_name}) de ${hoh_crop_name} que vous avez vendu en CFA ?")</f>
        <v>Quel était le prix unitaire (${hoh_crop_unit_name}) de ${hoh_crop_name} que vous avez vendu en CFA ?</v>
      </c>
      <c r="I2023" s="113" t="str">
        <f>IFERROR(__xludf.DUMMYFUNCTION("TRIM(REGEXREPLACE(E2023, ""[0-9]+[a-f]?\."", """"))"),"Nawa farashin kowane ${hoh_crop_unit_name} na ${hoh_crop_name} da kuka saida a CFA?")</f>
        <v>Nawa farashin kowane ${hoh_crop_unit_name} na ${hoh_crop_name} da kuka saida a CFA?</v>
      </c>
      <c r="J2023" s="113" t="str">
        <f t="shared" si="199"/>
        <v>278. What was the price per ${hoh_crop_unit_name} of ${hoh_crop_name} you sold in CFA?</v>
      </c>
      <c r="K2023" s="113" t="str">
        <f t="shared" si="200"/>
        <v>278. Quel était le prix unitaire (${hoh_crop_unit_name}) de ${hoh_crop_name} que vous avez vendu en CFA ?</v>
      </c>
      <c r="L2023" s="113" t="str">
        <f t="shared" si="201"/>
        <v>278. Nawa farashin kowane ${hoh_crop_unit_name} na ${hoh_crop_name} da kuka saida a CFA?</v>
      </c>
    </row>
    <row r="2024">
      <c r="A2024" s="264" t="s">
        <v>256</v>
      </c>
      <c r="B2024" s="265" t="s">
        <v>4340</v>
      </c>
      <c r="C2024" s="76" t="s">
        <v>2636</v>
      </c>
      <c r="D2024" s="76" t="s">
        <v>2637</v>
      </c>
      <c r="E2024" s="76" t="s">
        <v>2638</v>
      </c>
      <c r="F2024" s="110">
        <v>279.0</v>
      </c>
      <c r="G2024" s="113" t="str">
        <f>IFERROR(__xludf.DUMMYFUNCTION("TRIM(REGEXREPLACE(C2024, ""[0-9]+[a-f]?\."", """"))"),"How many ${hoh_crop_unit_name}s of ${hoh_crop_name} did your household consume?")</f>
        <v>How many ${hoh_crop_unit_name}s of ${hoh_crop_name} did your household consume?</v>
      </c>
      <c r="H2024" s="113" t="str">
        <f>IFERROR(__xludf.DUMMYFUNCTION("TRIM(REGEXREPLACE(D2024, ""[0-9]+[a-f]?\."", """"))"),"Quelle quantité (${hoh_crop_unit_name}) de ${hoh_crop_name} votre ménage a-t-il consommé ?")</f>
        <v>Quelle quantité (${hoh_crop_unit_name}) de ${hoh_crop_name} votre ménage a-t-il consommé ?</v>
      </c>
      <c r="I2024" s="113" t="str">
        <f>IFERROR(__xludf.DUMMYFUNCTION("TRIM(REGEXREPLACE(E2024, ""[0-9]+[a-f]?\."", """"))"),"Nawa yawan ${hoh_crop_unit_name} na ${hoh_crop_name} gidanku ya cinye?")</f>
        <v>Nawa yawan ${hoh_crop_unit_name} na ${hoh_crop_name} gidanku ya cinye?</v>
      </c>
      <c r="J2024" s="113" t="str">
        <f t="shared" si="199"/>
        <v>279. How many ${hoh_crop_unit_name}s of ${hoh_crop_name} did your household consume?</v>
      </c>
      <c r="K2024" s="113" t="str">
        <f t="shared" si="200"/>
        <v>279. Quelle quantité (${hoh_crop_unit_name}) de ${hoh_crop_name} votre ménage a-t-il consommé ?</v>
      </c>
      <c r="L2024" s="113" t="str">
        <f t="shared" si="201"/>
        <v>279. Nawa yawan ${hoh_crop_unit_name} na ${hoh_crop_name} gidanku ya cinye?</v>
      </c>
    </row>
    <row r="2025">
      <c r="A2025" s="170" t="s">
        <v>238</v>
      </c>
      <c r="B2025" s="171" t="s">
        <v>4344</v>
      </c>
      <c r="C2025" s="266" t="s">
        <v>4345</v>
      </c>
      <c r="D2025" s="267"/>
      <c r="E2025" s="267"/>
      <c r="F2025" s="110">
        <v>280.0</v>
      </c>
      <c r="G2025" s="113" t="str">
        <f>IFERROR(__xludf.DUMMYFUNCTION("TRIM(REGEXREPLACE(C2025, ""[0-9]+[a-f]?\."", """"))"),"If you were to sell the ${hoh_crop_name} that you consumed, what would be the price per ${hoh_crop_unit_name} in CFA?")</f>
        <v>If you were to sell the ${hoh_crop_name} that you consumed, what would be the price per ${hoh_crop_unit_name} in CFA?</v>
      </c>
      <c r="H2025" s="113" t="str">
        <f>IFERROR(__xludf.DUMMYFUNCTION("TRIM(REGEXREPLACE(D2025, ""[0-9]+[a-f]?\."", """"))"),"")</f>
        <v/>
      </c>
      <c r="I2025" s="113" t="str">
        <f>IFERROR(__xludf.DUMMYFUNCTION("TRIM(REGEXREPLACE(E2025, ""[0-9]+[a-f]?\."", """"))"),"")</f>
        <v/>
      </c>
      <c r="J2025" s="113" t="str">
        <f t="shared" si="199"/>
        <v>280. If you were to sell the ${hoh_crop_name} that you consumed, what would be the price per ${hoh_crop_unit_name} in CFA?</v>
      </c>
      <c r="K2025" s="113" t="str">
        <f t="shared" si="200"/>
        <v>280. </v>
      </c>
      <c r="L2025" s="113" t="str">
        <f t="shared" si="201"/>
        <v>280. </v>
      </c>
    </row>
    <row r="2026" hidden="1">
      <c r="A2026" s="268" t="s">
        <v>115</v>
      </c>
      <c r="B2026" s="265" t="s">
        <v>4346</v>
      </c>
      <c r="C2026" s="133"/>
      <c r="D2026" s="133"/>
      <c r="E2026" s="133"/>
    </row>
    <row r="2027">
      <c r="A2027" s="268" t="s">
        <v>44</v>
      </c>
      <c r="B2027" s="269" t="s">
        <v>4347</v>
      </c>
      <c r="C2027" s="76" t="s">
        <v>4348</v>
      </c>
      <c r="D2027" s="76" t="s">
        <v>4349</v>
      </c>
      <c r="E2027" s="76" t="s">
        <v>4350</v>
      </c>
      <c r="F2027" s="110">
        <v>281.0</v>
      </c>
      <c r="G2027" s="113" t="str">
        <f>IFERROR(__xludf.DUMMYFUNCTION("TRIM(REGEXREPLACE(C2027, ""[0-9]+[a-f]?\."", """"))"),"The amount you have left (${hoh_qty_left}) is negative. Please return and revise your responses.")</f>
        <v>The amount you have left (${hoh_qty_left}) is negative. Please return and revise your responses.</v>
      </c>
      <c r="H2027" s="113" t="str">
        <f>IFERROR(__xludf.DUMMYFUNCTION("TRIM(REGEXREPLACE(D2027, ""[0-9]+[a-f]?\."", """"))"),"Le montant qu'il vous reste (${hoh_qty_left}) est négatif. Veuillez revenir et réviser vos réponses.")</f>
        <v>Le montant qu'il vous reste (${hoh_qty_left}) est négatif. Veuillez revenir et réviser vos réponses.</v>
      </c>
      <c r="I2027" s="113" t="str">
        <f>IFERROR(__xludf.DUMMYFUNCTION("TRIM(REGEXREPLACE(E2027, ""[0-9]+[a-f]?\."", """"))"),"jimillar kuɗin da suka saura (${hoh_qty_left}) maras kyau ne. Da fatan za a dawo a sake duba amsoshin.")</f>
        <v>jimillar kuɗin da suka saura (${hoh_qty_left}) maras kyau ne. Da fatan za a dawo a sake duba amsoshin.</v>
      </c>
      <c r="J2027" s="113" t="str">
        <f t="shared" ref="J2027:J2028" si="202">F2027 &amp; ". " &amp;G2027</f>
        <v>281. The amount you have left (${hoh_qty_left}) is negative. Please return and revise your responses.</v>
      </c>
      <c r="K2027" s="113" t="str">
        <f t="shared" ref="K2027:K2028" si="203">F2027 &amp; ". " &amp;H2027</f>
        <v>281. Le montant qu'il vous reste (${hoh_qty_left}) est négatif. Veuillez revenir et réviser vos réponses.</v>
      </c>
      <c r="L2027" s="113" t="str">
        <f t="shared" ref="L2027:L2028" si="204">F2027 &amp; ". " &amp;I2027</f>
        <v>281. jimillar kuɗin da suka saura (${hoh_qty_left}) maras kyau ne. Da fatan za a dawo a sake duba amsoshin.</v>
      </c>
    </row>
    <row r="2028">
      <c r="A2028" s="268" t="s">
        <v>680</v>
      </c>
      <c r="B2028" s="269" t="s">
        <v>4355</v>
      </c>
      <c r="C2028" s="76" t="s">
        <v>4356</v>
      </c>
      <c r="D2028" s="76" t="s">
        <v>4357</v>
      </c>
      <c r="E2028" s="76" t="s">
        <v>4358</v>
      </c>
      <c r="F2028" s="110">
        <v>282.0</v>
      </c>
      <c r="G2028" s="113" t="str">
        <f>IFERROR(__xludf.DUMMYFUNCTION("TRIM(REGEXREPLACE(C2028, ""[0-9]+[a-f]?\."", """"))"),"Based on your responses, you had ${hoh_qty_left} ${hoh_crop_unit_name} left over. Does this sound correct?")</f>
        <v>Based on your responses, you had ${hoh_qty_left} ${hoh_crop_unit_name} left over. Does this sound correct?</v>
      </c>
      <c r="H2028" s="113" t="str">
        <f>IFERROR(__xludf.DUMMYFUNCTION("TRIM(REGEXREPLACE(D2028, ""[0-9]+[a-f]?\."", """"))"),"D'après vos réponses, il vous restait ${hoh_qty_left} ${hoh_crop_unit_name}. Est-ce que cela semble correct ?")</f>
        <v>D'après vos réponses, il vous restait ${hoh_qty_left} ${hoh_crop_unit_name}. Est-ce que cela semble correct ?</v>
      </c>
      <c r="I2028" s="113" t="str">
        <f>IFERROR(__xludf.DUMMYFUNCTION("TRIM(REGEXREPLACE(E2028, ""[0-9]+[a-f]?\."", """"))"),"Dangane da amsoshinku, kuna da sauran ${hoh_qty_left} ${hoh_crop_unit_name}. Ko wannan yayi daidai?")</f>
        <v>Dangane da amsoshinku, kuna da sauran ${hoh_qty_left} ${hoh_crop_unit_name}. Ko wannan yayi daidai?</v>
      </c>
      <c r="J2028" s="113" t="str">
        <f t="shared" si="202"/>
        <v>282. Based on your responses, you had ${hoh_qty_left} ${hoh_crop_unit_name} left over. Does this sound correct?</v>
      </c>
      <c r="K2028" s="113" t="str">
        <f t="shared" si="203"/>
        <v>282. D'après vos réponses, il vous restait ${hoh_qty_left} ${hoh_crop_unit_name}. Est-ce que cela semble correct ?</v>
      </c>
      <c r="L2028" s="113" t="str">
        <f t="shared" si="204"/>
        <v>282. Dangane da amsoshinku, kuna da sauran ${hoh_qty_left} ${hoh_crop_unit_name}. Ko wannan yayi daidai?</v>
      </c>
    </row>
    <row r="2029" hidden="1">
      <c r="A2029" s="131" t="s">
        <v>115</v>
      </c>
      <c r="B2029" s="132" t="s">
        <v>4363</v>
      </c>
      <c r="C2029" s="133"/>
      <c r="D2029" s="133"/>
      <c r="E2029" s="133"/>
    </row>
    <row r="2030" hidden="1">
      <c r="A2030" s="167" t="s">
        <v>842</v>
      </c>
      <c r="B2030" s="169" t="s">
        <v>4289</v>
      </c>
      <c r="C2030" s="169" t="s">
        <v>4365</v>
      </c>
      <c r="D2030" s="169" t="s">
        <v>4366</v>
      </c>
      <c r="E2030" s="169" t="s">
        <v>4367</v>
      </c>
    </row>
    <row r="2031" hidden="1">
      <c r="A2031" s="270"/>
      <c r="B2031" s="270"/>
      <c r="C2031" s="270"/>
      <c r="D2031" s="270"/>
      <c r="E2031" s="270"/>
    </row>
    <row r="2032" hidden="1">
      <c r="A2032" s="150" t="s">
        <v>161</v>
      </c>
      <c r="B2032" s="252" t="s">
        <v>4368</v>
      </c>
      <c r="C2032" s="82" t="s">
        <v>4369</v>
      </c>
      <c r="D2032" s="83" t="s">
        <v>4370</v>
      </c>
      <c r="E2032" s="83" t="s">
        <v>4371</v>
      </c>
    </row>
    <row r="2033">
      <c r="A2033" s="152" t="s">
        <v>44</v>
      </c>
      <c r="B2033" s="253" t="s">
        <v>4372</v>
      </c>
      <c r="C2033" s="76" t="s">
        <v>2667</v>
      </c>
      <c r="D2033" s="76" t="s">
        <v>2668</v>
      </c>
      <c r="E2033" s="76" t="s">
        <v>2669</v>
      </c>
      <c r="F2033" s="110">
        <v>283.0</v>
      </c>
      <c r="G2033" s="113" t="str">
        <f>IFERROR(__xludf.DUMMYFUNCTION("TRIM(REGEXREPLACE(C2033, ""[0-9]+[a-f]?\."", """"))"),"How much did your household spend on the following types of expenses during the last agricultural season in CFA?")</f>
        <v>How much did your household spend on the following types of expenses during the last agricultural season in CFA?</v>
      </c>
      <c r="H2033" s="113" t="str">
        <f>IFERROR(__xludf.DUMMYFUNCTION("TRIM(REGEXREPLACE(D2033, ""[0-9]+[a-f]?\."", """"))"),"Combien votre ménage a-t-il dépensé pour les types de dépenses suivantes au cours de la dernière saison agricole (en CFA) ?")</f>
        <v>Combien votre ménage a-t-il dépensé pour les types de dépenses suivantes au cours de la dernière saison agricole (en CFA) ?</v>
      </c>
      <c r="I2033" s="113" t="str">
        <f>IFERROR(__xludf.DUMMYFUNCTION("TRIM(REGEXREPLACE(E2033, ""[0-9]+[a-f]?\."", """"))"),"Nawa ne gidanku ya kashe akan waɗannan abubuwan a lokacin noman da ya wuce (a sefa)?")</f>
        <v>Nawa ne gidanku ya kashe akan waɗannan abubuwan a lokacin noman da ya wuce (a sefa)?</v>
      </c>
      <c r="J2033" s="113" t="str">
        <f t="shared" ref="J2033:J2037" si="205">F2033 &amp; ". " &amp;G2033</f>
        <v>283. How much did your household spend on the following types of expenses during the last agricultural season in CFA?</v>
      </c>
      <c r="K2033" s="113" t="str">
        <f t="shared" ref="K2033:K2037" si="206">F2033 &amp; ". " &amp;H2033</f>
        <v>283. Combien votre ménage a-t-il dépensé pour les types de dépenses suivantes au cours de la dernière saison agricole (en CFA) ?</v>
      </c>
      <c r="L2033" s="113" t="str">
        <f t="shared" ref="L2033:L2037" si="207">F2033 &amp; ". " &amp;I2033</f>
        <v>283. Nawa ne gidanku ya kashe akan waɗannan abubuwan a lokacin noman da ya wuce (a sefa)?</v>
      </c>
    </row>
    <row r="2034">
      <c r="A2034" s="170" t="s">
        <v>238</v>
      </c>
      <c r="B2034" s="271" t="s">
        <v>4376</v>
      </c>
      <c r="C2034" s="76" t="s">
        <v>2672</v>
      </c>
      <c r="D2034" s="76" t="s">
        <v>2673</v>
      </c>
      <c r="E2034" s="76" t="s">
        <v>2674</v>
      </c>
      <c r="F2034" s="110">
        <v>284.0</v>
      </c>
      <c r="G2034" s="113" t="str">
        <f>IFERROR(__xludf.DUMMYFUNCTION("TRIM(REGEXREPLACE(C2034, ""[0-9]+[a-f]?\."", """"))"),"Seeds")</f>
        <v>Seeds</v>
      </c>
      <c r="H2034" s="113" t="str">
        <f>IFERROR(__xludf.DUMMYFUNCTION("TRIM(REGEXREPLACE(D2034, ""[0-9]+[a-f]?\."", """"))"),"Semences")</f>
        <v>Semences</v>
      </c>
      <c r="I2034" s="113" t="str">
        <f>IFERROR(__xludf.DUMMYFUNCTION("TRIM(REGEXREPLACE(E2034, ""[0-9]+[a-f]?\."", """"))"),"Iri")</f>
        <v>Iri</v>
      </c>
      <c r="J2034" s="113" t="str">
        <f t="shared" si="205"/>
        <v>284. Seeds</v>
      </c>
      <c r="K2034" s="113" t="str">
        <f t="shared" si="206"/>
        <v>284. Semences</v>
      </c>
      <c r="L2034" s="113" t="str">
        <f t="shared" si="207"/>
        <v>284. Iri</v>
      </c>
    </row>
    <row r="2035">
      <c r="A2035" s="170" t="s">
        <v>238</v>
      </c>
      <c r="B2035" s="271" t="s">
        <v>4378</v>
      </c>
      <c r="C2035" s="76" t="s">
        <v>2677</v>
      </c>
      <c r="D2035" s="76" t="s">
        <v>2679</v>
      </c>
      <c r="E2035" s="76" t="s">
        <v>2681</v>
      </c>
      <c r="F2035" s="110">
        <v>285.0</v>
      </c>
      <c r="G2035" s="113" t="str">
        <f>IFERROR(__xludf.DUMMYFUNCTION("TRIM(REGEXREPLACE(C2035, ""[0-9]+[a-f]?\."", """"))"),"Fertilizer")</f>
        <v>Fertilizer</v>
      </c>
      <c r="H2035" s="113" t="str">
        <f>IFERROR(__xludf.DUMMYFUNCTION("TRIM(REGEXREPLACE(D2035, ""[0-9]+[a-f]?\."", """"))"),"Engrais")</f>
        <v>Engrais</v>
      </c>
      <c r="I2035" s="113" t="str">
        <f>IFERROR(__xludf.DUMMYFUNCTION("TRIM(REGEXREPLACE(E2035, ""[0-9]+[a-f]?\."", """"))"),"Takin zamani")</f>
        <v>Takin zamani</v>
      </c>
      <c r="J2035" s="113" t="str">
        <f t="shared" si="205"/>
        <v>285. Fertilizer</v>
      </c>
      <c r="K2035" s="113" t="str">
        <f t="shared" si="206"/>
        <v>285. Engrais</v>
      </c>
      <c r="L2035" s="113" t="str">
        <f t="shared" si="207"/>
        <v>285. Takin zamani</v>
      </c>
    </row>
    <row r="2036">
      <c r="A2036" s="170" t="s">
        <v>238</v>
      </c>
      <c r="B2036" s="271" t="s">
        <v>4381</v>
      </c>
      <c r="C2036" s="76" t="s">
        <v>2684</v>
      </c>
      <c r="D2036" s="76" t="s">
        <v>2685</v>
      </c>
      <c r="E2036" s="76" t="s">
        <v>2686</v>
      </c>
      <c r="F2036" s="110">
        <v>286.0</v>
      </c>
      <c r="G2036" s="113" t="str">
        <f>IFERROR(__xludf.DUMMYFUNCTION("TRIM(REGEXREPLACE(C2036, ""[0-9]+[a-f]?\."", """"))"),"Renting machines and tools (i.e. for plowing or spraying)")</f>
        <v>Renting machines and tools (i.e. for plowing or spraying)</v>
      </c>
      <c r="H2036" s="113" t="str">
        <f>IFERROR(__xludf.DUMMYFUNCTION("TRIM(REGEXREPLACE(D2036, ""[0-9]+[a-f]?\."", """"))"),"Location de machines et d'outils (c'est-à-dire pour labourer ou pulvériser)")</f>
        <v>Location de machines et d'outils (c'est-à-dire pour labourer ou pulvériser)</v>
      </c>
      <c r="I2036" s="113" t="str">
        <f>IFERROR(__xludf.DUMMYFUNCTION("TRIM(REGEXREPLACE(E2036, ""[0-9]+[a-f]?\."", """"))"),"Hayar injina da kayan aiki ( don noma ko feshi)")</f>
        <v>Hayar injina da kayan aiki ( don noma ko feshi)</v>
      </c>
      <c r="J2036" s="113" t="str">
        <f t="shared" si="205"/>
        <v>286. Renting machines and tools (i.e. for plowing or spraying)</v>
      </c>
      <c r="K2036" s="113" t="str">
        <f t="shared" si="206"/>
        <v>286. Location de machines et d'outils (c'est-à-dire pour labourer ou pulvériser)</v>
      </c>
      <c r="L2036" s="113" t="str">
        <f t="shared" si="207"/>
        <v>286. Hayar injina da kayan aiki ( don noma ko feshi)</v>
      </c>
    </row>
    <row r="2037">
      <c r="A2037" s="170" t="s">
        <v>238</v>
      </c>
      <c r="B2037" s="271" t="s">
        <v>4383</v>
      </c>
      <c r="C2037" s="76" t="s">
        <v>4385</v>
      </c>
      <c r="D2037" s="76" t="s">
        <v>4386</v>
      </c>
      <c r="E2037" s="76" t="s">
        <v>4387</v>
      </c>
      <c r="F2037" s="110">
        <v>287.0</v>
      </c>
      <c r="G2037" s="113" t="str">
        <f>IFERROR(__xludf.DUMMYFUNCTION("TRIM(REGEXREPLACE(C2037, ""[0-9]+[a-f]?\."", """"))"),"Water")</f>
        <v>Water</v>
      </c>
      <c r="H2037" s="113" t="str">
        <f>IFERROR(__xludf.DUMMYFUNCTION("TRIM(REGEXREPLACE(D2037, ""[0-9]+[a-f]?\."", """"))"),"Eau")</f>
        <v>Eau</v>
      </c>
      <c r="I2037" s="113" t="str">
        <f>IFERROR(__xludf.DUMMYFUNCTION("TRIM(REGEXREPLACE(E2037, ""[0-9]+[a-f]?\."", """"))"),"Ruwa")</f>
        <v>Ruwa</v>
      </c>
      <c r="J2037" s="113" t="str">
        <f t="shared" si="205"/>
        <v>287. Water</v>
      </c>
      <c r="K2037" s="113" t="str">
        <f t="shared" si="206"/>
        <v>287. Eau</v>
      </c>
      <c r="L2037" s="113" t="str">
        <f t="shared" si="207"/>
        <v>287. Ruwa</v>
      </c>
    </row>
    <row r="2038" hidden="1">
      <c r="A2038" s="150" t="s">
        <v>343</v>
      </c>
      <c r="B2038" s="150" t="s">
        <v>4368</v>
      </c>
      <c r="C2038" s="83" t="s">
        <v>4369</v>
      </c>
      <c r="D2038" s="83" t="s">
        <v>4389</v>
      </c>
      <c r="E2038" s="83" t="s">
        <v>4391</v>
      </c>
    </row>
    <row r="2039" hidden="1">
      <c r="A2039" s="131" t="s">
        <v>150</v>
      </c>
      <c r="B2039" s="164" t="s">
        <v>4392</v>
      </c>
      <c r="C2039" s="133"/>
      <c r="D2039" s="133"/>
      <c r="E2039" s="133"/>
    </row>
    <row r="2040" hidden="1">
      <c r="A2040" s="80" t="s">
        <v>115</v>
      </c>
      <c r="B2040" s="81" t="s">
        <v>4393</v>
      </c>
      <c r="C2040" s="82"/>
      <c r="D2040" s="83"/>
      <c r="E2040" s="83"/>
    </row>
    <row r="2041" hidden="1">
      <c r="A2041" s="203"/>
      <c r="B2041" s="203"/>
      <c r="C2041" s="204"/>
      <c r="D2041" s="97"/>
      <c r="E2041" s="97"/>
    </row>
    <row r="2042" hidden="1">
      <c r="A2042" s="131" t="s">
        <v>150</v>
      </c>
      <c r="B2042" s="164" t="s">
        <v>4394</v>
      </c>
      <c r="C2042" s="133"/>
      <c r="D2042" s="133"/>
      <c r="E2042" s="133"/>
    </row>
    <row r="2043">
      <c r="A2043" s="152" t="s">
        <v>44</v>
      </c>
      <c r="B2043" s="253" t="s">
        <v>4397</v>
      </c>
      <c r="C2043" s="76" t="s">
        <v>4398</v>
      </c>
      <c r="D2043" s="76" t="s">
        <v>4399</v>
      </c>
      <c r="E2043" s="76" t="s">
        <v>4400</v>
      </c>
      <c r="F2043" s="110">
        <v>288.0</v>
      </c>
      <c r="G2043" s="113" t="str">
        <f>IFERROR(__xludf.DUMMYFUNCTION("TRIM(REGEXREPLACE(C2043, ""[0-9]+[a-f]?\."", """"))"),"We want to understand how many days people worked in your fields and who did this work.")</f>
        <v>We want to understand how many days people worked in your fields and who did this work.</v>
      </c>
      <c r="H2043" s="113" t="str">
        <f>IFERROR(__xludf.DUMMYFUNCTION("TRIM(REGEXREPLACE(D2043, ""[0-9]+[a-f]?\."", """"))"),"Nous voulons comprendre combien de jours des gens ont travaillé dans vos champs et qui a fait ce travail.")</f>
        <v>Nous voulons comprendre combien de jours des gens ont travaillé dans vos champs et qui a fait ce travail.</v>
      </c>
      <c r="I2043" s="113" t="str">
        <f>IFERROR(__xludf.DUMMYFUNCTION("TRIM(REGEXREPLACE(E2043, ""[0-9]+[a-f]?\."", """"))"),"Muna son mu fahimci kwanaki nawa mutane suka yi aiki a gonakinku da kuma wanda ya yi wannan aikin.")</f>
        <v>Muna son mu fahimci kwanaki nawa mutane suka yi aiki a gonakinku da kuma wanda ya yi wannan aikin.</v>
      </c>
      <c r="J2043" s="113" t="str">
        <f t="shared" ref="J2043:J2045" si="208">F2043 &amp; ". " &amp;G2043</f>
        <v>288. We want to understand how many days people worked in your fields and who did this work.</v>
      </c>
      <c r="K2043" s="113" t="str">
        <f t="shared" ref="K2043:K2045" si="209">F2043 &amp; ". " &amp;H2043</f>
        <v>288. Nous voulons comprendre combien de jours des gens ont travaillé dans vos champs et qui a fait ce travail.</v>
      </c>
      <c r="L2043" s="113" t="str">
        <f t="shared" ref="L2043:L2045" si="210">F2043 &amp; ". " &amp;I2043</f>
        <v>288. Muna son mu fahimci kwanaki nawa mutane suka yi aiki a gonakinku da kuma wanda ya yi wannan aikin.</v>
      </c>
    </row>
    <row r="2044">
      <c r="A2044" s="170" t="s">
        <v>238</v>
      </c>
      <c r="B2044" s="271" t="s">
        <v>4401</v>
      </c>
      <c r="C2044" s="76" t="s">
        <v>4402</v>
      </c>
      <c r="D2044" s="76" t="s">
        <v>4403</v>
      </c>
      <c r="E2044" s="76" t="s">
        <v>4404</v>
      </c>
      <c r="F2044" s="110">
        <v>289.0</v>
      </c>
      <c r="G2044" s="113" t="str">
        <f>IFERROR(__xludf.DUMMYFUNCTION("TRIM(REGEXREPLACE(C2044,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2044" s="113" t="str">
        <f>IFERROR(__xludf.DUMMYFUNCTION("TRIM(REGEXREPLACE(D2044,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2044" s="113" t="str">
        <f>IFERROR(__xludf.DUMMYFUNCTION("TRIM(REGEXREPLACE(E2044,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2044" s="113" t="str">
        <f t="shared" si="208"/>
        <v>289. Think about the last agricultural season. How many weeks were people working in your fields? This includes work by people who are members of your household and those who are not members of your household.</v>
      </c>
      <c r="K2044" s="113" t="str">
        <f t="shared" si="209"/>
        <v>289. Pensez à la dernière saison agricole. Combien de semaines au total les gens ont-ils travaillé dans vos champs ? Cela inclut le travail des personnes qui sont membres de votre ménage et celles qui ne le sont pas.</v>
      </c>
      <c r="L2044" s="113" t="str">
        <f t="shared" si="210"/>
        <v>289. Ku tuna da lokacin noma na ƙarshe. Makonni nawa mutane ke aiki a filayenku? Wannan ya haɗa da aikin mutanen da ke cikin gidanku da waɗanda ba ƴan gidanku ba ne.</v>
      </c>
    </row>
    <row r="2045">
      <c r="A2045" s="170" t="s">
        <v>238</v>
      </c>
      <c r="B2045" s="271" t="s">
        <v>4405</v>
      </c>
      <c r="C2045" s="76" t="s">
        <v>2719</v>
      </c>
      <c r="D2045" s="76" t="s">
        <v>2720</v>
      </c>
      <c r="E2045" s="76" t="s">
        <v>2721</v>
      </c>
      <c r="F2045" s="110">
        <v>290.0</v>
      </c>
      <c r="G2045" s="113" t="str">
        <f>IFERROR(__xludf.DUMMYFUNCTION("TRIM(REGEXREPLACE(C2045,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2045" s="113" t="str">
        <f>IFERROR(__xludf.DUMMYFUNCTION("TRIM(REGEXREPLACE(D2045,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2045" s="113" t="str">
        <f>IFERROR(__xludf.DUMMYFUNCTION("TRIM(REGEXREPLACE(E2045,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2045" s="113" t="str">
        <f t="shared" si="208"/>
        <v>290. Think about a typical week during the last agricultural season. How many days were people working in your fields? This includes work by people who are members of your household and those who are not members of your household.</v>
      </c>
      <c r="K2045" s="113" t="str">
        <f t="shared" si="209"/>
        <v>290. Pensez à une semaine typique au cours de la dernière saison agricole. Combien de jours les gens ont-ils travaillé dans vos champs par semaine ? Cela inclut le travail des personnes qui sont membres de votre ménage et celles qui ne le sont pas.</v>
      </c>
      <c r="L2045" s="113" t="str">
        <f t="shared" si="210"/>
        <v>290. Ku tuna da mako guda na lokacin damana ta ƙarshe. Kwanaki nawa mutane suke aiki a gonkinku a cikin kowane sati? Wannan ya haɗa da aikin mutanen da ke cikin gidan ku da waɗanda ba 'yan gidan ku ba ne.</v>
      </c>
    </row>
    <row r="2046" hidden="1">
      <c r="A2046" s="270"/>
      <c r="B2046" s="270"/>
      <c r="C2046" s="270"/>
      <c r="D2046" s="270"/>
      <c r="E2046" s="270"/>
    </row>
    <row r="2047" hidden="1">
      <c r="A2047" s="167" t="s">
        <v>807</v>
      </c>
      <c r="B2047" s="168" t="s">
        <v>4409</v>
      </c>
      <c r="C2047" s="168" t="s">
        <v>4410</v>
      </c>
      <c r="D2047" s="169" t="s">
        <v>4411</v>
      </c>
      <c r="E2047" s="169" t="s">
        <v>4412</v>
      </c>
    </row>
    <row r="2048" hidden="1">
      <c r="A2048" s="131" t="s">
        <v>115</v>
      </c>
      <c r="B2048" s="132" t="s">
        <v>4413</v>
      </c>
      <c r="C2048" s="133"/>
      <c r="D2048" s="133"/>
      <c r="E2048" s="133"/>
    </row>
    <row r="2049" hidden="1">
      <c r="A2049" s="131" t="s">
        <v>115</v>
      </c>
      <c r="B2049" s="132" t="s">
        <v>4414</v>
      </c>
      <c r="C2049" s="133" t="s">
        <v>4415</v>
      </c>
      <c r="D2049" s="133" t="s">
        <v>4416</v>
      </c>
      <c r="E2049" s="133" t="s">
        <v>4417</v>
      </c>
    </row>
    <row r="2050">
      <c r="A2050" s="170" t="s">
        <v>238</v>
      </c>
      <c r="B2050" s="171" t="s">
        <v>4418</v>
      </c>
      <c r="C2050" s="76" t="s">
        <v>2740</v>
      </c>
      <c r="D2050" s="76" t="s">
        <v>2742</v>
      </c>
      <c r="E2050" s="76" t="s">
        <v>2743</v>
      </c>
      <c r="F2050" s="110">
        <v>291.0</v>
      </c>
      <c r="G2050" s="113" t="str">
        <f>IFERROR(__xludf.DUMMYFUNCTION("TRIM(REGEXREPLACE(C2050, ""[0-9]+[a-f]?\."", """"))"),"Can you estimate how many days during the last agricultural season did ${hoh_labor_name} work in field?")</f>
        <v>Can you estimate how many days during the last agricultural season did ${hoh_labor_name} work in field?</v>
      </c>
      <c r="H2050" s="113" t="str">
        <f>IFERROR(__xludf.DUMMYFUNCTION("TRIM(REGEXREPLACE(D2050, ""[0-9]+[a-f]?\."", """"))"),"Pouvez-vous estimer combien de jours au cours de la dernière saison agricole ${hoh_labor_name} a-t-il travaillé dans les champs ?")</f>
        <v>Pouvez-vous estimer combien de jours au cours de la dernière saison agricole ${hoh_labor_name} a-t-il travaillé dans les champs ?</v>
      </c>
      <c r="I2050" s="113" t="str">
        <f>IFERROR(__xludf.DUMMYFUNCTION("TRIM(REGEXREPLACE(E2050, ""[0-9]+[a-f]?\."", """"))"),"Za ku iya ƙiyasin kwanaki nawa a lokacin noman da ya gabata ${hoh_labor_name} ya yi aikin a noma?")</f>
        <v>Za ku iya ƙiyasin kwanaki nawa a lokacin noman da ya gabata ${hoh_labor_name} ya yi aikin a noma?</v>
      </c>
      <c r="J2050" s="113" t="str">
        <f>F2050 &amp; ". " &amp;G2050</f>
        <v>291. Can you estimate how many days during the last agricultural season did ${hoh_labor_name} work in field?</v>
      </c>
      <c r="K2050" s="113" t="str">
        <f>F2050 &amp; ". " &amp;H2050</f>
        <v>291. Pouvez-vous estimer combien de jours au cours de la dernière saison agricole ${hoh_labor_name} a-t-il travaillé dans les champs ?</v>
      </c>
      <c r="L2050" s="113" t="str">
        <f>F2050 &amp; ". " &amp;I2050</f>
        <v>291. Za ku iya ƙiyasin kwanaki nawa a lokacin noman da ya gabata ${hoh_labor_name} ya yi aikin a noma?</v>
      </c>
    </row>
    <row r="2051" hidden="1">
      <c r="A2051" s="167" t="s">
        <v>842</v>
      </c>
      <c r="B2051" s="169" t="s">
        <v>4409</v>
      </c>
      <c r="C2051" s="169" t="s">
        <v>4410</v>
      </c>
      <c r="D2051" s="169" t="s">
        <v>4411</v>
      </c>
      <c r="E2051" s="169" t="s">
        <v>4412</v>
      </c>
    </row>
    <row r="2052">
      <c r="A2052" s="121" t="s">
        <v>44</v>
      </c>
      <c r="B2052" s="157" t="s">
        <v>4423</v>
      </c>
      <c r="C2052" s="76" t="s">
        <v>2748</v>
      </c>
      <c r="D2052" s="76" t="s">
        <v>4424</v>
      </c>
      <c r="E2052" s="76" t="s">
        <v>4425</v>
      </c>
      <c r="F2052" s="110">
        <v>292.0</v>
      </c>
      <c r="G2052" s="113" t="str">
        <f>IFERROR(__xludf.DUMMYFUNCTION("TRIM(REGEXREPLACE(C2052, ""[0-9]+[a-f]?\."", """"))"),"The following questions about agricultural labor are for the last agricultural season (last 180 days).")</f>
        <v>The following questions about agricultural labor are for the last agricultural season (last 180 days).</v>
      </c>
      <c r="H2052" s="113" t="str">
        <f>IFERROR(__xludf.DUMMYFUNCTION("TRIM(REGEXREPLACE(D2052, ""[0-9]+[a-f]?\."", """"))"),"Les questions suivantes sur le travail agricole concernent la dernière saison agricole (180 derniers jours).\")</f>
        <v>Les questions suivantes sur le travail agricole concernent la dernière saison agricole (180 derniers jours).\</v>
      </c>
      <c r="I2052" s="113" t="str">
        <f>IFERROR(__xludf.DUMMYFUNCTION("TRIM(REGEXREPLACE(E2052, ""[0-9]+[a-f]?\."", """"))"),"Tambayoyi masu zuwa game da aikin noma na ƙarshe ne (kwanaki 180 na ƙarshe).")</f>
        <v>Tambayoyi masu zuwa game da aikin noma na ƙarshe ne (kwanaki 180 na ƙarshe).</v>
      </c>
      <c r="J2052" s="113" t="str">
        <f t="shared" ref="J2052:J2056" si="211">F2052 &amp; ". " &amp;G2052</f>
        <v>292. The following questions about agricultural labor are for the last agricultural season (last 180 days).</v>
      </c>
      <c r="K2052" s="113" t="str">
        <f t="shared" ref="K2052:K2056" si="212">F2052 &amp; ". " &amp;H2052</f>
        <v>292. Les questions suivantes sur le travail agricole concernent la dernière saison agricole (180 derniers jours).\</v>
      </c>
      <c r="L2052" s="113" t="str">
        <f t="shared" ref="L2052:L2056" si="213">F2052 &amp; ". " &amp;I2052</f>
        <v>292. Tambayoyi masu zuwa game da aikin noma na ƙarshe ne (kwanaki 180 na ƙarshe).</v>
      </c>
    </row>
    <row r="2053">
      <c r="A2053" s="114" t="s">
        <v>541</v>
      </c>
      <c r="B2053" s="165" t="s">
        <v>4430</v>
      </c>
      <c r="C2053" s="76" t="s">
        <v>2751</v>
      </c>
      <c r="D2053" s="76" t="s">
        <v>2752</v>
      </c>
      <c r="E2053" s="76" t="s">
        <v>2753</v>
      </c>
      <c r="F2053" s="110">
        <v>293.0</v>
      </c>
      <c r="G2053" s="113" t="str">
        <f>IFERROR(__xludf.DUMMYFUNCTION("TRIM(REGEXREPLACE(C2053, ""[0-9]+[a-f]?\."", """"))"),"Did you hire anyone outside of your household to work in your fields?")</f>
        <v>Did you hire anyone outside of your household to work in your fields?</v>
      </c>
      <c r="H2053" s="113" t="str">
        <f>IFERROR(__xludf.DUMMYFUNCTION("TRIM(REGEXREPLACE(D2053, ""[0-9]+[a-f]?\."", """"))"),"Avez-vous embauché quelqu'un en dehors de votre ménage pour travailler dans vos champs ?")</f>
        <v>Avez-vous embauché quelqu'un en dehors de votre ménage pour travailler dans vos champs ?</v>
      </c>
      <c r="I2053" s="113" t="str">
        <f>IFERROR(__xludf.DUMMYFUNCTION("TRIM(REGEXREPLACE(E2053, ""[0-9]+[a-f]?\."", """"))"),"Ko kun ɗauki wani dan barema da ba ɗan gidanku ba don yin aiki a gonakinku?")</f>
        <v>Ko kun ɗauki wani dan barema da ba ɗan gidanku ba don yin aiki a gonakinku?</v>
      </c>
      <c r="J2053" s="113" t="str">
        <f t="shared" si="211"/>
        <v>293. Did you hire anyone outside of your household to work in your fields?</v>
      </c>
      <c r="K2053" s="113" t="str">
        <f t="shared" si="212"/>
        <v>293. Avez-vous embauché quelqu'un en dehors de votre ménage pour travailler dans vos champs ?</v>
      </c>
      <c r="L2053" s="113" t="str">
        <f t="shared" si="213"/>
        <v>293. Ko kun ɗauki wani dan barema da ba ɗan gidanku ba don yin aiki a gonakinku?</v>
      </c>
    </row>
    <row r="2054">
      <c r="A2054" s="170" t="s">
        <v>238</v>
      </c>
      <c r="B2054" s="171" t="s">
        <v>4433</v>
      </c>
      <c r="C2054" s="76" t="s">
        <v>2755</v>
      </c>
      <c r="D2054" s="76" t="s">
        <v>2756</v>
      </c>
      <c r="E2054" s="76" t="s">
        <v>2758</v>
      </c>
      <c r="F2054" s="110">
        <v>294.0</v>
      </c>
      <c r="G2054" s="113" t="str">
        <f>IFERROR(__xludf.DUMMYFUNCTION("TRIM(REGEXREPLACE(C2054, ""[0-9]+[a-f]?\."", """"))"),"How many different people did you hire people to work in your fields?")</f>
        <v>How many different people did you hire people to work in your fields?</v>
      </c>
      <c r="H2054" s="113" t="str">
        <f>IFERROR(__xludf.DUMMYFUNCTION("TRIM(REGEXREPLACE(D2054, ""[0-9]+[a-f]?\."", """"))"),"Combien de personnes avez-vous embauchées pour travailler dans vos champs ?")</f>
        <v>Combien de personnes avez-vous embauchées pour travailler dans vos champs ?</v>
      </c>
      <c r="I2054" s="113" t="str">
        <f>IFERROR(__xludf.DUMMYFUNCTION("TRIM(REGEXREPLACE(E2054, ""[0-9]+[a-f]?\."", """"))"),"Mutane nawa kuka ɗauka don yin aiki a gonakinku?")</f>
        <v>Mutane nawa kuka ɗauka don yin aiki a gonakinku?</v>
      </c>
      <c r="J2054" s="113" t="str">
        <f t="shared" si="211"/>
        <v>294. How many different people did you hire people to work in your fields?</v>
      </c>
      <c r="K2054" s="113" t="str">
        <f t="shared" si="212"/>
        <v>294. Combien de personnes avez-vous embauchées pour travailler dans vos champs ?</v>
      </c>
      <c r="L2054" s="113" t="str">
        <f t="shared" si="213"/>
        <v>294. Mutane nawa kuka ɗauka don yin aiki a gonakinku?</v>
      </c>
    </row>
    <row r="2055">
      <c r="A2055" s="170" t="s">
        <v>238</v>
      </c>
      <c r="B2055" s="171" t="s">
        <v>4437</v>
      </c>
      <c r="C2055" s="76" t="s">
        <v>4438</v>
      </c>
      <c r="D2055" s="76" t="s">
        <v>4439</v>
      </c>
      <c r="E2055" s="76" t="s">
        <v>4440</v>
      </c>
      <c r="F2055" s="110">
        <v>295.0</v>
      </c>
      <c r="G2055" s="113" t="str">
        <f>IFERROR(__xludf.DUMMYFUNCTION("TRIM(REGEXREPLACE(C2055, ""[0-9]+[a-f]?\."", """"))"),"How many days did each laborer work in your fields?")</f>
        <v>How many days did each laborer work in your fields?</v>
      </c>
      <c r="H2055" s="113" t="str">
        <f>IFERROR(__xludf.DUMMYFUNCTION("TRIM(REGEXREPLACE(D2055, ""[0-9]+[a-f]?\."", """"))"),"Combien de jours chaque ouvrier a-t-il travaillé dans vos champs ?")</f>
        <v>Combien de jours chaque ouvrier a-t-il travaillé dans vos champs ?</v>
      </c>
      <c r="I2055" s="113" t="str">
        <f>IFERROR(__xludf.DUMMYFUNCTION("TRIM(REGEXREPLACE(E2055, ""[0-9]+[a-f]?\."", """"))"),"Kwanaki nawa kowane ma'aikaci yayi aiki a gonakinku?")</f>
        <v>Kwanaki nawa kowane ma'aikaci yayi aiki a gonakinku?</v>
      </c>
      <c r="J2055" s="113" t="str">
        <f t="shared" si="211"/>
        <v>295. How many days did each laborer work in your fields?</v>
      </c>
      <c r="K2055" s="113" t="str">
        <f t="shared" si="212"/>
        <v>295. Combien de jours chaque ouvrier a-t-il travaillé dans vos champs ?</v>
      </c>
      <c r="L2055" s="113" t="str">
        <f t="shared" si="213"/>
        <v>295. Kwanaki nawa kowane ma'aikaci yayi aiki a gonakinku?</v>
      </c>
    </row>
    <row r="2056">
      <c r="A2056" s="170" t="s">
        <v>238</v>
      </c>
      <c r="B2056" s="171" t="s">
        <v>4441</v>
      </c>
      <c r="C2056" s="76" t="s">
        <v>4442</v>
      </c>
      <c r="D2056" s="76" t="s">
        <v>4443</v>
      </c>
      <c r="E2056" s="76" t="s">
        <v>4444</v>
      </c>
      <c r="F2056" s="110">
        <v>296.0</v>
      </c>
      <c r="G2056" s="113" t="str">
        <f>IFERROR(__xludf.DUMMYFUNCTION("TRIM(REGEXREPLACE(C2056, ""[0-9]+[a-f]?\."", """"))"),"What was the daily wage you paid for people to work in your fields, or how much would you pay in CFA?")</f>
        <v>What was the daily wage you paid for people to work in your fields, or how much would you pay in CFA?</v>
      </c>
      <c r="H2056" s="113" t="str">
        <f>IFERROR(__xludf.DUMMYFUNCTION("TRIM(REGEXREPLACE(D2056, ""[0-9]+[a-f]?\."", """"))"),"Quel était le salaire journalier que vous payiez pour que les gens travaillent dans vos champs, ou combien paieriez-vous en CFA ?")</f>
        <v>Quel était le salaire journalier que vous payiez pour que les gens travaillent dans vos champs, ou combien paieriez-vous en CFA ?</v>
      </c>
      <c r="I2056" s="113" t="str">
        <f>IFERROR(__xludf.DUMMYFUNCTION("TRIM(REGEXREPLACE(E2056, ""[0-9]+[a-f]?\."", """"))"),"Nawa ne kuke biyan waɗanda suka yi aiki a gonakinku a dukkan wuni a sefa ?")</f>
        <v>Nawa ne kuke biyan waɗanda suka yi aiki a gonakinku a dukkan wuni a sefa ?</v>
      </c>
      <c r="J2056" s="113" t="str">
        <f t="shared" si="211"/>
        <v>296. What was the daily wage you paid for people to work in your fields, or how much would you pay in CFA?</v>
      </c>
      <c r="K2056" s="113" t="str">
        <f t="shared" si="212"/>
        <v>296. Quel était le salaire journalier que vous payiez pour que les gens travaillent dans vos champs, ou combien paieriez-vous en CFA ?</v>
      </c>
      <c r="L2056" s="113" t="str">
        <f t="shared" si="213"/>
        <v>296. Nawa ne kuke biyan waɗanda suka yi aiki a gonakinku a dukkan wuni a sefa ?</v>
      </c>
    </row>
    <row r="2057" hidden="1">
      <c r="A2057" s="131" t="s">
        <v>115</v>
      </c>
      <c r="B2057" s="132" t="s">
        <v>4445</v>
      </c>
      <c r="C2057" s="133" t="s">
        <v>4446</v>
      </c>
      <c r="D2057" s="133" t="s">
        <v>4447</v>
      </c>
      <c r="E2057" s="133" t="s">
        <v>4448</v>
      </c>
    </row>
    <row r="2058">
      <c r="A2058" s="114" t="s">
        <v>541</v>
      </c>
      <c r="B2058" s="165" t="s">
        <v>4450</v>
      </c>
      <c r="C2058" s="76" t="s">
        <v>4451</v>
      </c>
      <c r="D2058" s="76" t="s">
        <v>4452</v>
      </c>
      <c r="E2058" s="76" t="s">
        <v>4453</v>
      </c>
      <c r="F2058" s="110">
        <v>297.0</v>
      </c>
      <c r="G2058" s="113" t="str">
        <f>IFERROR(__xludf.DUMMYFUNCTION("TRIM(REGEXREPLACE(C2058,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2058" s="113" t="str">
        <f>IFERROR(__xludf.DUMMYFUNCTION("TRIM(REGEXREPLACE(D2058, ""[0-9]+[a-f]?\."", """"))"),"Pour toutes les dépenses pour vos champs dont nous avons parlé, vous avez payé ${hoh_total_paid} en CFA, est-ce correct ?")</f>
        <v>Pour toutes les dépenses pour vos champs dont nous avons parlé, vous avez payé ${hoh_total_paid} en CFA, est-ce correct ?</v>
      </c>
      <c r="I2058" s="113" t="str">
        <f>IFERROR(__xludf.DUMMYFUNCTION("TRIM(REGEXREPLACE(E2058,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2058" s="113" t="str">
        <f t="shared" ref="J2058:J2060" si="214">F2058 &amp; ". " &amp;G2058</f>
        <v>297. Thinking of your expenses related to labor and investment in your fields during the last agricultural season, you spent a total of ${hoh_total_paid} in CFA, is this correct?</v>
      </c>
      <c r="K2058" s="113" t="str">
        <f t="shared" ref="K2058:K2060" si="215">F2058 &amp; ". " &amp;H2058</f>
        <v>297. Pour toutes les dépenses pour vos champs dont nous avons parlé, vous avez payé ${hoh_total_paid} en CFA, est-ce correct ?</v>
      </c>
      <c r="L2058" s="113" t="str">
        <f t="shared" ref="L2058:L2060" si="216">F2058 &amp; ". " &amp;I2058</f>
        <v>297. Ku tuna da dukkan kuɗaɗen da kuka kashe a kan aikin gona a lokacin aikin noma na ƙarshe, kun kashe jimillar ${hoh_total_paid} a CFA, wannan daidai ne?</v>
      </c>
    </row>
    <row r="2059">
      <c r="A2059" s="152" t="s">
        <v>44</v>
      </c>
      <c r="B2059" s="77" t="s">
        <v>4457</v>
      </c>
      <c r="C2059" s="76" t="s">
        <v>4459</v>
      </c>
      <c r="D2059" s="76" t="s">
        <v>4460</v>
      </c>
      <c r="E2059" s="76" t="s">
        <v>4461</v>
      </c>
      <c r="F2059" s="110">
        <v>298.0</v>
      </c>
      <c r="G2059" s="113" t="str">
        <f>IFERROR(__xludf.DUMMYFUNCTION("TRIM(REGEXREPLACE(C2059, ""[0-9]+[a-f]?\."", """"))"),"Now we'll ask about any work by members of your household in fields owned by other people.")</f>
        <v>Now we'll ask about any work by members of your household in fields owned by other people.</v>
      </c>
      <c r="H2059" s="113" t="str">
        <f>IFERROR(__xludf.DUMMYFUNCTION("TRIM(REGEXREPLACE(D2059,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2059" s="113" t="str">
        <f>IFERROR(__xludf.DUMMYFUNCTION("TRIM(REGEXREPLACE(E2059, ""[0-9]+[a-f]?\."", """"))"),"Yanzu za mu yi tambayoyi game da duk wani aiki da ƴan gidanku suka yi a gonakin wasu mutane.")</f>
        <v>Yanzu za mu yi tambayoyi game da duk wani aiki da ƴan gidanku suka yi a gonakin wasu mutane.</v>
      </c>
      <c r="J2059" s="113" t="str">
        <f t="shared" si="214"/>
        <v>298. Now we'll ask about any work by members of your household in fields owned by other people.</v>
      </c>
      <c r="K2059" s="113" t="str">
        <f t="shared" si="215"/>
        <v>298. Nous allons maintenant poser des questions sur tout travail effectué par des membres de votre ménage dans des champs appartenant à d'autres personnes.</v>
      </c>
      <c r="L2059" s="113" t="str">
        <f t="shared" si="216"/>
        <v>298. Yanzu za mu yi tambayoyi game da duk wani aiki da ƴan gidanku suka yi a gonakin wasu mutane.</v>
      </c>
    </row>
    <row r="2060">
      <c r="A2060" s="114" t="s">
        <v>541</v>
      </c>
      <c r="B2060" s="165" t="s">
        <v>4463</v>
      </c>
      <c r="C2060" s="76" t="s">
        <v>2775</v>
      </c>
      <c r="D2060" s="76" t="s">
        <v>4464</v>
      </c>
      <c r="E2060" s="76" t="s">
        <v>2777</v>
      </c>
      <c r="F2060" s="110">
        <v>299.0</v>
      </c>
      <c r="G2060" s="113" t="str">
        <f>IFERROR(__xludf.DUMMYFUNCTION("TRIM(REGEXREPLACE(C2060, ""[0-9]+[a-f]?\."", """"))"),"Have any family members worked as a day labor in fields for someone else?")</f>
        <v>Have any family members worked as a day labor in fields for someone else?</v>
      </c>
      <c r="H2060" s="113" t="str">
        <f>IFERROR(__xludf.DUMMYFUNCTION("TRIM(REGEXREPLACE(D2060,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2060" s="113" t="str">
        <f>IFERROR(__xludf.DUMMYFUNCTION("TRIM(REGEXREPLACE(E2060, ""[0-9]+[a-f]?\."", """"))"),"Ko wani ɗan gidanku ya yi aiki a matsayin ɗan barema a gonar wani?")</f>
        <v>Ko wani ɗan gidanku ya yi aiki a matsayin ɗan barema a gonar wani?</v>
      </c>
      <c r="J2060" s="113" t="str">
        <f t="shared" si="214"/>
        <v>299. Have any family members worked as a day labor in fields for someone else?</v>
      </c>
      <c r="K2060" s="113" t="str">
        <f t="shared" si="215"/>
        <v>299. Pensez à tout membre de votre ménage, y-a t-il des membres de votre ménage qui ont travaillé comme journaliers dans le champs de quelqu'un d'autre ?</v>
      </c>
      <c r="L2060" s="113" t="str">
        <f t="shared" si="216"/>
        <v>299. Ko wani ɗan gidanku ya yi aiki a matsayin ɗan barema a gonar wani?</v>
      </c>
    </row>
    <row r="2061" hidden="1">
      <c r="A2061" s="131" t="s">
        <v>150</v>
      </c>
      <c r="B2061" s="164" t="s">
        <v>4468</v>
      </c>
      <c r="C2061" s="133"/>
      <c r="D2061" s="133"/>
      <c r="E2061" s="133"/>
    </row>
    <row r="2062" hidden="1">
      <c r="A2062" s="80" t="s">
        <v>115</v>
      </c>
      <c r="B2062" s="81" t="s">
        <v>4469</v>
      </c>
      <c r="C2062" s="82"/>
      <c r="D2062" s="83"/>
      <c r="E2062" s="83"/>
    </row>
    <row r="2063" hidden="1">
      <c r="A2063" s="131" t="s">
        <v>150</v>
      </c>
      <c r="B2063" s="164" t="s">
        <v>4470</v>
      </c>
      <c r="C2063" s="133"/>
      <c r="D2063" s="133"/>
      <c r="E2063" s="133"/>
    </row>
    <row r="2064" hidden="1">
      <c r="A2064" s="167" t="s">
        <v>807</v>
      </c>
      <c r="B2064" s="168" t="s">
        <v>4471</v>
      </c>
      <c r="C2064" s="168" t="s">
        <v>4472</v>
      </c>
      <c r="D2064" s="169" t="s">
        <v>4473</v>
      </c>
      <c r="E2064" s="169" t="s">
        <v>4475</v>
      </c>
    </row>
    <row r="2065" hidden="1">
      <c r="A2065" s="131" t="s">
        <v>115</v>
      </c>
      <c r="B2065" s="132" t="s">
        <v>4477</v>
      </c>
      <c r="C2065" s="133"/>
      <c r="D2065" s="133"/>
      <c r="E2065" s="133"/>
    </row>
    <row r="2066" hidden="1">
      <c r="A2066" s="131" t="s">
        <v>115</v>
      </c>
      <c r="B2066" s="132" t="s">
        <v>4478</v>
      </c>
      <c r="C2066" s="133"/>
      <c r="D2066" s="133"/>
      <c r="E2066" s="133"/>
    </row>
    <row r="2067">
      <c r="A2067" s="170" t="s">
        <v>238</v>
      </c>
      <c r="B2067" s="171" t="s">
        <v>4479</v>
      </c>
      <c r="C2067" s="76" t="s">
        <v>2800</v>
      </c>
      <c r="D2067" s="76" t="s">
        <v>2801</v>
      </c>
      <c r="E2067" s="76" t="s">
        <v>2802</v>
      </c>
      <c r="F2067" s="110">
        <v>300.0</v>
      </c>
      <c r="G2067" s="113" t="str">
        <f>IFERROR(__xludf.DUMMYFUNCTION("TRIM(REGEXREPLACE(C2067, ""[0-9]+[a-f]?\."", """"))"),"Can you estimate how many days ${hoh_paid_name} worked as a day laborer in the fields for someone else?")</f>
        <v>Can you estimate how many days ${hoh_paid_name} worked as a day laborer in the fields for someone else?</v>
      </c>
      <c r="H2067" s="113" t="str">
        <f>IFERROR(__xludf.DUMMYFUNCTION("TRIM(REGEXREPLACE(D2067, ""[0-9]+[a-f]?\."", """"))"),"Pouvez-vous estimer combien de jours ${hoh_paid_name} a travaillé comme journalier dans les champs d'autres personnes ?")</f>
        <v>Pouvez-vous estimer combien de jours ${hoh_paid_name} a travaillé comme journalier dans les champs d'autres personnes ?</v>
      </c>
      <c r="I2067" s="113" t="str">
        <f>IFERROR(__xludf.DUMMYFUNCTION("TRIM(REGEXREPLACE(E2067, ""[0-9]+[a-f]?\."", """"))"),"Za ku iya misalta ko wuni nawa ${hoh_paid_name} yayi aiki a matsayin ma'aikacin barema a gonar wasu mutane?")</f>
        <v>Za ku iya misalta ko wuni nawa ${hoh_paid_name} yayi aiki a matsayin ma'aikacin barema a gonar wasu mutane?</v>
      </c>
      <c r="J2067" s="113" t="str">
        <f t="shared" ref="J2067:J2068" si="217">F2067 &amp; ". " &amp;G2067</f>
        <v>300. Can you estimate how many days ${hoh_paid_name} worked as a day laborer in the fields for someone else?</v>
      </c>
      <c r="K2067" s="113" t="str">
        <f t="shared" ref="K2067:K2068" si="218">F2067 &amp; ". " &amp;H2067</f>
        <v>300. Pouvez-vous estimer combien de jours ${hoh_paid_name} a travaillé comme journalier dans les champs d'autres personnes ?</v>
      </c>
      <c r="L2067" s="113" t="str">
        <f t="shared" ref="L2067:L2068" si="219">F2067 &amp; ". " &amp;I2067</f>
        <v>300. Za ku iya misalta ko wuni nawa ${hoh_paid_name} yayi aiki a matsayin ma'aikacin barema a gonar wasu mutane?</v>
      </c>
    </row>
    <row r="2068">
      <c r="A2068" s="170" t="s">
        <v>238</v>
      </c>
      <c r="B2068" s="171" t="s">
        <v>4483</v>
      </c>
      <c r="C2068" s="76" t="s">
        <v>4484</v>
      </c>
      <c r="D2068" s="76" t="s">
        <v>4485</v>
      </c>
      <c r="E2068" s="76" t="s">
        <v>4486</v>
      </c>
      <c r="F2068" s="110">
        <v>301.0</v>
      </c>
      <c r="G2068" s="113" t="str">
        <f>IFERROR(__xludf.DUMMYFUNCTION("TRIM(REGEXREPLACE(C2068, ""[0-9]+[a-f]?\."", """"))"),"What was the daily wage paid to ${hoh_paid_name} working as a day laborer for someone else in CFA?")</f>
        <v>What was the daily wage paid to ${hoh_paid_name} working as a day laborer for someone else in CFA?</v>
      </c>
      <c r="H2068" s="113" t="str">
        <f>IFERROR(__xludf.DUMMYFUNCTION("TRIM(REGEXREPLACE(D2068, ""[0-9]+[a-f]?\."", """"))"),"Quel était le salaire journalier payé à ${hoh_paid_name} travaillant comme journalier pour quelqu'un d'autre en CFA ?")</f>
        <v>Quel était le salaire journalier payé à ${hoh_paid_name} travaillant comme journalier pour quelqu'un d'autre en CFA ?</v>
      </c>
      <c r="I2068" s="113" t="str">
        <f>IFERROR(__xludf.DUMMYFUNCTION("TRIM(REGEXREPLACE(E2068, ""[0-9]+[a-f]?\."", """"))"),"Nawa biyan ${hoh_paid_name} na wuni a lokacin da yake barema a gonar wani a sefa?")</f>
        <v>Nawa biyan ${hoh_paid_name} na wuni a lokacin da yake barema a gonar wani a sefa?</v>
      </c>
      <c r="J2068" s="113" t="str">
        <f t="shared" si="217"/>
        <v>301. What was the daily wage paid to ${hoh_paid_name} working as a day laborer for someone else in CFA?</v>
      </c>
      <c r="K2068" s="113" t="str">
        <f t="shared" si="218"/>
        <v>301. Quel était le salaire journalier payé à ${hoh_paid_name} travaillant comme journalier pour quelqu'un d'autre en CFA ?</v>
      </c>
      <c r="L2068" s="113" t="str">
        <f t="shared" si="219"/>
        <v>301. Nawa biyan ${hoh_paid_name} na wuni a lokacin da yake barema a gonar wani a sefa?</v>
      </c>
    </row>
    <row r="2069" hidden="1">
      <c r="A2069" s="131" t="s">
        <v>115</v>
      </c>
      <c r="B2069" s="132" t="s">
        <v>4489</v>
      </c>
      <c r="C2069" s="133" t="s">
        <v>4490</v>
      </c>
      <c r="D2069" s="133" t="s">
        <v>4491</v>
      </c>
      <c r="E2069" s="133" t="s">
        <v>4492</v>
      </c>
    </row>
    <row r="2070" hidden="1">
      <c r="A2070" s="167" t="s">
        <v>842</v>
      </c>
      <c r="B2070" s="169" t="s">
        <v>4471</v>
      </c>
      <c r="C2070" s="169"/>
      <c r="D2070" s="169"/>
      <c r="E2070" s="169"/>
    </row>
    <row r="2071" hidden="1">
      <c r="A2071" s="131" t="s">
        <v>150</v>
      </c>
      <c r="B2071" s="164" t="s">
        <v>4493</v>
      </c>
      <c r="C2071" s="133"/>
      <c r="D2071" s="133"/>
      <c r="E2071" s="133"/>
    </row>
    <row r="2072" hidden="1">
      <c r="A2072" s="80" t="s">
        <v>115</v>
      </c>
      <c r="B2072" s="81" t="s">
        <v>4496</v>
      </c>
      <c r="C2072" s="82"/>
      <c r="D2072" s="83"/>
      <c r="E2072" s="83"/>
    </row>
    <row r="2073">
      <c r="A2073" s="114" t="s">
        <v>541</v>
      </c>
      <c r="B2073" s="165" t="s">
        <v>4497</v>
      </c>
      <c r="C2073" s="76" t="s">
        <v>4498</v>
      </c>
      <c r="D2073" s="76" t="s">
        <v>4499</v>
      </c>
      <c r="E2073" s="76" t="s">
        <v>4500</v>
      </c>
      <c r="F2073" s="110">
        <v>302.0</v>
      </c>
      <c r="G2073" s="113" t="str">
        <f>IFERROR(__xludf.DUMMYFUNCTION("TRIM(REGEXREPLACE(C2073, ""[0-9]+[a-f]?\."", """"))"),"Thinking about the last agricultural season, did you need to pay other expenses we did not ask you about?")</f>
        <v>Thinking about the last agricultural season, did you need to pay other expenses we did not ask you about?</v>
      </c>
      <c r="H2073" s="113" t="str">
        <f>IFERROR(__xludf.DUMMYFUNCTION("TRIM(REGEXREPLACE(D2073, ""[0-9]+[a-f]?\."", """"))"),"En pensant à la dernière saison agricole, avez-vous dû faire d'autres dépenses dont nous n'avons pas parlé ?")</f>
        <v>En pensant à la dernière saison agricole, avez-vous dû faire d'autres dépenses dont nous n'avons pas parlé ?</v>
      </c>
      <c r="I2073" s="113" t="str">
        <f>IFERROR(__xludf.DUMMYFUNCTION("TRIM(REGEXREPLACE(E2073, ""[0-9]+[a-f]?\."", """"))"),"A tunaninka a lokacin noman da ya gabata, akwai wasu kashe kashen kuɗi da kuka yi wanda ba mu yi zancen su ba?")</f>
        <v>A tunaninka a lokacin noman da ya gabata, akwai wasu kashe kashen kuɗi da kuka yi wanda ba mu yi zancen su ba?</v>
      </c>
      <c r="J2073" s="113" t="str">
        <f t="shared" ref="J2073:J2075" si="220">F2073 &amp; ". " &amp;G2073</f>
        <v>302. Thinking about the last agricultural season, did you need to pay other expenses we did not ask you about?</v>
      </c>
      <c r="K2073" s="113" t="str">
        <f t="shared" ref="K2073:K2075" si="221">F2073 &amp; ". " &amp;H2073</f>
        <v>302. En pensant à la dernière saison agricole, avez-vous dû faire d'autres dépenses dont nous n'avons pas parlé ?</v>
      </c>
      <c r="L2073" s="113" t="str">
        <f t="shared" ref="L2073:L2075" si="222">F2073 &amp; ". " &amp;I2073</f>
        <v>302. A tunaninka a lokacin noman da ya gabata, akwai wasu kashe kashen kuɗi da kuka yi wanda ba mu yi zancen su ba?</v>
      </c>
    </row>
    <row r="2074">
      <c r="A2074" s="162" t="s">
        <v>217</v>
      </c>
      <c r="B2074" s="166" t="s">
        <v>4505</v>
      </c>
      <c r="C2074" s="76" t="s">
        <v>4506</v>
      </c>
      <c r="D2074" s="76" t="s">
        <v>4507</v>
      </c>
      <c r="E2074" s="76" t="s">
        <v>4508</v>
      </c>
      <c r="F2074" s="110">
        <v>303.0</v>
      </c>
      <c r="G2074" s="113" t="str">
        <f>IFERROR(__xludf.DUMMYFUNCTION("TRIM(REGEXREPLACE(C2074, ""[0-9]+[a-f]?\."", """"))"),"What was the expense?")</f>
        <v>What was the expense?</v>
      </c>
      <c r="H2074" s="113" t="str">
        <f>IFERROR(__xludf.DUMMYFUNCTION("TRIM(REGEXREPLACE(D2074, ""[0-9]+[a-f]?\."", """"))"),"Quelle était la dépense ?")</f>
        <v>Quelle était la dépense ?</v>
      </c>
      <c r="I2074" s="113" t="str">
        <f>IFERROR(__xludf.DUMMYFUNCTION("TRIM(REGEXREPLACE(E2074, ""[0-9]+[a-f]?\."", """"))"),"wane kashe kuɗi ne ?")</f>
        <v>wane kashe kuɗi ne ?</v>
      </c>
      <c r="J2074" s="113" t="str">
        <f t="shared" si="220"/>
        <v>303. What was the expense?</v>
      </c>
      <c r="K2074" s="113" t="str">
        <f t="shared" si="221"/>
        <v>303. Quelle était la dépense ?</v>
      </c>
      <c r="L2074" s="113" t="str">
        <f t="shared" si="222"/>
        <v>303. wane kashe kuɗi ne ?</v>
      </c>
    </row>
    <row r="2075">
      <c r="A2075" s="170" t="s">
        <v>238</v>
      </c>
      <c r="B2075" s="171" t="s">
        <v>4511</v>
      </c>
      <c r="C2075" s="76" t="s">
        <v>4512</v>
      </c>
      <c r="D2075" s="76" t="s">
        <v>4513</v>
      </c>
      <c r="E2075" s="76" t="s">
        <v>4514</v>
      </c>
      <c r="F2075" s="110">
        <v>304.0</v>
      </c>
      <c r="G2075" s="113" t="str">
        <f>IFERROR(__xludf.DUMMYFUNCTION("TRIM(REGEXREPLACE(C2075, ""[0-9]+[a-f]?\."", """"))"),"What was the approximate value of ${hoh_ag_exp_other_name} in CFA?")</f>
        <v>What was the approximate value of ${hoh_ag_exp_other_name} in CFA?</v>
      </c>
      <c r="H2075" s="113" t="str">
        <f>IFERROR(__xludf.DUMMYFUNCTION("TRIM(REGEXREPLACE(D2075, ""[0-9]+[a-f]?\."", """"))"),"Quelle était la valeur approximative de ${hoh_ag_exp_other_name} en CFA ?")</f>
        <v>Quelle était la valeur approximative de ${hoh_ag_exp_other_name} en CFA ?</v>
      </c>
      <c r="I2075" s="113" t="str">
        <f>IFERROR(__xludf.DUMMYFUNCTION("TRIM(REGEXREPLACE(E2075, ""[0-9]+[a-f]?\."", """"))"),"Nawa farashin ${hoh_ag_exp_other_name} a wacan lokacin a sefa?")</f>
        <v>Nawa farashin ${hoh_ag_exp_other_name} a wacan lokacin a sefa?</v>
      </c>
      <c r="J2075" s="113" t="str">
        <f t="shared" si="220"/>
        <v>304. What was the approximate value of ${hoh_ag_exp_other_name} in CFA?</v>
      </c>
      <c r="K2075" s="113" t="str">
        <f t="shared" si="221"/>
        <v>304. Quelle était la valeur approximative de ${hoh_ag_exp_other_name} en CFA ?</v>
      </c>
      <c r="L2075" s="113" t="str">
        <f t="shared" si="222"/>
        <v>304. Nawa farashin ${hoh_ag_exp_other_name} a wacan lokacin a sefa?</v>
      </c>
    </row>
    <row r="2076" hidden="1">
      <c r="A2076" s="131" t="s">
        <v>115</v>
      </c>
      <c r="B2076" s="132" t="s">
        <v>4515</v>
      </c>
      <c r="C2076" s="133" t="s">
        <v>4516</v>
      </c>
      <c r="D2076" s="133"/>
      <c r="E2076" s="133"/>
    </row>
    <row r="2077" hidden="1">
      <c r="A2077" s="131" t="s">
        <v>115</v>
      </c>
      <c r="B2077" s="132" t="s">
        <v>4517</v>
      </c>
      <c r="C2077" s="133" t="s">
        <v>4519</v>
      </c>
      <c r="D2077" s="133"/>
      <c r="E2077" s="133"/>
    </row>
    <row r="2078" hidden="1">
      <c r="A2078" s="131" t="s">
        <v>115</v>
      </c>
      <c r="B2078" s="132" t="s">
        <v>4520</v>
      </c>
      <c r="C2078" s="133" t="s">
        <v>4521</v>
      </c>
      <c r="D2078" s="133"/>
      <c r="E2078" s="133"/>
    </row>
    <row r="2079" hidden="1">
      <c r="A2079" s="131" t="s">
        <v>115</v>
      </c>
      <c r="B2079" s="132" t="s">
        <v>4523</v>
      </c>
      <c r="C2079" s="133" t="s">
        <v>4524</v>
      </c>
      <c r="D2079" s="133"/>
      <c r="E2079" s="133"/>
    </row>
    <row r="2080" hidden="1">
      <c r="A2080" s="131" t="s">
        <v>115</v>
      </c>
      <c r="B2080" s="132" t="s">
        <v>4526</v>
      </c>
      <c r="C2080" s="133" t="s">
        <v>4527</v>
      </c>
      <c r="D2080" s="133"/>
      <c r="E2080" s="133"/>
    </row>
    <row r="2081" hidden="1">
      <c r="A2081" s="131" t="s">
        <v>115</v>
      </c>
      <c r="B2081" s="132" t="s">
        <v>4528</v>
      </c>
      <c r="C2081" s="133" t="s">
        <v>4529</v>
      </c>
      <c r="D2081" s="133"/>
      <c r="E2081" s="133"/>
    </row>
    <row r="2082" hidden="1">
      <c r="A2082" s="131" t="s">
        <v>115</v>
      </c>
      <c r="B2082" s="132" t="s">
        <v>4530</v>
      </c>
      <c r="C2082" s="133" t="s">
        <v>4531</v>
      </c>
      <c r="D2082" s="133"/>
      <c r="E2082" s="133"/>
    </row>
    <row r="2083" hidden="1">
      <c r="A2083" s="131" t="s">
        <v>115</v>
      </c>
      <c r="B2083" s="132" t="s">
        <v>4532</v>
      </c>
      <c r="C2083" s="133" t="s">
        <v>4533</v>
      </c>
      <c r="D2083" s="133"/>
      <c r="E2083" s="133"/>
    </row>
    <row r="2084" hidden="1">
      <c r="A2084" s="131" t="s">
        <v>115</v>
      </c>
      <c r="B2084" s="132" t="s">
        <v>4534</v>
      </c>
      <c r="C2084" s="133"/>
      <c r="D2084" s="133"/>
      <c r="E2084" s="133"/>
    </row>
    <row r="2085">
      <c r="A2085" s="114" t="s">
        <v>541</v>
      </c>
      <c r="B2085" s="165" t="s">
        <v>4537</v>
      </c>
      <c r="C2085" s="76" t="s">
        <v>4539</v>
      </c>
      <c r="D2085" s="76" t="s">
        <v>4541</v>
      </c>
      <c r="E2085" s="76" t="s">
        <v>4542</v>
      </c>
      <c r="F2085" s="110">
        <v>305.0</v>
      </c>
      <c r="G2085" s="113" t="str">
        <f>IFERROR(__xludf.DUMMYFUNCTION("TRIM(REGEXREPLACE(C2085, ""[0-9]+[a-f]?\."", """"))"),"Total income: ${hoh_total_income}
 Does this seem right?")</f>
        <v>Total income: ${hoh_total_income}
 Does this seem right?</v>
      </c>
      <c r="H2085" s="113" t="str">
        <f>IFERROR(__xludf.DUMMYFUNCTION("TRIM(REGEXREPLACE(D2085, ""[0-9]+[a-f]?\."", """"))"),"Revenu total : ${hoh_total_income}
 Cela vous semble-t-il juste ?")</f>
        <v>Revenu total : ${hoh_total_income}
 Cela vous semble-t-il juste ?</v>
      </c>
      <c r="I2085" s="113" t="str">
        <f>IFERROR(__xludf.DUMMYFUNCTION("TRIM(REGEXREPLACE(E2085, ""[0-9]+[a-f]?\."", """"))"),"Jimillar kuɗin shiga: ${hoh_total_income}
 ko kuna ganin hakan yayi daidai?")</f>
        <v>Jimillar kuɗin shiga: ${hoh_total_income}
 ko kuna ganin hakan yayi daidai?</v>
      </c>
      <c r="J2085" s="113" t="str">
        <f t="shared" ref="J2085:J2086" si="223">F2085 &amp; ". " &amp;G2085</f>
        <v>305. Total income: ${hoh_total_income}
 Does this seem right?</v>
      </c>
      <c r="K2085" s="113" t="str">
        <f t="shared" ref="K2085:K2086" si="224">F2085 &amp; ". " &amp;H2085</f>
        <v>305. Revenu total : ${hoh_total_income}
 Cela vous semble-t-il juste ?</v>
      </c>
      <c r="L2085" s="113" t="str">
        <f t="shared" ref="L2085:L2086" si="225">F2085 &amp; ". " &amp;I2085</f>
        <v>305. Jimillar kuɗin shiga: ${hoh_total_income}
 ko kuna ganin hakan yayi daidai?</v>
      </c>
    </row>
    <row r="2086">
      <c r="A2086" s="152" t="s">
        <v>44</v>
      </c>
      <c r="B2086" s="253" t="s">
        <v>4543</v>
      </c>
      <c r="C2086" s="76" t="s">
        <v>2844</v>
      </c>
      <c r="D2086" s="76" t="s">
        <v>2845</v>
      </c>
      <c r="E2086" s="76" t="s">
        <v>2846</v>
      </c>
      <c r="F2086" s="110">
        <v>306.0</v>
      </c>
      <c r="G2086" s="113" t="str">
        <f>IFERROR(__xludf.DUMMYFUNCTION("TRIM(REGEXREPLACE(C2086, ""[0-9]+[a-f]?\."", """"))"),"Now we'll ask about income generating activity from animal husbandry in the past three months")</f>
        <v>Now we'll ask about income generating activity from animal husbandry in the past three months</v>
      </c>
      <c r="H2086" s="113" t="str">
        <f>IFERROR(__xludf.DUMMYFUNCTION("TRIM(REGEXREPLACE(D2086,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2086" s="113" t="str">
        <f>IFERROR(__xludf.DUMMYFUNCTION("TRIM(REGEXREPLACE(E2086, ""[0-9]+[a-f]?\."", """"))"),"Yanzu za mu yi hira game da ayyukan samar da kuɗaɗen shiga na kiwo a cikin watanni uku da suka gabata")</f>
        <v>Yanzu za mu yi hira game da ayyukan samar da kuɗaɗen shiga na kiwo a cikin watanni uku da suka gabata</v>
      </c>
      <c r="J2086" s="113" t="str">
        <f t="shared" si="223"/>
        <v>306. Now we'll ask about income generating activity from animal husbandry in the past three months</v>
      </c>
      <c r="K2086" s="113" t="str">
        <f t="shared" si="224"/>
        <v>306. Maintenant, nous allons poser des questions sur l'activité génératrice de revenus liée à l'élevage au cours des trois derniers mois</v>
      </c>
      <c r="L2086" s="113" t="str">
        <f t="shared" si="225"/>
        <v>306. Yanzu za mu yi hira game da ayyukan samar da kuɗaɗen shiga na kiwo a cikin watanni uku da suka gabata</v>
      </c>
    </row>
    <row r="2087" hidden="1">
      <c r="A2087" s="131" t="s">
        <v>150</v>
      </c>
      <c r="B2087" s="164" t="s">
        <v>4546</v>
      </c>
      <c r="C2087" s="133"/>
      <c r="D2087" s="133"/>
      <c r="E2087" s="133"/>
    </row>
    <row r="2088" hidden="1">
      <c r="A2088" s="167" t="s">
        <v>807</v>
      </c>
      <c r="B2088" s="168" t="s">
        <v>4548</v>
      </c>
      <c r="C2088" s="168" t="s">
        <v>4549</v>
      </c>
      <c r="D2088" s="169" t="s">
        <v>4550</v>
      </c>
      <c r="E2088" s="169" t="s">
        <v>4551</v>
      </c>
    </row>
    <row r="2089" hidden="1">
      <c r="A2089" s="131" t="s">
        <v>115</v>
      </c>
      <c r="B2089" s="132" t="s">
        <v>4552</v>
      </c>
      <c r="C2089" s="133"/>
      <c r="D2089" s="133"/>
      <c r="E2089" s="133"/>
    </row>
    <row r="2090">
      <c r="A2090" s="170" t="s">
        <v>238</v>
      </c>
      <c r="B2090" s="171" t="s">
        <v>4553</v>
      </c>
      <c r="C2090" s="76" t="s">
        <v>4554</v>
      </c>
      <c r="D2090" s="76" t="s">
        <v>4555</v>
      </c>
      <c r="E2090" s="76" t="s">
        <v>4556</v>
      </c>
      <c r="F2090" s="110">
        <v>307.0</v>
      </c>
      <c r="G2090" s="113" t="str">
        <f>IFERROR(__xludf.DUMMYFUNCTION("TRIM(REGEXREPLACE(C2090, ""[0-9]+[a-f]?\."", """"))"),"How many ${hoh_livestock_act_name} did you buy?")</f>
        <v>How many ${hoh_livestock_act_name} did you buy?</v>
      </c>
      <c r="H2090" s="113" t="str">
        <f>IFERROR(__xludf.DUMMYFUNCTION("TRIM(REGEXREPLACE(D2090, ""[0-9]+[a-f]?\."", """"))"),"Au cours des trois derniers mois, combien de ${hoh_livestock_act_name} avez-vous acheté ?")</f>
        <v>Au cours des trois derniers mois, combien de ${hoh_livestock_act_name} avez-vous acheté ?</v>
      </c>
      <c r="I2090" s="113" t="str">
        <f>IFERROR(__xludf.DUMMYFUNCTION("TRIM(REGEXREPLACE(E2090, ""[0-9]+[a-f]?\."", """"))"),"${hoh_livestock_act_name} Nawa kuka saye?")</f>
        <v>${hoh_livestock_act_name} Nawa kuka saye?</v>
      </c>
      <c r="J2090" s="113" t="str">
        <f t="shared" ref="J2090:J2095" si="226">F2090 &amp; ". " &amp;G2090</f>
        <v>307. How many ${hoh_livestock_act_name} did you buy?</v>
      </c>
      <c r="K2090" s="113" t="str">
        <f t="shared" ref="K2090:K2095" si="227">F2090 &amp; ". " &amp;H2090</f>
        <v>307. Au cours des trois derniers mois, combien de ${hoh_livestock_act_name} avez-vous acheté ?</v>
      </c>
      <c r="L2090" s="113" t="str">
        <f t="shared" ref="L2090:L2095" si="228">F2090 &amp; ". " &amp;I2090</f>
        <v>307. ${hoh_livestock_act_name} Nawa kuka saye?</v>
      </c>
    </row>
    <row r="2091">
      <c r="A2091" s="170" t="s">
        <v>238</v>
      </c>
      <c r="B2091" s="266" t="s">
        <v>4558</v>
      </c>
      <c r="C2091" s="76" t="s">
        <v>4559</v>
      </c>
      <c r="D2091" s="76"/>
      <c r="E2091" s="76"/>
      <c r="F2091" s="110">
        <v>308.0</v>
      </c>
      <c r="G2091" s="113" t="str">
        <f>IFERROR(__xludf.DUMMYFUNCTION("TRIM(REGEXREPLACE(C2091, ""[0-9]+[a-f]?\."", """"))"),"How much did you buy ${hoh_livestock_act_name} for in CFA?")</f>
        <v>How much did you buy ${hoh_livestock_act_name} for in CFA?</v>
      </c>
      <c r="H2091" s="113" t="str">
        <f>IFERROR(__xludf.DUMMYFUNCTION("TRIM(REGEXREPLACE(D2091, ""[0-9]+[a-f]?\."", """"))"),"")</f>
        <v/>
      </c>
      <c r="I2091" s="113" t="str">
        <f>IFERROR(__xludf.DUMMYFUNCTION("TRIM(REGEXREPLACE(E2091, ""[0-9]+[a-f]?\."", """"))"),"")</f>
        <v/>
      </c>
      <c r="J2091" s="113" t="str">
        <f t="shared" si="226"/>
        <v>308. How much did you buy ${hoh_livestock_act_name} for in CFA?</v>
      </c>
      <c r="K2091" s="113" t="str">
        <f t="shared" si="227"/>
        <v>308. </v>
      </c>
      <c r="L2091" s="113" t="str">
        <f t="shared" si="228"/>
        <v>308. </v>
      </c>
    </row>
    <row r="2092">
      <c r="A2092" s="170" t="s">
        <v>238</v>
      </c>
      <c r="B2092" s="171" t="s">
        <v>4563</v>
      </c>
      <c r="C2092" s="76" t="s">
        <v>4564</v>
      </c>
      <c r="D2092" s="76" t="s">
        <v>4565</v>
      </c>
      <c r="E2092" s="76" t="s">
        <v>4566</v>
      </c>
      <c r="F2092" s="110">
        <v>309.0</v>
      </c>
      <c r="G2092" s="113" t="str">
        <f>IFERROR(__xludf.DUMMYFUNCTION("TRIM(REGEXREPLACE(C2092, ""[0-9]+[a-f]?\."", """"))"),"How many ${hoh_livestock_act_name} did you sell?")</f>
        <v>How many ${hoh_livestock_act_name} did you sell?</v>
      </c>
      <c r="H2092" s="113" t="str">
        <f>IFERROR(__xludf.DUMMYFUNCTION("TRIM(REGEXREPLACE(D2092, ""[0-9]+[a-f]?\."", """"))"),"Au cours des trois derniers mois, combien de ${hoh_livestock_act_name} avez-vous vendu ?")</f>
        <v>Au cours des trois derniers mois, combien de ${hoh_livestock_act_name} avez-vous vendu ?</v>
      </c>
      <c r="I2092" s="113" t="str">
        <f>IFERROR(__xludf.DUMMYFUNCTION("TRIM(REGEXREPLACE(E2092, ""[0-9]+[a-f]?\."", """"))"),"${hoh_livestock_act_name} nawa kuka saida?")</f>
        <v>${hoh_livestock_act_name} nawa kuka saida?</v>
      </c>
      <c r="J2092" s="113" t="str">
        <f t="shared" si="226"/>
        <v>309. How many ${hoh_livestock_act_name} did you sell?</v>
      </c>
      <c r="K2092" s="113" t="str">
        <f t="shared" si="227"/>
        <v>309. Au cours des trois derniers mois, combien de ${hoh_livestock_act_name} avez-vous vendu ?</v>
      </c>
      <c r="L2092" s="113" t="str">
        <f t="shared" si="228"/>
        <v>309. ${hoh_livestock_act_name} nawa kuka saida?</v>
      </c>
    </row>
    <row r="2093">
      <c r="A2093" s="170" t="s">
        <v>238</v>
      </c>
      <c r="B2093" s="266" t="s">
        <v>4568</v>
      </c>
      <c r="C2093" s="76" t="s">
        <v>4569</v>
      </c>
      <c r="D2093" s="76"/>
      <c r="E2093" s="76"/>
      <c r="F2093" s="110">
        <v>310.0</v>
      </c>
      <c r="G2093" s="113" t="str">
        <f>IFERROR(__xludf.DUMMYFUNCTION("TRIM(REGEXREPLACE(C2093, ""[0-9]+[a-f]?\."", """"))"),"How much did you sell ${hoh_livestock_act_name} for in CFA?")</f>
        <v>How much did you sell ${hoh_livestock_act_name} for in CFA?</v>
      </c>
      <c r="H2093" s="113" t="str">
        <f>IFERROR(__xludf.DUMMYFUNCTION("TRIM(REGEXREPLACE(D2093, ""[0-9]+[a-f]?\."", """"))"),"")</f>
        <v/>
      </c>
      <c r="I2093" s="113" t="str">
        <f>IFERROR(__xludf.DUMMYFUNCTION("TRIM(REGEXREPLACE(E2093, ""[0-9]+[a-f]?\."", """"))"),"")</f>
        <v/>
      </c>
      <c r="J2093" s="113" t="str">
        <f t="shared" si="226"/>
        <v>310. How much did you sell ${hoh_livestock_act_name} for in CFA?</v>
      </c>
      <c r="K2093" s="113" t="str">
        <f t="shared" si="227"/>
        <v>310. </v>
      </c>
      <c r="L2093" s="113" t="str">
        <f t="shared" si="228"/>
        <v>310. </v>
      </c>
    </row>
    <row r="2094">
      <c r="A2094" s="170" t="s">
        <v>238</v>
      </c>
      <c r="B2094" s="171" t="s">
        <v>4570</v>
      </c>
      <c r="C2094" s="76" t="s">
        <v>4571</v>
      </c>
      <c r="D2094" s="76" t="s">
        <v>4572</v>
      </c>
      <c r="E2094" s="76" t="s">
        <v>4573</v>
      </c>
      <c r="F2094" s="110">
        <v>311.0</v>
      </c>
      <c r="G2094" s="113" t="str">
        <f>IFERROR(__xludf.DUMMYFUNCTION("TRIM(REGEXREPLACE(C2094, ""[0-9]+[a-f]?\."", """"))"),"How many ${hoh_livestock_act_name} did you consume?")</f>
        <v>How many ${hoh_livestock_act_name} did you consume?</v>
      </c>
      <c r="H2094" s="113" t="str">
        <f>IFERROR(__xludf.DUMMYFUNCTION("TRIM(REGEXREPLACE(D2094, ""[0-9]+[a-f]?\."", """"))"),"Au cours des trois derniers mois, combien de ${hoh_livestock_act_name} avez-vous consommé ?")</f>
        <v>Au cours des trois derniers mois, combien de ${hoh_livestock_act_name} avez-vous consommé ?</v>
      </c>
      <c r="I2094" s="113" t="str">
        <f>IFERROR(__xludf.DUMMYFUNCTION("TRIM(REGEXREPLACE(E2094, ""[0-9]+[a-f]?\."", """"))"),"${hoh_livestock_act_name} Nawa kuka cinye ?")</f>
        <v>${hoh_livestock_act_name} Nawa kuka cinye ?</v>
      </c>
      <c r="J2094" s="113" t="str">
        <f t="shared" si="226"/>
        <v>311. How many ${hoh_livestock_act_name} did you consume?</v>
      </c>
      <c r="K2094" s="113" t="str">
        <f t="shared" si="227"/>
        <v>311. Au cours des trois derniers mois, combien de ${hoh_livestock_act_name} avez-vous consommé ?</v>
      </c>
      <c r="L2094" s="113" t="str">
        <f t="shared" si="228"/>
        <v>311. ${hoh_livestock_act_name} Nawa kuka cinye ?</v>
      </c>
    </row>
    <row r="2095">
      <c r="A2095" s="170" t="s">
        <v>238</v>
      </c>
      <c r="B2095" s="266" t="s">
        <v>4574</v>
      </c>
      <c r="C2095" s="76" t="s">
        <v>4575</v>
      </c>
      <c r="D2095" s="169"/>
      <c r="E2095" s="169"/>
      <c r="F2095" s="110">
        <v>312.0</v>
      </c>
      <c r="G2095" s="113" t="str">
        <f>IFERROR(__xludf.DUMMYFUNCTION("TRIM(REGEXREPLACE(C2095, ""[0-9]+[a-f]?\."", """"))"),"If you were to sell the ${hoh_livestock_act_name} you consumed, how much would you sell them for in CFA?")</f>
        <v>If you were to sell the ${hoh_livestock_act_name} you consumed, how much would you sell them for in CFA?</v>
      </c>
      <c r="H2095" s="113" t="str">
        <f>IFERROR(__xludf.DUMMYFUNCTION("TRIM(REGEXREPLACE(D2095, ""[0-9]+[a-f]?\."", """"))"),"")</f>
        <v/>
      </c>
      <c r="I2095" s="113" t="str">
        <f>IFERROR(__xludf.DUMMYFUNCTION("TRIM(REGEXREPLACE(E2095, ""[0-9]+[a-f]?\."", """"))"),"")</f>
        <v/>
      </c>
      <c r="J2095" s="113" t="str">
        <f t="shared" si="226"/>
        <v>312. If you were to sell the ${hoh_livestock_act_name} you consumed, how much would you sell them for in CFA?</v>
      </c>
      <c r="K2095" s="113" t="str">
        <f t="shared" si="227"/>
        <v>312. </v>
      </c>
      <c r="L2095" s="113" t="str">
        <f t="shared" si="228"/>
        <v>312. </v>
      </c>
    </row>
    <row r="2096" hidden="1">
      <c r="A2096" s="167" t="s">
        <v>842</v>
      </c>
      <c r="B2096" s="169" t="s">
        <v>4548</v>
      </c>
      <c r="C2096" s="169" t="s">
        <v>4549</v>
      </c>
      <c r="D2096" s="169" t="s">
        <v>4550</v>
      </c>
      <c r="E2096" s="169" t="s">
        <v>4551</v>
      </c>
    </row>
    <row r="2097" hidden="1">
      <c r="A2097" s="270"/>
      <c r="B2097" s="270"/>
      <c r="C2097" s="270"/>
      <c r="D2097" s="270"/>
      <c r="E2097" s="270"/>
    </row>
    <row r="2098" hidden="1">
      <c r="A2098" s="270"/>
      <c r="B2098" s="270"/>
      <c r="C2098" s="270"/>
      <c r="D2098" s="270"/>
      <c r="E2098" s="270"/>
    </row>
    <row r="2099">
      <c r="A2099" s="170" t="s">
        <v>238</v>
      </c>
      <c r="B2099" s="171" t="s">
        <v>4577</v>
      </c>
      <c r="C2099" s="76" t="s">
        <v>4578</v>
      </c>
      <c r="D2099" s="76" t="s">
        <v>4579</v>
      </c>
      <c r="E2099" s="76" t="s">
        <v>4580</v>
      </c>
      <c r="F2099" s="110">
        <v>313.0</v>
      </c>
      <c r="G2099" s="113" t="str">
        <f>IFERROR(__xludf.DUMMYFUNCTION("TRIM(REGEXREPLACE(C2099, ""[0-9]+[a-f]?\."", """"))"),"In the past three months, how much did you spend on food and health expense for all of your animals (in CFA)?")</f>
        <v>In the past three months, how much did you spend on food and health expense for all of your animals (in CFA)?</v>
      </c>
      <c r="H2099" s="113" t="str">
        <f>IFERROR(__xludf.DUMMYFUNCTION("TRIM(REGEXREPLACE(D2099, ""[0-9]+[a-f]?\."", """"))"),"Au cours des trois derniers mois, combien avez-vous dépensé en frais de nourriture et de santé pour tous vos animaux (en CFA) ?")</f>
        <v>Au cours des trois derniers mois, combien avez-vous dépensé en frais de nourriture et de santé pour tous vos animaux (en CFA) ?</v>
      </c>
      <c r="I2099" s="113" t="str">
        <f>IFERROR(__xludf.DUMMYFUNCTION("TRIM(REGEXREPLACE(E2099, ""[0-9]+[a-f]?\."", """"))"),"Nawa kuka kashe akan abinci da kiwon lafiyar dukkan dabbobinku (a sefa) ?")</f>
        <v>Nawa kuka kashe akan abinci da kiwon lafiyar dukkan dabbobinku (a sefa) ?</v>
      </c>
      <c r="J2099" s="113" t="str">
        <f t="shared" ref="J2099:J2104" si="229">F2099 &amp; ". " &amp;G2099</f>
        <v>313. In the past three months, how much did you spend on food and health expense for all of your animals (in CFA)?</v>
      </c>
      <c r="K2099" s="113" t="str">
        <f t="shared" ref="K2099:K2104" si="230">F2099 &amp; ". " &amp;H2099</f>
        <v>313. Au cours des trois derniers mois, combien avez-vous dépensé en frais de nourriture et de santé pour tous vos animaux (en CFA) ?</v>
      </c>
      <c r="L2099" s="113" t="str">
        <f t="shared" ref="L2099:L2104" si="231">F2099 &amp; ". " &amp;I2099</f>
        <v>313. Nawa kuka kashe akan abinci da kiwon lafiyar dukkan dabbobinku (a sefa) ?</v>
      </c>
    </row>
    <row r="2100">
      <c r="A2100" s="152" t="s">
        <v>44</v>
      </c>
      <c r="B2100" s="77" t="s">
        <v>4584</v>
      </c>
      <c r="C2100" s="76" t="s">
        <v>4585</v>
      </c>
      <c r="D2100" s="76" t="s">
        <v>4586</v>
      </c>
      <c r="E2100" s="76" t="s">
        <v>4587</v>
      </c>
      <c r="F2100" s="110">
        <v>314.0</v>
      </c>
      <c r="G2100" s="113" t="str">
        <f>IFERROR(__xludf.DUMMYFUNCTION("TRIM(REGEXREPLACE(C2100,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2100" s="113" t="str">
        <f>IFERROR(__xludf.DUMMYFUNCTION("TRIM(REGEXREPLACE(D2100,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2100" s="113" t="str">
        <f>IFERROR(__xludf.DUMMYFUNCTION("TRIM(REGEXREPLACE(E2100,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2100" s="113" t="str">
        <f t="shared" si="229"/>
        <v>314. When thinking about the past three months, I would like to ask you about how many days a typical week people in your household worked. We know people may work more during some weeks rather than others, please think about what happens during most weeks.</v>
      </c>
      <c r="K2100" s="113" t="str">
        <f t="shared" si="230"/>
        <v>314.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L2100" s="113" t="str">
        <f t="shared" si="231"/>
        <v>314. Tuna da watanni uku da suka wuce. Ina son in tambaye ku game da yawan kwanaki da ƴan gidanku ke yin aiki a cikin sati na yau da kullun. Mun san da mutane na iya yin aiki a cikin wani sati fiye da wani satin, amma yi tunanin abinda ke kasancewa a yawancin makonni.</v>
      </c>
    </row>
    <row r="2101">
      <c r="A2101" s="170" t="s">
        <v>238</v>
      </c>
      <c r="B2101" s="171" t="s">
        <v>4588</v>
      </c>
      <c r="C2101" s="76" t="s">
        <v>4589</v>
      </c>
      <c r="D2101" s="76" t="s">
        <v>4590</v>
      </c>
      <c r="E2101" s="76" t="s">
        <v>4591</v>
      </c>
      <c r="F2101" s="110">
        <v>315.0</v>
      </c>
      <c r="G2101" s="113" t="str">
        <f>IFERROR(__xludf.DUMMYFUNCTION("TRIM(REGEXREPLACE(C2101, ""[0-9]+[a-f]?\."", """"))"),"How many days did people in your household work to care for your animals in a typical week in the past three months?")</f>
        <v>How many days did people in your household work to care for your animals in a typical week in the past three months?</v>
      </c>
      <c r="H2101" s="113" t="str">
        <f>IFERROR(__xludf.DUMMYFUNCTION("TRIM(REGEXREPLACE(D2101,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2101" s="113" t="str">
        <f>IFERROR(__xludf.DUMMYFUNCTION("TRIM(REGEXREPLACE(E2101, ""[0-9]+[a-f]?\."", """"))"),"A cikin watanni uku da suka wuce, kwana nawa a cikin sati mutanen gidanku suka yi aiki don kula da bisashenku?")</f>
        <v>A cikin watanni uku da suka wuce, kwana nawa a cikin sati mutanen gidanku suka yi aiki don kula da bisashenku?</v>
      </c>
      <c r="J2101" s="113" t="str">
        <f t="shared" si="229"/>
        <v>315. How many days did people in your household work to care for your animals in a typical week in the past three months?</v>
      </c>
      <c r="K2101" s="113" t="str">
        <f t="shared" si="230"/>
        <v>315. Dans les trois derniers mois, au cours d'une semaine normale, combien de jours les membres de votre ménage ont-ils travaillé pour s'occuper de vos animaux ?</v>
      </c>
      <c r="L2101" s="113" t="str">
        <f t="shared" si="231"/>
        <v>315. A cikin watanni uku da suka wuce, kwana nawa a cikin sati mutanen gidanku suka yi aiki don kula da bisashenku?</v>
      </c>
    </row>
    <row r="2102">
      <c r="A2102" s="114" t="s">
        <v>541</v>
      </c>
      <c r="B2102" s="165" t="s">
        <v>4593</v>
      </c>
      <c r="C2102" s="76" t="s">
        <v>4594</v>
      </c>
      <c r="D2102" s="76" t="s">
        <v>4595</v>
      </c>
      <c r="E2102" s="76" t="s">
        <v>4596</v>
      </c>
      <c r="F2102" s="110">
        <v>316.0</v>
      </c>
      <c r="G2102" s="113" t="str">
        <f>IFERROR(__xludf.DUMMYFUNCTION("TRIM(REGEXREPLACE(C2102, ""[0-9]+[a-f]?\."", """"))"),"In the past three months, did you hire anyone outside your household to care for your animals?")</f>
        <v>In the past three months, did you hire anyone outside your household to care for your animals?</v>
      </c>
      <c r="H2102" s="113" t="str">
        <f>IFERROR(__xludf.DUMMYFUNCTION("TRIM(REGEXREPLACE(D2102, ""[0-9]+[a-f]?\."", """"))"),"Au cours des trois derniers mois, avez-vous embauché quelqu'un en dehors de votre ménage pour s'occuper de vos animaux ?")</f>
        <v>Au cours des trois derniers mois, avez-vous embauché quelqu'un en dehors de votre ménage pour s'occuper de vos animaux ?</v>
      </c>
      <c r="I2102" s="113" t="str">
        <f>IFERROR(__xludf.DUMMYFUNCTION("TRIM(REGEXREPLACE(E2102, ""[0-9]+[a-f]?\."", """"))"),"A cikin watanni uku da suka wuce, Ko kun ɗauki wani wanda ba ɗan gidanku ba don kula da dabbobinku?")</f>
        <v>A cikin watanni uku da suka wuce, Ko kun ɗauki wani wanda ba ɗan gidanku ba don kula da dabbobinku?</v>
      </c>
      <c r="J2102" s="113" t="str">
        <f t="shared" si="229"/>
        <v>316. In the past three months, did you hire anyone outside your household to care for your animals?</v>
      </c>
      <c r="K2102" s="113" t="str">
        <f t="shared" si="230"/>
        <v>316. Au cours des trois derniers mois, avez-vous embauché quelqu'un en dehors de votre ménage pour s'occuper de vos animaux ?</v>
      </c>
      <c r="L2102" s="113" t="str">
        <f t="shared" si="231"/>
        <v>316. A cikin watanni uku da suka wuce, Ko kun ɗauki wani wanda ba ɗan gidanku ba don kula da dabbobinku?</v>
      </c>
    </row>
    <row r="2103">
      <c r="A2103" s="170" t="s">
        <v>238</v>
      </c>
      <c r="B2103" s="171" t="s">
        <v>4602</v>
      </c>
      <c r="C2103" s="76" t="s">
        <v>4603</v>
      </c>
      <c r="D2103" s="76" t="s">
        <v>4604</v>
      </c>
      <c r="E2103" s="76" t="s">
        <v>4605</v>
      </c>
      <c r="F2103" s="110">
        <v>317.0</v>
      </c>
      <c r="G2103" s="113" t="str">
        <f>IFERROR(__xludf.DUMMYFUNCTION("TRIM(REGEXREPLACE(C2103, ""[0-9]+[a-f]?\."", """"))"),"In the last 3 months, for how many weeks did you hire people to care for your livestock?")</f>
        <v>In the last 3 months, for how many weeks did you hire people to care for your livestock?</v>
      </c>
      <c r="H2103" s="113" t="str">
        <f>IFERROR(__xludf.DUMMYFUNCTION("TRIM(REGEXREPLACE(D2103, ""[0-9]+[a-f]?\."", """"))"),"Au cours des trois derniers mois, combien de semaines avez-vous embauché des personnes pour s'occuper de votre bétail ?")</f>
        <v>Au cours des trois derniers mois, combien de semaines avez-vous embauché des personnes pour s'occuper de votre bétail ?</v>
      </c>
      <c r="I2103" s="113" t="str">
        <f>IFERROR(__xludf.DUMMYFUNCTION("TRIM(REGEXREPLACE(E2103, ""[0-9]+[a-f]?\."", """"))"),"A cikin watanni 3 da suka wuce, sati nawa kuka dauki ƴan aiki don kula da dabbobinku?")</f>
        <v>A cikin watanni 3 da suka wuce, sati nawa kuka dauki ƴan aiki don kula da dabbobinku?</v>
      </c>
      <c r="J2103" s="113" t="str">
        <f t="shared" si="229"/>
        <v>317. In the last 3 months, for how many weeks did you hire people to care for your livestock?</v>
      </c>
      <c r="K2103" s="113" t="str">
        <f t="shared" si="230"/>
        <v>317. Au cours des trois derniers mois, combien de semaines avez-vous embauché des personnes pour s'occuper de votre bétail ?</v>
      </c>
      <c r="L2103" s="113" t="str">
        <f t="shared" si="231"/>
        <v>317. A cikin watanni 3 da suka wuce, sati nawa kuka dauki ƴan aiki don kula da dabbobinku?</v>
      </c>
    </row>
    <row r="2104">
      <c r="A2104" s="170" t="s">
        <v>238</v>
      </c>
      <c r="B2104" s="171" t="s">
        <v>4606</v>
      </c>
      <c r="C2104" s="76" t="s">
        <v>4607</v>
      </c>
      <c r="D2104" s="76" t="s">
        <v>4608</v>
      </c>
      <c r="E2104" s="76" t="s">
        <v>4609</v>
      </c>
      <c r="F2104" s="110">
        <v>318.0</v>
      </c>
      <c r="G2104" s="113" t="str">
        <f>IFERROR(__xludf.DUMMYFUNCTION("TRIM(REGEXREPLACE(C2104, ""[0-9]+[a-f]?\."", """"))"),"What was the weekly wage paid to people who care for your animals, or how much would you pay in CFA?")</f>
        <v>What was the weekly wage paid to people who care for your animals, or how much would you pay in CFA?</v>
      </c>
      <c r="H2104" s="113" t="str">
        <f>IFERROR(__xludf.DUMMYFUNCTION("TRIM(REGEXREPLACE(D2104, ""[0-9]+[a-f]?\."", """"))"),"Quel était les frais hebdomadaire payés aux personnes qui s'occupent de vos animaux, ou combien paieriez-vous en CFA ?")</f>
        <v>Quel était les frais hebdomadaire payés aux personnes qui s'occupent de vos animaux, ou combien paieriez-vous en CFA ?</v>
      </c>
      <c r="I2104" s="113" t="str">
        <f>IFERROR(__xludf.DUMMYFUNCTION("TRIM(REGEXREPLACE(E2104, ""[0-9]+[a-f]?\."", """"))"),"105 a. Nawa albashin mako-mako na wannan mutanen da ke kula da dabbobinku a CFA?")</f>
        <v>105 a. Nawa albashin mako-mako na wannan mutanen da ke kula da dabbobinku a CFA?</v>
      </c>
      <c r="J2104" s="113" t="str">
        <f t="shared" si="229"/>
        <v>318. What was the weekly wage paid to people who care for your animals, or how much would you pay in CFA?</v>
      </c>
      <c r="K2104" s="113" t="str">
        <f t="shared" si="230"/>
        <v>318. Quel était les frais hebdomadaire payés aux personnes qui s'occupent de vos animaux, ou combien paieriez-vous en CFA ?</v>
      </c>
      <c r="L2104" s="113" t="str">
        <f t="shared" si="231"/>
        <v>318. 105 a. Nawa albashin mako-mako na wannan mutanen da ke kula da dabbobinku a CFA?</v>
      </c>
    </row>
    <row r="2105" hidden="1">
      <c r="A2105" s="131" t="s">
        <v>115</v>
      </c>
      <c r="B2105" s="132" t="s">
        <v>4613</v>
      </c>
      <c r="C2105" s="133"/>
      <c r="D2105" s="133"/>
      <c r="E2105" s="133"/>
    </row>
    <row r="2106">
      <c r="A2106" s="114" t="s">
        <v>541</v>
      </c>
      <c r="B2106" s="165" t="s">
        <v>4614</v>
      </c>
      <c r="C2106" s="76" t="s">
        <v>4616</v>
      </c>
      <c r="D2106" s="76" t="s">
        <v>4617</v>
      </c>
      <c r="E2106" s="76" t="s">
        <v>4619</v>
      </c>
      <c r="F2106" s="110">
        <v>319.0</v>
      </c>
      <c r="G2106" s="113" t="str">
        <f>IFERROR(__xludf.DUMMYFUNCTION("TRIM(REGEXREPLACE(C2106, ""[0-9]+[a-f]?\."", """"))"),"You paid ${hoh_hire_livestock_total} in CFA for people to care for your animals, is this correct?")</f>
        <v>You paid ${hoh_hire_livestock_total} in CFA for people to care for your animals, is this correct?</v>
      </c>
      <c r="H2106" s="113" t="str">
        <f>IFERROR(__xludf.DUMMYFUNCTION("TRIM(REGEXREPLACE(D2106, ""[0-9]+[a-f]?\."", """"))"),"Vous avez payé ${hoh_hire_livestock_total} (en CFA) aux personnes qui s'occupent de vos animaux, est-ce exact ?")</f>
        <v>Vous avez payé ${hoh_hire_livestock_total} (en CFA) aux personnes qui s'occupent de vos animaux, est-ce exact ?</v>
      </c>
      <c r="I2106" s="113" t="str">
        <f>IFERROR(__xludf.DUMMYFUNCTION("TRIM(REGEXREPLACE(E2106, ""[0-9]+[a-f]?\."", """"))"),"${hoh_hire_livestock_total} (a sefa) kuka biya, ko daidai ne?")</f>
        <v>${hoh_hire_livestock_total} (a sefa) kuka biya, ko daidai ne?</v>
      </c>
      <c r="J2106" s="113" t="str">
        <f t="shared" ref="J2106:J2113" si="232">F2106 &amp; ". " &amp;G2106</f>
        <v>319. You paid ${hoh_hire_livestock_total} in CFA for people to care for your animals, is this correct?</v>
      </c>
      <c r="K2106" s="113" t="str">
        <f t="shared" ref="K2106:K2113" si="233">F2106 &amp; ". " &amp;H2106</f>
        <v>319. Vous avez payé ${hoh_hire_livestock_total} (en CFA) aux personnes qui s'occupent de vos animaux, est-ce exact ?</v>
      </c>
      <c r="L2106" s="113" t="str">
        <f t="shared" ref="L2106:L2113" si="234">F2106 &amp; ". " &amp;I2106</f>
        <v>319. ${hoh_hire_livestock_total} (a sefa) kuka biya, ko daidai ne?</v>
      </c>
    </row>
    <row r="2107">
      <c r="A2107" s="114" t="s">
        <v>541</v>
      </c>
      <c r="B2107" s="165" t="s">
        <v>4620</v>
      </c>
      <c r="C2107" s="76" t="s">
        <v>4621</v>
      </c>
      <c r="D2107" s="76" t="s">
        <v>4622</v>
      </c>
      <c r="E2107" s="76" t="s">
        <v>4623</v>
      </c>
      <c r="F2107" s="110">
        <v>320.0</v>
      </c>
      <c r="G2107" s="113" t="str">
        <f>IFERROR(__xludf.DUMMYFUNCTION("TRIM(REGEXREPLACE(C2107, ""[0-9]+[a-f]?\."", """"))"),"In the past three months, did any member of your household care for livestock owned by other people?")</f>
        <v>In the past three months, did any member of your household care for livestock owned by other people?</v>
      </c>
      <c r="H2107" s="113" t="str">
        <f>IFERROR(__xludf.DUMMYFUNCTION("TRIM(REGEXREPLACE(D2107, ""[0-9]+[a-f]?\."", """"))"),"Au cours des trois derniers mois, un membre de votre ménage s'est-il occupé du bétail appartenant à d'autres personnes ?")</f>
        <v>Au cours des trois derniers mois, un membre de votre ménage s'est-il occupé du bétail appartenant à d'autres personnes ?</v>
      </c>
      <c r="I2107" s="113" t="str">
        <f>IFERROR(__xludf.DUMMYFUNCTION("TRIM(REGEXREPLACE(E2107, ""[0-9]+[a-f]?\."", """"))"),"A cikin watanni uku da suka wuce, akwai wani ɗan gidanku da ya kula da dabbobin wasu mutane?")</f>
        <v>A cikin watanni uku da suka wuce, akwai wani ɗan gidanku da ya kula da dabbobin wasu mutane?</v>
      </c>
      <c r="J2107" s="113" t="str">
        <f t="shared" si="232"/>
        <v>320. In the past three months, did any member of your household care for livestock owned by other people?</v>
      </c>
      <c r="K2107" s="113" t="str">
        <f t="shared" si="233"/>
        <v>320. Au cours des trois derniers mois, un membre de votre ménage s'est-il occupé du bétail appartenant à d'autres personnes ?</v>
      </c>
      <c r="L2107" s="113" t="str">
        <f t="shared" si="234"/>
        <v>320. A cikin watanni uku da suka wuce, akwai wani ɗan gidanku da ya kula da dabbobin wasu mutane?</v>
      </c>
    </row>
    <row r="2108">
      <c r="A2108" s="170" t="s">
        <v>238</v>
      </c>
      <c r="B2108" s="171" t="s">
        <v>4627</v>
      </c>
      <c r="C2108" s="76" t="s">
        <v>2941</v>
      </c>
      <c r="D2108" s="76" t="s">
        <v>2942</v>
      </c>
      <c r="E2108" s="76" t="s">
        <v>2943</v>
      </c>
      <c r="F2108" s="110">
        <v>321.0</v>
      </c>
      <c r="G2108" s="113" t="str">
        <f>IFERROR(__xludf.DUMMYFUNCTION("TRIM(REGEXREPLACE(C2108, ""[0-9]+[a-f]?\."", """"))"),"In a typical week, how many days did they do this job?")</f>
        <v>In a typical week, how many days did they do this job?</v>
      </c>
      <c r="H2108" s="113" t="str">
        <f>IFERROR(__xludf.DUMMYFUNCTION("TRIM(REGEXREPLACE(D2108, ""[0-9]+[a-f]?\."", """"))"),"Au cours d'une semaine normale, combien de jours ont-ils fait ce travail ?")</f>
        <v>Au cours d'une semaine normale, combien de jours ont-ils fait ce travail ?</v>
      </c>
      <c r="I2108" s="113" t="str">
        <f>IFERROR(__xludf.DUMMYFUNCTION("TRIM(REGEXREPLACE(E2108, ""[0-9]+[a-f]?\."", """"))"),"A cikin mako, kwana nawa suka yi wannan aikin?")</f>
        <v>A cikin mako, kwana nawa suka yi wannan aikin?</v>
      </c>
      <c r="J2108" s="113" t="str">
        <f t="shared" si="232"/>
        <v>321. In a typical week, how many days did they do this job?</v>
      </c>
      <c r="K2108" s="113" t="str">
        <f t="shared" si="233"/>
        <v>321. Au cours d'une semaine normale, combien de jours ont-ils fait ce travail ?</v>
      </c>
      <c r="L2108" s="113" t="str">
        <f t="shared" si="234"/>
        <v>321. A cikin mako, kwana nawa suka yi wannan aikin?</v>
      </c>
    </row>
    <row r="2109">
      <c r="A2109" s="170" t="s">
        <v>238</v>
      </c>
      <c r="B2109" s="171" t="s">
        <v>4630</v>
      </c>
      <c r="C2109" s="76" t="s">
        <v>2944</v>
      </c>
      <c r="D2109" s="76" t="s">
        <v>2945</v>
      </c>
      <c r="E2109" s="76" t="s">
        <v>2946</v>
      </c>
      <c r="F2109" s="110">
        <v>322.0</v>
      </c>
      <c r="G2109" s="113" t="str">
        <f>IFERROR(__xludf.DUMMYFUNCTION("TRIM(REGEXREPLACE(C2109, ""[0-9]+[a-f]?\."", """"))"),"What was the daily wage paid to household members who cared for livestock owned by other people?")</f>
        <v>What was the daily wage paid to household members who cared for livestock owned by other people?</v>
      </c>
      <c r="H2109" s="113" t="str">
        <f>IFERROR(__xludf.DUMMYFUNCTION("TRIM(REGEXREPLACE(D2109,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2109" s="113" t="str">
        <f>IFERROR(__xludf.DUMMYFUNCTION("TRIM(REGEXREPLACE(E2109, ""[0-9]+[a-f]?\."", """"))"),"Nawa ne biyan wuni na ƴan gida masu kula da dabbobin wasu mutane (a kuɗin CFA)?")</f>
        <v>Nawa ne biyan wuni na ƴan gida masu kula da dabbobin wasu mutane (a kuɗin CFA)?</v>
      </c>
      <c r="J2109" s="113" t="str">
        <f t="shared" si="232"/>
        <v>322. What was the daily wage paid to household members who cared for livestock owned by other people?</v>
      </c>
      <c r="K2109" s="113" t="str">
        <f t="shared" si="233"/>
        <v>322. Quel étaient les frais journaliers payés aux membres de votre ménage qui s'occupent des animaux du bétail appartenant à d'autres personnes en CFA ?</v>
      </c>
      <c r="L2109" s="113" t="str">
        <f t="shared" si="234"/>
        <v>322. Nawa ne biyan wuni na ƴan gida masu kula da dabbobin wasu mutane (a kuɗin CFA)?</v>
      </c>
    </row>
    <row r="2110">
      <c r="A2110" s="152" t="s">
        <v>44</v>
      </c>
      <c r="B2110" s="77" t="s">
        <v>4634</v>
      </c>
      <c r="C2110" s="76" t="s">
        <v>4635</v>
      </c>
      <c r="D2110" s="76" t="s">
        <v>4636</v>
      </c>
      <c r="E2110" s="76" t="s">
        <v>4637</v>
      </c>
      <c r="F2110" s="110">
        <v>323.0</v>
      </c>
      <c r="G2110" s="113" t="str">
        <f>IFERROR(__xludf.DUMMYFUNCTION("TRIM(REGEXREPLACE(C2110, ""[0-9]+[a-f]?\."", """"))"),"Now we will ask about other forms of income people in your household may have earned in the past three months.")</f>
        <v>Now we will ask about other forms of income people in your household may have earned in the past three months.</v>
      </c>
      <c r="H2110" s="113" t="str">
        <f>IFERROR(__xludf.DUMMYFUNCTION("TRIM(REGEXREPLACE(D2110,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2110" s="113" t="str">
        <f>IFERROR(__xludf.DUMMYFUNCTION("TRIM(REGEXREPLACE(E2110, ""[0-9]+[a-f]?\."", """"))"),"Yanzu za mu yi tambayoyi bisa wasu hanyoyin samun kuɗin shiga da yan gidanku a cikin watanni uku da suka gabata.")</f>
        <v>Yanzu za mu yi tambayoyi bisa wasu hanyoyin samun kuɗin shiga da yan gidanku a cikin watanni uku da suka gabata.</v>
      </c>
      <c r="J2110" s="113" t="str">
        <f t="shared" si="232"/>
        <v>323. Now we will ask about other forms of income people in your household may have earned in the past three months.</v>
      </c>
      <c r="K2110" s="113" t="str">
        <f t="shared" si="233"/>
        <v>323. Nous allons maintenant poser des questions sur les autres formes de revenus que les membres de votre ménage ont pu gagner au cours des trois derniers mois.</v>
      </c>
      <c r="L2110" s="113" t="str">
        <f t="shared" si="234"/>
        <v>323. Yanzu za mu yi tambayoyi bisa wasu hanyoyin samun kuɗin shiga da yan gidanku a cikin watanni uku da suka gabata.</v>
      </c>
    </row>
    <row r="2111">
      <c r="A2111" s="114" t="s">
        <v>541</v>
      </c>
      <c r="B2111" s="165" t="s">
        <v>4641</v>
      </c>
      <c r="C2111" s="76" t="s">
        <v>2960</v>
      </c>
      <c r="D2111" s="76" t="s">
        <v>2961</v>
      </c>
      <c r="E2111" s="76" t="s">
        <v>2962</v>
      </c>
      <c r="F2111" s="110">
        <v>324.0</v>
      </c>
      <c r="G2111" s="113" t="str">
        <f>IFERROR(__xludf.DUMMYFUNCTION("TRIM(REGEXREPLACE(C2111, ""[0-9]+[a-f]?\."", """"))"),"Do you or another member of your household own land that is currently not used for agriculture, outside of your current home?")</f>
        <v>Do you or another member of your household own land that is currently not used for agriculture, outside of your current home?</v>
      </c>
      <c r="H2111" s="113" t="str">
        <f>IFERROR(__xludf.DUMMYFUNCTION("TRIM(REGEXREPLACE(D2111,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2111" s="113" t="str">
        <f>IFERROR(__xludf.DUMMYFUNCTION("TRIM(REGEXREPLACE(E2111, ""[0-9]+[a-f]?\."", """"))"),"Shin kai ko wani na gidanku kuna da wasu hilaye wanda ba na noma ba bancin gidanku da kuke ciki a halin yanzu?")</f>
        <v>Shin kai ko wani na gidanku kuna da wasu hilaye wanda ba na noma ba bancin gidanku da kuke ciki a halin yanzu?</v>
      </c>
      <c r="J2111" s="113" t="str">
        <f t="shared" si="232"/>
        <v>324. Do you or another member of your household own land that is currently not used for agriculture, outside of your current home?</v>
      </c>
      <c r="K2111" s="113" t="str">
        <f t="shared" si="233"/>
        <v>324. Est-ce que vous ou un autre membre de votre ménage possédez des terres qui ne sont actuellement pas utilisées pour l'agriculture, en dehors de votre domicile actuel ?</v>
      </c>
      <c r="L2111" s="113" t="str">
        <f t="shared" si="234"/>
        <v>324. Shin kai ko wani na gidanku kuna da wasu hilaye wanda ba na noma ba bancin gidanku da kuke ciki a halin yanzu?</v>
      </c>
    </row>
    <row r="2112">
      <c r="A2112" s="170" t="s">
        <v>238</v>
      </c>
      <c r="B2112" s="171" t="s">
        <v>4646</v>
      </c>
      <c r="C2112" s="76" t="s">
        <v>2966</v>
      </c>
      <c r="D2112" s="76" t="s">
        <v>2968</v>
      </c>
      <c r="E2112" s="76" t="s">
        <v>2969</v>
      </c>
      <c r="F2112" s="110">
        <v>325.0</v>
      </c>
      <c r="G2112" s="113" t="str">
        <f>IFERROR(__xludf.DUMMYFUNCTION("TRIM(REGEXREPLACE(C2112, ""[0-9]+[a-f]?\."", """"))"),"In the past three months, what is the total revenue from rent of land or other property in CFA?")</f>
        <v>In the past three months, what is the total revenue from rent of land or other property in CFA?</v>
      </c>
      <c r="H2112" s="113" t="str">
        <f>IFERROR(__xludf.DUMMYFUNCTION("TRIM(REGEXREPLACE(D2112, ""[0-9]+[a-f]?\."", """"))"),"Au cours des trois derniers mois, quel a été le revenu total provenant de la location d'un terrain ou d'une autre propriété en CFA?")</f>
        <v>Au cours des trois derniers mois, quel a été le revenu total provenant de la location d'un terrain ou d'une autre propriété en CFA?</v>
      </c>
      <c r="I2112" s="113" t="str">
        <f>IFERROR(__xludf.DUMMYFUNCTION("TRIM(REGEXREPLACE(E2112, ""[0-9]+[a-f]?\."", """"))"),"A cikin watanni uku da suka gabata, menene jimillar kuɗin da aka samu ta hanyar hayan filaye ko wasu kadarori (a sefa)?")</f>
        <v>A cikin watanni uku da suka gabata, menene jimillar kuɗin da aka samu ta hanyar hayan filaye ko wasu kadarori (a sefa)?</v>
      </c>
      <c r="J2112" s="113" t="str">
        <f t="shared" si="232"/>
        <v>325. In the past three months, what is the total revenue from rent of land or other property in CFA?</v>
      </c>
      <c r="K2112" s="113" t="str">
        <f t="shared" si="233"/>
        <v>325. Au cours des trois derniers mois, quel a été le revenu total provenant de la location d'un terrain ou d'une autre propriété en CFA?</v>
      </c>
      <c r="L2112" s="113" t="str">
        <f t="shared" si="234"/>
        <v>325. A cikin watanni uku da suka gabata, menene jimillar kuɗin da aka samu ta hanyar hayan filaye ko wasu kadarori (a sefa)?</v>
      </c>
    </row>
    <row r="2113">
      <c r="A2113" s="170" t="s">
        <v>238</v>
      </c>
      <c r="B2113" s="171" t="s">
        <v>4648</v>
      </c>
      <c r="C2113" s="76" t="s">
        <v>2971</v>
      </c>
      <c r="D2113" s="76" t="s">
        <v>2972</v>
      </c>
      <c r="E2113" s="76" t="s">
        <v>2973</v>
      </c>
      <c r="F2113" s="110">
        <v>326.0</v>
      </c>
      <c r="G2113" s="113" t="str">
        <f>IFERROR(__xludf.DUMMYFUNCTION("TRIM(REGEXREPLACE(C2113, ""[0-9]+[a-f]?\."", """"))"),"In the past three months, what is the total value of interest from loans you have given to others in CFA?")</f>
        <v>In the past three months, what is the total value of interest from loans you have given to others in CFA?</v>
      </c>
      <c r="H2113" s="113" t="str">
        <f>IFERROR(__xludf.DUMMYFUNCTION("TRIM(REGEXREPLACE(D2113, ""[0-9]+[a-f]?\."", """"))"),"Au cours des trois derniers mois, quelle est la valeur totale des intérêts des prêts que vous avez accordés à d'autres en CFA?")</f>
        <v>Au cours des trois derniers mois, quelle est la valeur totale des intérêts des prêts que vous avez accordés à d'autres en CFA?</v>
      </c>
      <c r="I2113" s="113" t="str">
        <f>IFERROR(__xludf.DUMMYFUNCTION("TRIM(REGEXREPLACE(E2113, ""[0-9]+[a-f]?\."", """"))"),"A cikin watanni uku da suka gabata, nawa ne jimillar kudin ruwan basussuka da kuka baiwa wasu (a sefa)?")</f>
        <v>A cikin watanni uku da suka gabata, nawa ne jimillar kudin ruwan basussuka da kuka baiwa wasu (a sefa)?</v>
      </c>
      <c r="J2113" s="113" t="str">
        <f t="shared" si="232"/>
        <v>326. In the past three months, what is the total value of interest from loans you have given to others in CFA?</v>
      </c>
      <c r="K2113" s="113" t="str">
        <f t="shared" si="233"/>
        <v>326. Au cours des trois derniers mois, quelle est la valeur totale des intérêts des prêts que vous avez accordés à d'autres en CFA?</v>
      </c>
      <c r="L2113" s="113" t="str">
        <f t="shared" si="234"/>
        <v>326. A cikin watanni uku da suka gabata, nawa ne jimillar kudin ruwan basussuka da kuka baiwa wasu (a sefa)?</v>
      </c>
    </row>
    <row r="2114" hidden="1">
      <c r="A2114" s="131" t="s">
        <v>150</v>
      </c>
      <c r="B2114" s="164" t="s">
        <v>4652</v>
      </c>
      <c r="C2114" s="133"/>
      <c r="D2114" s="133"/>
      <c r="E2114" s="133"/>
    </row>
    <row r="2115" hidden="1">
      <c r="A2115" s="80" t="s">
        <v>115</v>
      </c>
      <c r="B2115" s="81" t="s">
        <v>4655</v>
      </c>
      <c r="C2115" s="82"/>
      <c r="D2115" s="83"/>
      <c r="E2115" s="83"/>
    </row>
    <row r="2116" hidden="1">
      <c r="A2116" s="203"/>
      <c r="B2116" s="203"/>
      <c r="C2116" s="204"/>
      <c r="D2116" s="97"/>
      <c r="E2116" s="97"/>
    </row>
    <row r="2117" hidden="1">
      <c r="A2117" s="131" t="s">
        <v>150</v>
      </c>
      <c r="B2117" s="164" t="s">
        <v>4657</v>
      </c>
      <c r="C2117" s="133"/>
      <c r="D2117" s="133"/>
      <c r="E2117" s="133"/>
    </row>
    <row r="2118">
      <c r="A2118" s="114" t="s">
        <v>541</v>
      </c>
      <c r="B2118" s="165" t="s">
        <v>4658</v>
      </c>
      <c r="C2118" s="76" t="s">
        <v>2979</v>
      </c>
      <c r="D2118" s="76" t="s">
        <v>2980</v>
      </c>
      <c r="E2118" s="76" t="s">
        <v>2981</v>
      </c>
      <c r="F2118" s="110">
        <v>327.0</v>
      </c>
      <c r="G2118" s="113" t="str">
        <f>IFERROR(__xludf.DUMMYFUNCTION("TRIM(REGEXREPLACE(C2118,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2118" s="113" t="str">
        <f>IFERROR(__xludf.DUMMYFUNCTION("TRIM(REGEXREPLACE(D2118,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2118" s="113" t="str">
        <f>IFERROR(__xludf.DUMMYFUNCTION("TRIM(REGEXREPLACE(E2118,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2118" s="113" t="str">
        <f t="shared" ref="J2118:J2120" si="235">F2118 &amp; ". " &amp;G2118</f>
        <v>327. Does anyone in the household fully, or partly own and operate an income generating activity that is not farming or herding? (i.e. a shop where you sell goods, restaurant, butcher shop)?</v>
      </c>
      <c r="K2118" s="113" t="str">
        <f t="shared" ref="K2118:K2120" si="236">F2118 &amp; ". " &amp;H2118</f>
        <v>327. Quelqu'un dans le ménage possède-t-il entièrement ou partiellement une activité génératrice de revenus autre que l'agriculture ou l'élevage ? (C'est-à-dire un magasin où vous vendez des marchandises, un restaurant, une boucherie) ?</v>
      </c>
      <c r="L2118" s="113" t="str">
        <f t="shared" ref="L2118:L2120" si="237">F2118 &amp; ". " &amp;I2118</f>
        <v>327. Ko akwai wani ɗan gidanku mai sana'a wanda jarin gaba daya nashi ko na hadin gwiwa ne banda noma da kiyo? ( kantin saida kaya, gidan abinci, fawa)?</v>
      </c>
    </row>
    <row r="2119">
      <c r="A2119" s="114" t="s">
        <v>4666</v>
      </c>
      <c r="B2119" s="165" t="s">
        <v>4667</v>
      </c>
      <c r="C2119" s="76" t="s">
        <v>2983</v>
      </c>
      <c r="D2119" s="76" t="s">
        <v>2984</v>
      </c>
      <c r="E2119" s="76" t="s">
        <v>2985</v>
      </c>
      <c r="F2119" s="110">
        <v>328.0</v>
      </c>
      <c r="G2119" s="113" t="str">
        <f>IFERROR(__xludf.DUMMYFUNCTION("TRIM(REGEXREPLACE(C2119, ""[0-9]+[a-f]?\."", """"))"),"What type of business is this?")</f>
        <v>What type of business is this?</v>
      </c>
      <c r="H2119" s="113" t="str">
        <f>IFERROR(__xludf.DUMMYFUNCTION("TRIM(REGEXREPLACE(D2119, ""[0-9]+[a-f]?\."", """"))"),"Quel type d'entreprise est-ce?")</f>
        <v>Quel type d'entreprise est-ce?</v>
      </c>
      <c r="I2119" s="113" t="str">
        <f>IFERROR(__xludf.DUMMYFUNCTION("TRIM(REGEXREPLACE(E2119, ""[0-9]+[a-f]?\."", """"))"),"Wane irin kasuwanci ne?")</f>
        <v>Wane irin kasuwanci ne?</v>
      </c>
      <c r="J2119" s="113" t="str">
        <f t="shared" si="235"/>
        <v>328. What type of business is this?</v>
      </c>
      <c r="K2119" s="113" t="str">
        <f t="shared" si="236"/>
        <v>328. Quel type d'entreprise est-ce?</v>
      </c>
      <c r="L2119" s="113" t="str">
        <f t="shared" si="237"/>
        <v>328. Wane irin kasuwanci ne?</v>
      </c>
    </row>
    <row r="2120">
      <c r="A2120" s="162" t="s">
        <v>217</v>
      </c>
      <c r="B2120" s="166" t="s">
        <v>4668</v>
      </c>
      <c r="C2120" s="76" t="s">
        <v>2991</v>
      </c>
      <c r="D2120" s="76" t="s">
        <v>2992</v>
      </c>
      <c r="E2120" s="76" t="s">
        <v>2993</v>
      </c>
      <c r="F2120" s="110">
        <v>329.0</v>
      </c>
      <c r="G2120" s="113" t="str">
        <f>IFERROR(__xludf.DUMMYFUNCTION("TRIM(REGEXREPLACE(C2120, ""[0-9]+[a-f]?\."", """"))"),"Specify other")</f>
        <v>Specify other</v>
      </c>
      <c r="H2120" s="113" t="str">
        <f>IFERROR(__xludf.DUMMYFUNCTION("TRIM(REGEXREPLACE(D2120, ""[0-9]+[a-f]?\."", """"))"),"Autre à préciser :")</f>
        <v>Autre à préciser :</v>
      </c>
      <c r="I2120" s="113" t="str">
        <f>IFERROR(__xludf.DUMMYFUNCTION("TRIM(REGEXREPLACE(E2120, ""[0-9]+[a-f]?\."", """"))"),"Baiyana wani abu daban:")</f>
        <v>Baiyana wani abu daban:</v>
      </c>
      <c r="J2120" s="113" t="str">
        <f t="shared" si="235"/>
        <v>329. Specify other</v>
      </c>
      <c r="K2120" s="113" t="str">
        <f t="shared" si="236"/>
        <v>329. Autre à préciser :</v>
      </c>
      <c r="L2120" s="113" t="str">
        <f t="shared" si="237"/>
        <v>329. Baiyana wani abu daban:</v>
      </c>
    </row>
    <row r="2121" hidden="1">
      <c r="A2121" s="131" t="s">
        <v>115</v>
      </c>
      <c r="B2121" s="132" t="s">
        <v>4669</v>
      </c>
      <c r="C2121" s="133"/>
      <c r="D2121" s="133"/>
      <c r="E2121" s="133"/>
    </row>
    <row r="2122">
      <c r="A2122" s="114" t="s">
        <v>541</v>
      </c>
      <c r="B2122" s="165" t="s">
        <v>4670</v>
      </c>
      <c r="C2122" s="76" t="s">
        <v>4671</v>
      </c>
      <c r="D2122" s="76" t="s">
        <v>4672</v>
      </c>
      <c r="E2122" s="76" t="s">
        <v>4673</v>
      </c>
      <c r="F2122" s="110">
        <v>330.0</v>
      </c>
      <c r="G2122" s="113" t="str">
        <f>IFERROR(__xludf.DUMMYFUNCTION("TRIM(REGEXREPLACE(C2122, ""[0-9]+[a-f]?\."", """"))"),"Do you have a permanent location (i.e. building)?")</f>
        <v>Do you have a permanent location (i.e. building)?</v>
      </c>
      <c r="H2122" s="113" t="str">
        <f>IFERROR(__xludf.DUMMYFUNCTION("TRIM(REGEXREPLACE(D2122, ""[0-9]+[a-f]?\."", """"))"),"Avez-vous un emplacement permanent (c'est-à-dire un bâtiment) ?")</f>
        <v>Avez-vous un emplacement permanent (c'est-à-dire un bâtiment) ?</v>
      </c>
      <c r="I2122" s="113" t="str">
        <f>IFERROR(__xludf.DUMMYFUNCTION("TRIM(REGEXREPLACE(E2122, ""[0-9]+[a-f]?\."", """"))"),"Kuna da wurin dindindin (kamar gini)?")</f>
        <v>Kuna da wurin dindindin (kamar gini)?</v>
      </c>
      <c r="J2122" s="113" t="str">
        <f t="shared" ref="J2122:J2124" si="238">F2122 &amp; ". " &amp;G2122</f>
        <v>330. Do you have a permanent location (i.e. building)?</v>
      </c>
      <c r="K2122" s="113" t="str">
        <f t="shared" ref="K2122:K2124" si="239">F2122 &amp; ". " &amp;H2122</f>
        <v>330. Avez-vous un emplacement permanent (c'est-à-dire un bâtiment) ?</v>
      </c>
      <c r="L2122" s="113" t="str">
        <f t="shared" ref="L2122:L2124" si="240">F2122 &amp; ". " &amp;I2122</f>
        <v>330. Kuna da wurin dindindin (kamar gini)?</v>
      </c>
    </row>
    <row r="2123">
      <c r="A2123" s="170" t="s">
        <v>238</v>
      </c>
      <c r="B2123" s="171" t="s">
        <v>4679</v>
      </c>
      <c r="C2123" s="76" t="s">
        <v>3005</v>
      </c>
      <c r="D2123" s="76" t="s">
        <v>3006</v>
      </c>
      <c r="E2123" s="76" t="s">
        <v>3007</v>
      </c>
      <c r="F2123" s="110">
        <v>331.0</v>
      </c>
      <c r="G2123" s="113" t="str">
        <f>IFERROR(__xludf.DUMMYFUNCTION("TRIM(REGEXREPLACE(C2123, ""[0-9]+[a-f]?\."", """"))"),"How many people outside of your household do you employ in this business?")</f>
        <v>How many people outside of your household do you employ in this business?</v>
      </c>
      <c r="H2123" s="113" t="str">
        <f>IFERROR(__xludf.DUMMYFUNCTION("TRIM(REGEXREPLACE(D2123, ""[0-9]+[a-f]?\."", """"))"),"Combien de personnes en dehors de votre ménage employez-vous dans cette entreprise ?")</f>
        <v>Combien de personnes en dehors de votre ménage employez-vous dans cette entreprise ?</v>
      </c>
      <c r="I2123" s="113" t="str">
        <f>IFERROR(__xludf.DUMMYFUNCTION("TRIM(REGEXREPLACE(E2123, ""[0-9]+[a-f]?\."", """"))"),"Mutane nawa ne kuka dauka aiki banda ƴan gidan a wannan kasuwancin?")</f>
        <v>Mutane nawa ne kuka dauka aiki banda ƴan gidan a wannan kasuwancin?</v>
      </c>
      <c r="J2123" s="113" t="str">
        <f t="shared" si="238"/>
        <v>331. How many people outside of your household do you employ in this business?</v>
      </c>
      <c r="K2123" s="113" t="str">
        <f t="shared" si="239"/>
        <v>331. Combien de personnes en dehors de votre ménage employez-vous dans cette entreprise ?</v>
      </c>
      <c r="L2123" s="113" t="str">
        <f t="shared" si="240"/>
        <v>331. Mutane nawa ne kuka dauka aiki banda ƴan gidan a wannan kasuwancin?</v>
      </c>
    </row>
    <row r="2124">
      <c r="A2124" s="170" t="s">
        <v>238</v>
      </c>
      <c r="B2124" s="171" t="s">
        <v>4682</v>
      </c>
      <c r="C2124" s="76" t="s">
        <v>3010</v>
      </c>
      <c r="D2124" s="76" t="s">
        <v>3011</v>
      </c>
      <c r="E2124" s="76" t="s">
        <v>3012</v>
      </c>
      <c r="F2124" s="110">
        <v>332.0</v>
      </c>
      <c r="G2124" s="113" t="str">
        <f>IFERROR(__xludf.DUMMYFUNCTION("TRIM(REGEXREPLACE(C2124, ""[0-9]+[a-f]?\."", """"))"),"How much do you pay per day for people to work in this business in CFA?")</f>
        <v>How much do you pay per day for people to work in this business in CFA?</v>
      </c>
      <c r="H2124" s="113" t="str">
        <f>IFERROR(__xludf.DUMMYFUNCTION("TRIM(REGEXREPLACE(D2124, ""[0-9]+[a-f]?\."", """"))"),"Combien payez-vous par jour pour que les gens travaillent dans cette entreprise (en CFA) ?")</f>
        <v>Combien payez-vous par jour pour que les gens travaillent dans cette entreprise (en CFA) ?</v>
      </c>
      <c r="I2124" s="113" t="str">
        <f>IFERROR(__xludf.DUMMYFUNCTION("TRIM(REGEXREPLACE(E2124, ""[0-9]+[a-f]?\."", """"))"),"Nawa kuke biyan su a wuni (a sefa) ?")</f>
        <v>Nawa kuke biyan su a wuni (a sefa) ?</v>
      </c>
      <c r="J2124" s="113" t="str">
        <f t="shared" si="238"/>
        <v>332. How much do you pay per day for people to work in this business in CFA?</v>
      </c>
      <c r="K2124" s="113" t="str">
        <f t="shared" si="239"/>
        <v>332. Combien payez-vous par jour pour que les gens travaillent dans cette entreprise (en CFA) ?</v>
      </c>
      <c r="L2124" s="113" t="str">
        <f t="shared" si="240"/>
        <v>332. Nawa kuke biyan su a wuni (a sefa) ?</v>
      </c>
    </row>
    <row r="2125" hidden="1">
      <c r="A2125" s="270"/>
      <c r="B2125" s="270"/>
      <c r="C2125" s="270"/>
      <c r="D2125" s="270"/>
      <c r="E2125" s="270"/>
    </row>
    <row r="2126" hidden="1">
      <c r="A2126" s="167" t="s">
        <v>807</v>
      </c>
      <c r="B2126" s="168" t="s">
        <v>4689</v>
      </c>
      <c r="C2126" s="168" t="s">
        <v>4690</v>
      </c>
      <c r="D2126" s="169"/>
      <c r="E2126" s="169"/>
    </row>
    <row r="2127" hidden="1">
      <c r="A2127" s="131" t="s">
        <v>115</v>
      </c>
      <c r="B2127" s="132" t="s">
        <v>4691</v>
      </c>
      <c r="C2127" s="133"/>
      <c r="D2127" s="133"/>
      <c r="E2127" s="133"/>
    </row>
    <row r="2128" hidden="1">
      <c r="A2128" s="131" t="s">
        <v>115</v>
      </c>
      <c r="B2128" s="132" t="s">
        <v>4693</v>
      </c>
      <c r="C2128" s="133"/>
      <c r="D2128" s="133"/>
      <c r="E2128" s="133"/>
    </row>
    <row r="2129" hidden="1">
      <c r="A2129" s="131" t="s">
        <v>115</v>
      </c>
      <c r="B2129" s="132" t="s">
        <v>4696</v>
      </c>
      <c r="C2129" s="133"/>
      <c r="D2129" s="133"/>
      <c r="E2129" s="133"/>
    </row>
    <row r="2130">
      <c r="A2130" s="170" t="s">
        <v>238</v>
      </c>
      <c r="B2130" s="171" t="s">
        <v>4697</v>
      </c>
      <c r="C2130" s="76" t="s">
        <v>3020</v>
      </c>
      <c r="D2130" s="76" t="s">
        <v>3021</v>
      </c>
      <c r="E2130" s="76" t="s">
        <v>3023</v>
      </c>
      <c r="F2130" s="110">
        <v>333.0</v>
      </c>
      <c r="G2130" s="113" t="str">
        <f>IFERROR(__xludf.DUMMYFUNCTION("TRIM(REGEXREPLACE(C2130, ""[0-9]+[a-f]?\."", """"))"),"In a typical week during the past three months, how many days did ${hoh_biz_name} work in the household business?")</f>
        <v>In a typical week during the past three months, how many days did ${hoh_biz_name} work in the household business?</v>
      </c>
      <c r="H2130" s="113" t="str">
        <f>IFERROR(__xludf.DUMMYFUNCTION("TRIM(REGEXREPLACE(D2130,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2130" s="113" t="str">
        <f>IFERROR(__xludf.DUMMYFUNCTION("TRIM(REGEXREPLACE(E2130, ""[0-9]+[a-f]?\."", """"))"),"Kwanaki nawa a cikin kowane mako guda a cikin watanni uku da suka gabata, ${hoh_biz_name} yayi aiki a cikin kasuwancin gida?")</f>
        <v>Kwanaki nawa a cikin kowane mako guda a cikin watanni uku da suka gabata, ${hoh_biz_name} yayi aiki a cikin kasuwancin gida?</v>
      </c>
      <c r="J2130" s="113" t="str">
        <f>F2130 &amp; ". " &amp;G2130</f>
        <v>333. In a typical week during the past three months, how many days did ${hoh_biz_name} work in the household business?</v>
      </c>
      <c r="K2130" s="113" t="str">
        <f>F2130 &amp; ". " &amp;H2130</f>
        <v>333. Au cours d'une semaine normale au cours des trois derniers mois, combien de jours ${hoh_biz_name} a-t-il travaillé dans l'entreprise familiale ?</v>
      </c>
      <c r="L2130" s="113" t="str">
        <f>F2130 &amp; ". " &amp;I2130</f>
        <v>333. Kwanaki nawa a cikin kowane mako guda a cikin watanni uku da suka gabata, ${hoh_biz_name} yayi aiki a cikin kasuwancin gida?</v>
      </c>
    </row>
    <row r="2131" hidden="1">
      <c r="A2131" s="167" t="s">
        <v>842</v>
      </c>
      <c r="B2131" s="169" t="s">
        <v>4689</v>
      </c>
      <c r="C2131" s="169" t="s">
        <v>4690</v>
      </c>
      <c r="D2131" s="169"/>
      <c r="E2131" s="169"/>
    </row>
    <row r="2132" hidden="1">
      <c r="A2132" s="131" t="s">
        <v>150</v>
      </c>
      <c r="B2132" s="164" t="s">
        <v>4701</v>
      </c>
      <c r="C2132" s="133"/>
      <c r="D2132" s="133"/>
      <c r="E2132" s="133"/>
    </row>
    <row r="2133" hidden="1">
      <c r="A2133" s="80" t="s">
        <v>115</v>
      </c>
      <c r="B2133" s="81" t="s">
        <v>4703</v>
      </c>
      <c r="C2133" s="82"/>
      <c r="D2133" s="83"/>
      <c r="E2133" s="83"/>
    </row>
    <row r="2134">
      <c r="A2134" s="170" t="s">
        <v>238</v>
      </c>
      <c r="B2134" s="171" t="s">
        <v>4706</v>
      </c>
      <c r="C2134" s="76" t="s">
        <v>3037</v>
      </c>
      <c r="D2134" s="76" t="s">
        <v>3038</v>
      </c>
      <c r="E2134" s="76" t="s">
        <v>3039</v>
      </c>
      <c r="F2134" s="110">
        <v>334.0</v>
      </c>
      <c r="G2134" s="113" t="str">
        <f>IFERROR(__xludf.DUMMYFUNCTION("TRIM(REGEXREPLACE(C2134,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2134" s="113" t="str">
        <f>IFERROR(__xludf.DUMMYFUNCTION("TRIM(REGEXREPLACE(D2134,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2134" s="113" t="str">
        <f>IFERROR(__xludf.DUMMYFUNCTION("TRIM(REGEXREPLACE(E2134,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2134" s="113" t="str">
        <f t="shared" ref="J2134:J2135" si="241">F2134 &amp; ". " &amp;G2134</f>
        <v>334. Thinking about all of the revenues from this business in the past three months, what was the total amount of money coming in from this business in the last three months?</v>
      </c>
      <c r="K2134" s="113" t="str">
        <f t="shared" ref="K2134:K2135" si="242">F2134 &amp; ". " &amp;H2134</f>
        <v>334. Pense à tous les revenus de cette entreprise au cours des trois derniers mois, quel a été le montant total provenant de cette entreprise au cours des trois derniers mois ?</v>
      </c>
      <c r="L2134" s="113" t="str">
        <f t="shared" ref="L2134:L2135" si="243">F2134 &amp; ". " &amp;I2134</f>
        <v>334. Tuna da dukkan kuɗaɗen shiga na wannan kasuwancin a cikin watanni uku da suka wuce, nawa ne yawan kuɗin da aka samu daga wannan kasuwancin a cikin watanni uku da suka wuce?</v>
      </c>
    </row>
    <row r="2135">
      <c r="A2135" s="170" t="s">
        <v>238</v>
      </c>
      <c r="B2135" s="171" t="s">
        <v>4711</v>
      </c>
      <c r="C2135" s="76" t="s">
        <v>3041</v>
      </c>
      <c r="D2135" s="76" t="s">
        <v>3042</v>
      </c>
      <c r="E2135" s="76" t="s">
        <v>3043</v>
      </c>
      <c r="F2135" s="110">
        <v>335.0</v>
      </c>
      <c r="G2135" s="113" t="str">
        <f>IFERROR(__xludf.DUMMYFUNCTION("TRIM(REGEXREPLACE(C2135,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2135" s="113" t="str">
        <f>IFERROR(__xludf.DUMMYFUNCTION("TRIM(REGEXREPLACE(D2135,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2135" s="113" t="str">
        <f>IFERROR(__xludf.DUMMYFUNCTION("TRIM(REGEXREPLACE(E2135,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2135" s="113" t="str">
        <f t="shared" si="241"/>
        <v>335. Thinking about all of the the expenses from this business, what was the total amount of money you spent on costs related to this business in the last three months?</v>
      </c>
      <c r="K2135" s="113" t="str">
        <f t="shared" si="242"/>
        <v>335. Pense à toutes les dépenses de cette entreprise, quel a été le montant total que vous avez dépensé pour les coûts liés à cette entreprise au cours des trois derniers mois ?</v>
      </c>
      <c r="L2135" s="113" t="str">
        <f t="shared" si="243"/>
        <v>335. Tuna da dukkan kuɗin da aka kashe don wannan kasuwancin, nawa ne jimillar kuɗin da kuka kashe a kan wannan kasuwancin a cikin watanni uku da suka wuce?</v>
      </c>
    </row>
    <row r="2136" hidden="1">
      <c r="A2136" s="131" t="s">
        <v>115</v>
      </c>
      <c r="B2136" s="132" t="s">
        <v>4719</v>
      </c>
      <c r="C2136" s="133"/>
      <c r="D2136" s="133"/>
      <c r="E2136" s="133"/>
    </row>
    <row r="2137">
      <c r="A2137" s="114" t="s">
        <v>541</v>
      </c>
      <c r="B2137" s="165" t="s">
        <v>4720</v>
      </c>
      <c r="C2137" s="76" t="s">
        <v>3045</v>
      </c>
      <c r="D2137" s="76" t="s">
        <v>3046</v>
      </c>
      <c r="E2137" s="76" t="s">
        <v>3047</v>
      </c>
      <c r="F2137" s="110">
        <v>336.0</v>
      </c>
      <c r="G2137" s="113" t="str">
        <f>IFERROR(__xludf.DUMMYFUNCTION("TRIM(REGEXREPLACE(C2137,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2137" s="113" t="str">
        <f>IFERROR(__xludf.DUMMYFUNCTION("TRIM(REGEXREPLACE(D2137,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2137" s="113" t="str">
        <f>IFERROR(__xludf.DUMMYFUNCTION("TRIM(REGEXREPLACE(E2137,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2137" s="113" t="str">
        <f t="shared" ref="J2137:J2138" si="244">F2137 &amp; ". " &amp;G2137</f>
        <v>336. Thinking about all the revenue and expense related to this business during the past three months, you said that the net income from this business for your household is ${hoh_biz_income}. Is that correct?</v>
      </c>
      <c r="K2137" s="113" t="str">
        <f t="shared" ref="K2137:K2138" si="245">F2137 &amp; ". " &amp;H2137</f>
        <v>336. En pensant à tous les revenus de cette entreprise et à toutes les dépenses, vous dites que la bénéfice net de cette entreprise au cours des trois derniers mois est ${hoh_biz_income}, est-ce exact ?</v>
      </c>
      <c r="L2137" s="113" t="str">
        <f t="shared" ref="L2137:L2138" si="246">F2137 &amp; ". " &amp;I2137</f>
        <v>336. Ku tuna da dukkan kuɗaɗen shiga da kashe kashen kuɗi da suka shafi wannan kasuwancin a cikin watanni uku da suka wuce. Kun ce yawan riban wannan kasuwancin shine ${hoh_biz_income}. Ko hakan daidai ne?</v>
      </c>
    </row>
    <row r="2138">
      <c r="A2138" s="152" t="s">
        <v>44</v>
      </c>
      <c r="B2138" s="77" t="s">
        <v>4724</v>
      </c>
      <c r="C2138" s="76" t="s">
        <v>3049</v>
      </c>
      <c r="D2138" s="76" t="s">
        <v>3050</v>
      </c>
      <c r="E2138" s="76" t="s">
        <v>3051</v>
      </c>
      <c r="F2138" s="110">
        <v>337.0</v>
      </c>
      <c r="G2138" s="113" t="str">
        <f>IFERROR(__xludf.DUMMYFUNCTION("TRIM(REGEXREPLACE(C2138, ""[0-9]+[a-f]?\."", """"))"),"We have discussed work done by members of your household in agriculture, in husbandry, in a business owned by your family.")</f>
        <v>We have discussed work done by members of your household in agriculture, in husbandry, in a business owned by your family.</v>
      </c>
      <c r="H2138" s="113" t="str">
        <f>IFERROR(__xludf.DUMMYFUNCTION("TRIM(REGEXREPLACE(D2138,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2138" s="113" t="str">
        <f>IFERROR(__xludf.DUMMYFUNCTION("TRIM(REGEXREPLACE(E2138, ""[0-9]+[a-f]?\."", """"))"),"“Mun tattauna bisa ayyukan da ƴan gidanku suka yi a harakar noma da kiwo, kasuwancin da ƴan gidanku suka mallaka.")</f>
        <v>“Mun tattauna bisa ayyukan da ƴan gidanku suka yi a harakar noma da kiwo, kasuwancin da ƴan gidanku suka mallaka.</v>
      </c>
      <c r="J2138" s="113" t="str">
        <f t="shared" si="244"/>
        <v>337. We have discussed work done by members of your household in agriculture, in husbandry, in a business owned by your family.</v>
      </c>
      <c r="K2138" s="113" t="str">
        <f t="shared" si="245"/>
        <v>337. Nous avons discuté du travail effectué par les membres de votre ménage dans l'agriculture, l'élevage, dans une entreprise appartenant à votre famille.</v>
      </c>
      <c r="L2138" s="113" t="str">
        <f t="shared" si="246"/>
        <v>337. “Mun tattauna bisa ayyukan da ƴan gidanku suka yi a harakar noma da kiwo, kasuwancin da ƴan gidanku suka mallaka.</v>
      </c>
    </row>
    <row r="2139" hidden="1">
      <c r="A2139" s="131" t="s">
        <v>150</v>
      </c>
      <c r="B2139" s="164" t="s">
        <v>4726</v>
      </c>
      <c r="C2139" s="133"/>
      <c r="D2139" s="133"/>
      <c r="E2139" s="133"/>
    </row>
    <row r="2140" hidden="1">
      <c r="A2140" s="167" t="s">
        <v>807</v>
      </c>
      <c r="B2140" s="168" t="s">
        <v>4727</v>
      </c>
      <c r="C2140" s="168" t="s">
        <v>4728</v>
      </c>
      <c r="D2140" s="169" t="s">
        <v>4729</v>
      </c>
      <c r="E2140" s="169" t="s">
        <v>4730</v>
      </c>
    </row>
    <row r="2141" hidden="1">
      <c r="A2141" s="131" t="s">
        <v>115</v>
      </c>
      <c r="B2141" s="132" t="s">
        <v>4731</v>
      </c>
      <c r="C2141" s="133"/>
      <c r="D2141" s="133"/>
      <c r="E2141" s="133"/>
    </row>
    <row r="2142" hidden="1">
      <c r="A2142" s="131" t="s">
        <v>115</v>
      </c>
      <c r="B2142" s="132" t="s">
        <v>4734</v>
      </c>
      <c r="C2142" s="133"/>
      <c r="D2142" s="133"/>
      <c r="E2142" s="133"/>
    </row>
    <row r="2143">
      <c r="A2143" s="114" t="s">
        <v>541</v>
      </c>
      <c r="B2143" s="165" t="s">
        <v>4736</v>
      </c>
      <c r="C2143" s="76" t="s">
        <v>3056</v>
      </c>
      <c r="D2143" s="76" t="s">
        <v>3057</v>
      </c>
      <c r="E2143" s="76" t="s">
        <v>3058</v>
      </c>
      <c r="F2143" s="110">
        <v>338.0</v>
      </c>
      <c r="G2143" s="113" t="str">
        <f>IFERROR(__xludf.DUMMYFUNCTION("TRIM(REGEXREPLACE(C2143, ""[0-9]+[a-f]?\."", """"))"),"In the past three months, did ${hoh_member_act_name} earn money from any other activity?")</f>
        <v>In the past three months, did ${hoh_member_act_name} earn money from any other activity?</v>
      </c>
      <c r="H2143" s="113" t="str">
        <f>IFERROR(__xludf.DUMMYFUNCTION("TRIM(REGEXREPLACE(D2143, ""[0-9]+[a-f]?\."", """"))"),"Au cours des trois derniers mois, ${hoh_member_act_name} a-t-il gagné de l'argent grâce à une autre activité ?")</f>
        <v>Au cours des trois derniers mois, ${hoh_member_act_name} a-t-il gagné de l'argent grâce à une autre activité ?</v>
      </c>
      <c r="I2143" s="113" t="str">
        <f>IFERROR(__xludf.DUMMYFUNCTION("TRIM(REGEXREPLACE(E2143, ""[0-9]+[a-f]?\."", """"))"),"A cikin watanni uku da suka gabata, ${hoh_member_act_name} ya samu kuɗi daga yin wani aiki?")</f>
        <v>A cikin watanni uku da suka gabata, ${hoh_member_act_name} ya samu kuɗi daga yin wani aiki?</v>
      </c>
      <c r="J2143" s="113" t="str">
        <f t="shared" ref="J2143:J2145" si="247">F2143 &amp; ". " &amp;G2143</f>
        <v>338. In the past three months, did ${hoh_member_act_name} earn money from any other activity?</v>
      </c>
      <c r="K2143" s="113" t="str">
        <f t="shared" ref="K2143:K2145" si="248">F2143 &amp; ". " &amp;H2143</f>
        <v>338. Au cours des trois derniers mois, ${hoh_member_act_name} a-t-il gagné de l'argent grâce à une autre activité ?</v>
      </c>
      <c r="L2143" s="113" t="str">
        <f t="shared" ref="L2143:L2145" si="249">F2143 &amp; ". " &amp;I2143</f>
        <v>338. A cikin watanni uku da suka gabata, ${hoh_member_act_name} ya samu kuɗi daga yin wani aiki?</v>
      </c>
    </row>
    <row r="2144">
      <c r="A2144" s="114" t="s">
        <v>4666</v>
      </c>
      <c r="B2144" s="165" t="s">
        <v>4742</v>
      </c>
      <c r="C2144" s="76" t="s">
        <v>3060</v>
      </c>
      <c r="D2144" s="76" t="s">
        <v>3061</v>
      </c>
      <c r="E2144" s="76" t="s">
        <v>3062</v>
      </c>
      <c r="F2144" s="110">
        <v>339.0</v>
      </c>
      <c r="G2144" s="113" t="str">
        <f>IFERROR(__xludf.DUMMYFUNCTION("TRIM(REGEXREPLACE(C2144, ""[0-9]+[a-f]?\."", """"))"),"What was the activity?")</f>
        <v>What was the activity?</v>
      </c>
      <c r="H2144" s="113" t="str">
        <f>IFERROR(__xludf.DUMMYFUNCTION("TRIM(REGEXREPLACE(D2144, ""[0-9]+[a-f]?\."", """"))"),"Quelle était l'activité ?")</f>
        <v>Quelle était l'activité ?</v>
      </c>
      <c r="I2144" s="113" t="str">
        <f>IFERROR(__xludf.DUMMYFUNCTION("TRIM(REGEXREPLACE(E2144, ""[0-9]+[a-f]?\."", """"))"),"Menene aikin?")</f>
        <v>Menene aikin?</v>
      </c>
      <c r="J2144" s="113" t="str">
        <f t="shared" si="247"/>
        <v>339. What was the activity?</v>
      </c>
      <c r="K2144" s="113" t="str">
        <f t="shared" si="248"/>
        <v>339. Quelle était l'activité ?</v>
      </c>
      <c r="L2144" s="113" t="str">
        <f t="shared" si="249"/>
        <v>339. Menene aikin?</v>
      </c>
    </row>
    <row r="2145">
      <c r="A2145" s="162" t="s">
        <v>217</v>
      </c>
      <c r="B2145" s="166" t="s">
        <v>4746</v>
      </c>
      <c r="C2145" s="76" t="s">
        <v>3067</v>
      </c>
      <c r="D2145" s="76" t="s">
        <v>3068</v>
      </c>
      <c r="E2145" s="76" t="s">
        <v>3069</v>
      </c>
      <c r="F2145" s="110">
        <v>340.0</v>
      </c>
      <c r="G2145" s="113" t="str">
        <f>IFERROR(__xludf.DUMMYFUNCTION("TRIM(REGEXREPLACE(C2145, ""[0-9]+[a-f]?\."", """"))"),"Specify the activity")</f>
        <v>Specify the activity</v>
      </c>
      <c r="H2145" s="113" t="str">
        <f>IFERROR(__xludf.DUMMYFUNCTION("TRIM(REGEXREPLACE(D2145, ""[0-9]+[a-f]?\."", """"))"),"Précisez l'activité")</f>
        <v>Précisez l'activité</v>
      </c>
      <c r="I2145" s="113" t="str">
        <f>IFERROR(__xludf.DUMMYFUNCTION("TRIM(REGEXREPLACE(E2145, ""[0-9]+[a-f]?\."", """"))"),"Baiyana aikin")</f>
        <v>Baiyana aikin</v>
      </c>
      <c r="J2145" s="113" t="str">
        <f t="shared" si="247"/>
        <v>340. Specify the activity</v>
      </c>
      <c r="K2145" s="113" t="str">
        <f t="shared" si="248"/>
        <v>340. Précisez l'activité</v>
      </c>
      <c r="L2145" s="113" t="str">
        <f t="shared" si="249"/>
        <v>340. Baiyana aikin</v>
      </c>
    </row>
    <row r="2146" hidden="1">
      <c r="A2146" s="131" t="s">
        <v>115</v>
      </c>
      <c r="B2146" s="132" t="s">
        <v>4750</v>
      </c>
      <c r="C2146" s="133"/>
      <c r="D2146" s="133"/>
      <c r="E2146" s="133"/>
    </row>
    <row r="2147">
      <c r="A2147" s="170" t="s">
        <v>238</v>
      </c>
      <c r="B2147" s="171" t="s">
        <v>4751</v>
      </c>
      <c r="C2147" s="76" t="s">
        <v>4752</v>
      </c>
      <c r="D2147" s="76" t="s">
        <v>4753</v>
      </c>
      <c r="E2147" s="76" t="s">
        <v>4754</v>
      </c>
      <c r="F2147" s="110">
        <v>341.0</v>
      </c>
      <c r="G2147" s="113" t="str">
        <f>IFERROR(__xludf.DUMMYFUNCTION("TRIM(REGEXREPLACE(C2147,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2147" s="113" t="str">
        <f>IFERROR(__xludf.DUMMYFUNCTION("TRIM(REGEXREPLACE(D2147,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2147" s="113" t="str">
        <f>IFERROR(__xludf.DUMMYFUNCTION("TRIM(REGEXREPLACE(E2147,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2147" s="113" t="str">
        <f t="shared" ref="J2147:J2149" si="250">F2147 &amp; ". " &amp;G2147</f>
        <v>341. How much does ${hoh_member_act_name} earn from this activity during an average week (that they are engaged in ${hoh_member_other_activity_name})?</v>
      </c>
      <c r="K2147" s="113" t="str">
        <f t="shared" ref="K2147:K2149" si="251">F2147 &amp; ". " &amp;H2147</f>
        <v>341. Combien ${hoh_member_act_name} gagne-t-il grâce à cette activité au cours d'une semaine en moyenne (pendant laquelle il est engagé comme ${hoh_member_other_activity_name}) ?</v>
      </c>
      <c r="L2147" s="113" t="str">
        <f t="shared" ref="L2147:L2149" si="252">F2147 &amp; ". " &amp;I2147</f>
        <v>341. A takaice nawa ${hoh_member_act_name} yake samu daga wannan aiki a cikin sati (a lokacin da suke cikin aikin ${hoh_member_other_activity_name})?</v>
      </c>
    </row>
    <row r="2148">
      <c r="A2148" s="170" t="s">
        <v>238</v>
      </c>
      <c r="B2148" s="171" t="s">
        <v>4755</v>
      </c>
      <c r="C2148" s="76" t="s">
        <v>4756</v>
      </c>
      <c r="D2148" s="76" t="s">
        <v>4757</v>
      </c>
      <c r="E2148" s="76" t="s">
        <v>4759</v>
      </c>
      <c r="F2148" s="110">
        <v>342.0</v>
      </c>
      <c r="G2148" s="113" t="str">
        <f>IFERROR(__xludf.DUMMYFUNCTION("TRIM(REGEXREPLACE(C2148, ""[0-9]+[a-f]?\."", """"))"),"Think about the past 3 months how many weeks did they engage in ${hoh_member_other_activity_name}?")</f>
        <v>Think about the past 3 months how many weeks did they engage in ${hoh_member_other_activity_name}?</v>
      </c>
      <c r="H2148" s="113" t="str">
        <f>IFERROR(__xludf.DUMMYFUNCTION("TRIM(REGEXREPLACE(D2148, ""[0-9]+[a-f]?\."", """"))"),"Pensez aux 3 derniers mois, combien de semaines ont-ils participé à ${hoh_member_other_activity_name} ?")</f>
        <v>Pensez aux 3 derniers mois, combien de semaines ont-ils participé à ${hoh_member_other_activity_name} ?</v>
      </c>
      <c r="I2148" s="113" t="str">
        <f>IFERROR(__xludf.DUMMYFUNCTION("TRIM(REGEXREPLACE(E2148, ""[0-9]+[a-f]?\."", """"))"),"A watanni 3 da suka gabata, sati nawa suka yi aikin ${hoh_member_other_activity_name}?")</f>
        <v>A watanni 3 da suka gabata, sati nawa suka yi aikin ${hoh_member_other_activity_name}?</v>
      </c>
      <c r="J2148" s="113" t="str">
        <f t="shared" si="250"/>
        <v>342. Think about the past 3 months how many weeks did they engage in ${hoh_member_other_activity_name}?</v>
      </c>
      <c r="K2148" s="113" t="str">
        <f t="shared" si="251"/>
        <v>342. Pensez aux 3 derniers mois, combien de semaines ont-ils participé à ${hoh_member_other_activity_name} ?</v>
      </c>
      <c r="L2148" s="113" t="str">
        <f t="shared" si="252"/>
        <v>342. A watanni 3 da suka gabata, sati nawa suka yi aikin ${hoh_member_other_activity_name}?</v>
      </c>
    </row>
    <row r="2149">
      <c r="A2149" s="170" t="s">
        <v>238</v>
      </c>
      <c r="B2149" s="171" t="s">
        <v>4763</v>
      </c>
      <c r="C2149" s="76" t="s">
        <v>4764</v>
      </c>
      <c r="D2149" s="76" t="s">
        <v>4765</v>
      </c>
      <c r="E2149" s="76" t="s">
        <v>4766</v>
      </c>
      <c r="F2149" s="110">
        <v>343.0</v>
      </c>
      <c r="G2149" s="113" t="str">
        <f>IFERROR(__xludf.DUMMYFUNCTION("TRIM(REGEXREPLACE(C2149,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2149" s="113" t="str">
        <f>IFERROR(__xludf.DUMMYFUNCTION("TRIM(REGEXREPLACE(D2149,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2149" s="113" t="str">
        <f>IFERROR(__xludf.DUMMYFUNCTION("TRIM(REGEXREPLACE(E2149, ""[0-9]+[a-f]?\."", """"))"),"Ko za ku iya kimanta gudunmawar kuɗi da kaya da ${hoh_member_act_name} ya kawo gidan a cikin sati guda (banda aiki)?")</f>
        <v>Ko za ku iya kimanta gudunmawar kuɗi da kaya da ${hoh_member_act_name} ya kawo gidan a cikin sati guda (banda aiki)?</v>
      </c>
      <c r="J2149" s="113" t="str">
        <f t="shared" si="250"/>
        <v>343. Can you estimate how much ${hoh_member_act_name} contributes to the household common pot in a typical week (excluding labor) including both cash and in goods?</v>
      </c>
      <c r="K2149" s="113" t="str">
        <f t="shared" si="251"/>
        <v>343. Pouvez-vous estimer la contribution de ${hoh_member_act_name} au fond commun du ménage au cours d'une semaine normale (hors main-d'œuvre), y compris en espèces et en nature ?</v>
      </c>
      <c r="L2149" s="113" t="str">
        <f t="shared" si="252"/>
        <v>343. Ko za ku iya kimanta gudunmawar kuɗi da kaya da ${hoh_member_act_name} ya kawo gidan a cikin sati guda (banda aiki)?</v>
      </c>
    </row>
    <row r="2150" hidden="1">
      <c r="A2150" s="167" t="s">
        <v>842</v>
      </c>
      <c r="B2150" s="169" t="s">
        <v>4727</v>
      </c>
      <c r="C2150" s="169" t="s">
        <v>4728</v>
      </c>
      <c r="D2150" s="169" t="s">
        <v>4729</v>
      </c>
      <c r="E2150" s="169" t="s">
        <v>4730</v>
      </c>
    </row>
    <row r="2151" hidden="1">
      <c r="A2151" s="131" t="s">
        <v>150</v>
      </c>
      <c r="B2151" s="164" t="s">
        <v>4768</v>
      </c>
      <c r="C2151" s="133"/>
      <c r="D2151" s="133"/>
      <c r="E2151" s="133"/>
    </row>
    <row r="2152" hidden="1">
      <c r="A2152" s="80" t="s">
        <v>115</v>
      </c>
      <c r="B2152" s="81" t="s">
        <v>4770</v>
      </c>
      <c r="C2152" s="82"/>
      <c r="D2152" s="83"/>
      <c r="E2152" s="83"/>
    </row>
    <row r="2153" hidden="1">
      <c r="A2153" s="203"/>
      <c r="B2153" s="203"/>
      <c r="C2153" s="204"/>
      <c r="D2153" s="97"/>
      <c r="E2153" s="97"/>
    </row>
    <row r="2154" hidden="1">
      <c r="A2154" s="150" t="s">
        <v>161</v>
      </c>
      <c r="B2154" s="82" t="s">
        <v>4771</v>
      </c>
      <c r="C2154" s="82" t="s">
        <v>4772</v>
      </c>
      <c r="D2154" s="83"/>
      <c r="E2154" s="83"/>
    </row>
    <row r="2155" hidden="1">
      <c r="A2155" s="131" t="s">
        <v>150</v>
      </c>
      <c r="B2155" s="164" t="s">
        <v>4774</v>
      </c>
      <c r="C2155" s="133"/>
      <c r="D2155" s="133"/>
      <c r="E2155" s="133"/>
    </row>
    <row r="2156">
      <c r="A2156" s="114" t="s">
        <v>680</v>
      </c>
      <c r="B2156" s="165" t="s">
        <v>4775</v>
      </c>
      <c r="C2156" s="76" t="s">
        <v>3127</v>
      </c>
      <c r="D2156" s="76" t="s">
        <v>3128</v>
      </c>
      <c r="E2156" s="76" t="s">
        <v>3129</v>
      </c>
      <c r="F2156" s="110">
        <v>344.0</v>
      </c>
      <c r="G2156" s="113" t="str">
        <f>IFERROR(__xludf.DUMMYFUNCTION("TRIM(REGEXREPLACE(C2156,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2156" s="113" t="str">
        <f>IFERROR(__xludf.DUMMYFUNCTION("TRIM(REGEXREPLACE(D2156,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2156" s="113" t="str">
        <f>IFERROR(__xludf.DUMMYFUNCTION("TRIM(REGEXREPLACE(E2156,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2156" s="113" t="str">
        <f t="shared" ref="J2156:J2190" si="253">F2156 &amp; ". " &amp;G2156</f>
        <v>344. In the past three months, have you or anyone in your household received money from someone who is not a member of your household and who lives elsewhere in Niger (outside your village)?</v>
      </c>
      <c r="K2156" s="113" t="str">
        <f t="shared" ref="K2156:K2190" si="254">F2156 &amp; ". " &amp;H2156</f>
        <v>344. Au cours des trois derniers mois, vous ou un membre de votre ménage avez reçu &lt;b&gt;de l'argent&lt;/b&gt; d'une personne qui n'est pas membre de votre ménage et qui habite &lt;b&gt;ailleurs au Niger&lt;/b&gt; (en dehors de votre village)?</v>
      </c>
      <c r="L2156" s="113" t="str">
        <f t="shared" ref="L2156:L2190" si="255">F2156 &amp; ". " &amp;I2156</f>
        <v>344. A cikin watanni uku da suka wuce, kai ko ɗan gidanku kun samu kuɗi daga wani da ba ɗan gidanku ba wanda yake zaune a wani gari a Nijar (wajen kauyenku)?</v>
      </c>
    </row>
    <row r="2157">
      <c r="A2157" s="170" t="s">
        <v>238</v>
      </c>
      <c r="B2157" s="171" t="s">
        <v>4784</v>
      </c>
      <c r="C2157" s="76" t="s">
        <v>3135</v>
      </c>
      <c r="D2157" s="76" t="s">
        <v>3136</v>
      </c>
      <c r="E2157" s="76" t="s">
        <v>3137</v>
      </c>
      <c r="F2157" s="110">
        <v>345.0</v>
      </c>
      <c r="G2157" s="113" t="str">
        <f>IFERROR(__xludf.DUMMYFUNCTION("TRIM(REGEXREPLACE(C2157, ""[0-9]+[a-f]?\."", """"))"),"How much in total did members of your household receive from people elsewhere in Niger (in CFA)?")</f>
        <v>How much in total did members of your household receive from people elsewhere in Niger (in CFA)?</v>
      </c>
      <c r="H2157" s="113" t="str">
        <f>IFERROR(__xludf.DUMMYFUNCTION("TRIM(REGEXREPLACE(D2157, ""[0-9]+[a-f]?\."", """"))"),"Combien au total les membres de votre ménage ont-ils reçu des personnes qui sont quelques part au Niger (en USD)?")</f>
        <v>Combien au total les membres de votre ménage ont-ils reçu des personnes qui sont quelques part au Niger (en USD)?</v>
      </c>
      <c r="I2157" s="113" t="str">
        <f>IFERROR(__xludf.DUMMYFUNCTION("TRIM(REGEXREPLACE(E2157, ""[0-9]+[a-f]?\."", """"))"),"Nawa ne ƴan gidanku suka samu daga wasu matanen da ke wani gari a Nijar (in CFA)?")</f>
        <v>Nawa ne ƴan gidanku suka samu daga wasu matanen da ke wani gari a Nijar (in CFA)?</v>
      </c>
      <c r="J2157" s="113" t="str">
        <f t="shared" si="253"/>
        <v>345. How much in total did members of your household receive from people elsewhere in Niger (in CFA)?</v>
      </c>
      <c r="K2157" s="113" t="str">
        <f t="shared" si="254"/>
        <v>345. Combien au total les membres de votre ménage ont-ils reçu des personnes qui sont quelques part au Niger (en USD)?</v>
      </c>
      <c r="L2157" s="113" t="str">
        <f t="shared" si="255"/>
        <v>345. Nawa ne ƴan gidanku suka samu daga wasu matanen da ke wani gari a Nijar (in CFA)?</v>
      </c>
    </row>
    <row r="2158">
      <c r="A2158" s="114" t="s">
        <v>4787</v>
      </c>
      <c r="B2158" s="165" t="s">
        <v>4788</v>
      </c>
      <c r="C2158" s="76" t="s">
        <v>3139</v>
      </c>
      <c r="D2158" s="76" t="s">
        <v>3140</v>
      </c>
      <c r="E2158" s="76" t="s">
        <v>3141</v>
      </c>
      <c r="F2158" s="110">
        <v>346.0</v>
      </c>
      <c r="G2158" s="113" t="str">
        <f>IFERROR(__xludf.DUMMYFUNCTION("TRIM(REGEXREPLACE(C2158, ""[0-9]+[a-f]?\."", """"))"),"How was this money transmitted to your household?")</f>
        <v>How was this money transmitted to your household?</v>
      </c>
      <c r="H2158" s="113" t="str">
        <f>IFERROR(__xludf.DUMMYFUNCTION("TRIM(REGEXREPLACE(D2158, ""[0-9]+[a-f]?\."", """"))"),"Comment cet argent a-t-il été envoyé à votre ménage ?")</f>
        <v>Comment cet argent a-t-il été envoyé à votre ménage ?</v>
      </c>
      <c r="I2158" s="113" t="str">
        <f>IFERROR(__xludf.DUMMYFUNCTION("TRIM(REGEXREPLACE(E2158, ""[0-9]+[a-f]?\."", """"))"),"Ta wace hanya aka aikawa gidanku wannan kuɗin ?")</f>
        <v>Ta wace hanya aka aikawa gidanku wannan kuɗin ?</v>
      </c>
      <c r="J2158" s="113" t="str">
        <f t="shared" si="253"/>
        <v>346. How was this money transmitted to your household?</v>
      </c>
      <c r="K2158" s="113" t="str">
        <f t="shared" si="254"/>
        <v>346. Comment cet argent a-t-il été envoyé à votre ménage ?</v>
      </c>
      <c r="L2158" s="113" t="str">
        <f t="shared" si="255"/>
        <v>346. Ta wace hanya aka aikawa gidanku wannan kuɗin ?</v>
      </c>
    </row>
    <row r="2159">
      <c r="A2159" s="162" t="s">
        <v>217</v>
      </c>
      <c r="B2159" s="166" t="s">
        <v>4789</v>
      </c>
      <c r="C2159" s="76" t="s">
        <v>3146</v>
      </c>
      <c r="D2159" s="76" t="s">
        <v>3147</v>
      </c>
      <c r="E2159" s="76" t="s">
        <v>3148</v>
      </c>
      <c r="F2159" s="110">
        <v>347.0</v>
      </c>
      <c r="G2159" s="113" t="str">
        <f>IFERROR(__xludf.DUMMYFUNCTION("TRIM(REGEXREPLACE(C2159, ""[0-9]+[a-f]?\."", """"))"),"Specify other transfer method")</f>
        <v>Specify other transfer method</v>
      </c>
      <c r="H2159" s="113" t="str">
        <f>IFERROR(__xludf.DUMMYFUNCTION("TRIM(REGEXREPLACE(D2159, ""[0-9]+[a-f]?\."", """"))"),"Précisez la méthode du transfert")</f>
        <v>Précisez la méthode du transfert</v>
      </c>
      <c r="I2159" s="113" t="str">
        <f>IFERROR(__xludf.DUMMYFUNCTION("TRIM(REGEXREPLACE(E2159, ""[0-9]+[a-f]?\."", """"))"),"Wani daban a Bayyana")</f>
        <v>Wani daban a Bayyana</v>
      </c>
      <c r="J2159" s="113" t="str">
        <f t="shared" si="253"/>
        <v>347. Specify other transfer method</v>
      </c>
      <c r="K2159" s="113" t="str">
        <f t="shared" si="254"/>
        <v>347. Précisez la méthode du transfert</v>
      </c>
      <c r="L2159" s="113" t="str">
        <f t="shared" si="255"/>
        <v>347. Wani daban a Bayyana</v>
      </c>
    </row>
    <row r="2160">
      <c r="A2160" s="114" t="s">
        <v>680</v>
      </c>
      <c r="B2160" s="165" t="s">
        <v>4790</v>
      </c>
      <c r="C2160" s="76" t="s">
        <v>3150</v>
      </c>
      <c r="D2160" s="76" t="s">
        <v>3151</v>
      </c>
      <c r="E2160" s="76" t="s">
        <v>3152</v>
      </c>
      <c r="F2160" s="110">
        <v>348.0</v>
      </c>
      <c r="G2160" s="113" t="str">
        <f>IFERROR(__xludf.DUMMYFUNCTION("TRIM(REGEXREPLACE(C2160,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2160" s="113" t="str">
        <f>IFERROR(__xludf.DUMMYFUNCTION("TRIM(REGEXREPLACE(D2160,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2160" s="113" t="str">
        <f>IFERROR(__xludf.DUMMYFUNCTION("TRIM(REGEXREPLACE(E2160,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2160" s="113" t="str">
        <f t="shared" si="253"/>
        <v>348. In the past three months, have you or anyone in your household received goods (payment in kind) from someone who is not a member of your household and who lives elsewhere in Niger (outside your village)?</v>
      </c>
      <c r="K2160" s="113" t="str">
        <f t="shared" si="254"/>
        <v>348. Au cours des trois derniers mois, vous ou un membre de votre ménage avez reçu &lt;b&gt;des biens&lt;/b&gt; (paiement en nature) d'une personne qui n'est pas membre de votre ménage et qui habite &lt;b&gt;ailleurs au Niger&lt;/b&gt; (en dehors de votre village)?</v>
      </c>
      <c r="L2160" s="113" t="str">
        <f t="shared" si="255"/>
        <v>348. A cikin watanni ukun da suka wuce, kai ko wani a cikin gidanku kun karɓi kaya (a matsayin biya) daga wani wanda ba ɗan gidanku ba ne kuma yana zaune a wani wuri a Nijar (Ba'a garinku ba)?</v>
      </c>
    </row>
    <row r="2161">
      <c r="A2161" s="170" t="s">
        <v>238</v>
      </c>
      <c r="B2161" s="171" t="s">
        <v>4792</v>
      </c>
      <c r="C2161" s="76" t="s">
        <v>3157</v>
      </c>
      <c r="D2161" s="76" t="s">
        <v>4793</v>
      </c>
      <c r="E2161" s="76" t="s">
        <v>3160</v>
      </c>
      <c r="F2161" s="110">
        <v>349.0</v>
      </c>
      <c r="G2161" s="113" t="str">
        <f>IFERROR(__xludf.DUMMYFUNCTION("TRIM(REGEXREPLACE(C2161, ""[0-9]+[a-f]?\."", """"))"),"What was the value of the goods members of your household receive from people elsewhere in Niger (in CFA)?")</f>
        <v>What was the value of the goods members of your household receive from people elsewhere in Niger (in CFA)?</v>
      </c>
      <c r="H2161" s="113" t="str">
        <f>IFERROR(__xludf.DUMMYFUNCTION("TRIM(REGEXREPLACE(D2161,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2161" s="113" t="str">
        <f>IFERROR(__xludf.DUMMYFUNCTION("TRIM(REGEXREPLACE(E2161, ""[0-9]+[a-f]?\."", """"))"),"Nawa kimar kayayyakin da ƴan gidanku suka karba daga wasu mutane a wasu wurare a Nijar (in CFA)?")</f>
        <v>Nawa kimar kayayyakin da ƴan gidanku suka karba daga wasu mutane a wasu wurare a Nijar (in CFA)?</v>
      </c>
      <c r="J2161" s="113" t="str">
        <f t="shared" si="253"/>
        <v>349. What was the value of the goods members of your household receive from people elsewhere in Niger (in CFA)?</v>
      </c>
      <c r="K2161" s="113" t="str">
        <f t="shared" si="254"/>
        <v>349. Quel était la valeur au totale des biens que les membres de votre ménage ont reçu des personnes qui sont quelques part au Niger 
 (en USD)?</v>
      </c>
      <c r="L2161" s="113" t="str">
        <f t="shared" si="255"/>
        <v>349. Nawa kimar kayayyakin da ƴan gidanku suka karba daga wasu mutane a wasu wurare a Nijar (in CFA)?</v>
      </c>
    </row>
    <row r="2162">
      <c r="A2162" s="114" t="s">
        <v>4794</v>
      </c>
      <c r="B2162" s="165" t="s">
        <v>4795</v>
      </c>
      <c r="C2162" s="76" t="s">
        <v>4796</v>
      </c>
      <c r="D2162" s="76" t="s">
        <v>4797</v>
      </c>
      <c r="E2162" s="76" t="s">
        <v>4798</v>
      </c>
      <c r="F2162" s="110">
        <v>350.0</v>
      </c>
      <c r="G2162" s="113" t="str">
        <f>IFERROR(__xludf.DUMMYFUNCTION("TRIM(REGEXREPLACE(C2162, ""[0-9]+[a-f]?\."", """"))"),"How were these goods transmitted to your household?")</f>
        <v>How were these goods transmitted to your household?</v>
      </c>
      <c r="H2162" s="113" t="str">
        <f>IFERROR(__xludf.DUMMYFUNCTION("TRIM(REGEXREPLACE(D2162, ""[0-9]+[a-f]?\."", """"))"),"Comment ces biens ont-ils été envoyé à votre ménage ?")</f>
        <v>Comment ces biens ont-ils été envoyé à votre ménage ?</v>
      </c>
      <c r="I2162" s="113" t="str">
        <f>IFERROR(__xludf.DUMMYFUNCTION("TRIM(REGEXREPLACE(E2162, ""[0-9]+[a-f]?\."", """"))"),"Ta yaya aka aika waɗannan kayayyakin zuwa gidanku?")</f>
        <v>Ta yaya aka aika waɗannan kayayyakin zuwa gidanku?</v>
      </c>
      <c r="J2162" s="113" t="str">
        <f t="shared" si="253"/>
        <v>350. How were these goods transmitted to your household?</v>
      </c>
      <c r="K2162" s="113" t="str">
        <f t="shared" si="254"/>
        <v>350. Comment ces biens ont-ils été envoyé à votre ménage ?</v>
      </c>
      <c r="L2162" s="113" t="str">
        <f t="shared" si="255"/>
        <v>350. Ta yaya aka aika waɗannan kayayyakin zuwa gidanku?</v>
      </c>
    </row>
    <row r="2163">
      <c r="A2163" s="162" t="s">
        <v>217</v>
      </c>
      <c r="B2163" s="166" t="s">
        <v>4799</v>
      </c>
      <c r="C2163" s="76" t="s">
        <v>4800</v>
      </c>
      <c r="D2163" s="76" t="s">
        <v>4801</v>
      </c>
      <c r="E2163" s="76" t="s">
        <v>4802</v>
      </c>
      <c r="F2163" s="110">
        <v>351.0</v>
      </c>
      <c r="G2163" s="113" t="str">
        <f>IFERROR(__xludf.DUMMYFUNCTION("TRIM(REGEXREPLACE(C2163, ""[0-9]+[a-f]?\."", """"))"),"Specify other transfer method")</f>
        <v>Specify other transfer method</v>
      </c>
      <c r="H2163" s="113" t="str">
        <f>IFERROR(__xludf.DUMMYFUNCTION("TRIM(REGEXREPLACE(D2163, ""[0-9]+[a-f]?\."", """"))"),"Précisez la méthode du transfert")</f>
        <v>Précisez la méthode du transfert</v>
      </c>
      <c r="I2163" s="113" t="str">
        <f>IFERROR(__xludf.DUMMYFUNCTION("TRIM(REGEXREPLACE(E2163, ""[0-9]+[a-f]?\."", """"))"),"Wani daban a Bayyana")</f>
        <v>Wani daban a Bayyana</v>
      </c>
      <c r="J2163" s="113" t="str">
        <f t="shared" si="253"/>
        <v>351. Specify other transfer method</v>
      </c>
      <c r="K2163" s="113" t="str">
        <f t="shared" si="254"/>
        <v>351. Précisez la méthode du transfert</v>
      </c>
      <c r="L2163" s="113" t="str">
        <f t="shared" si="255"/>
        <v>351. Wani daban a Bayyana</v>
      </c>
    </row>
    <row r="2164">
      <c r="A2164" s="114" t="s">
        <v>680</v>
      </c>
      <c r="B2164" s="165" t="s">
        <v>4803</v>
      </c>
      <c r="C2164" s="76" t="s">
        <v>3170</v>
      </c>
      <c r="D2164" s="76" t="s">
        <v>3171</v>
      </c>
      <c r="E2164" s="76" t="s">
        <v>3172</v>
      </c>
      <c r="F2164" s="110">
        <v>352.0</v>
      </c>
      <c r="G2164" s="113" t="str">
        <f>IFERROR(__xludf.DUMMYFUNCTION("TRIM(REGEXREPLACE(C2164,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2164" s="113" t="str">
        <f>IFERROR(__xludf.DUMMYFUNCTION("TRIM(REGEXREPLACE(D2164,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2164" s="113" t="str">
        <f>IFERROR(__xludf.DUMMYFUNCTION("TRIM(REGEXREPLACE(E2164,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2164" s="113" t="str">
        <f t="shared" si="253"/>
        <v>352. In the past three months, have you or anyone in your household received money from someone who is not a member of your household and who lives in a foreign country (outside of Niger)?</v>
      </c>
      <c r="K2164" s="113" t="str">
        <f t="shared" si="254"/>
        <v>352. Au cours des trois derniers mois, vous ou un membre de votre ménage avez-vous reçu &lt;b&gt;de l'argent&lt;/b&gt; d'une personne qui n'est pas membre de votre ménage et qui habite &lt;b&gt;à l'extérieur du Niger&lt;/b&gt; (dans un autre pays)?</v>
      </c>
      <c r="L2164" s="113" t="str">
        <f t="shared" si="255"/>
        <v>352. A cikin watanni uku da suka wuce, kai ko dan gidanku kun samu kuɗi daga wanda ba dan gidanku ba da ke zaune a ƙetaren Nijar (a wata kasa)?</v>
      </c>
    </row>
    <row r="2165">
      <c r="A2165" s="170" t="s">
        <v>238</v>
      </c>
      <c r="B2165" s="171" t="s">
        <v>4804</v>
      </c>
      <c r="C2165" s="76" t="s">
        <v>3174</v>
      </c>
      <c r="D2165" s="76" t="s">
        <v>3175</v>
      </c>
      <c r="E2165" s="76" t="s">
        <v>3176</v>
      </c>
      <c r="F2165" s="110">
        <v>353.0</v>
      </c>
      <c r="G2165" s="113" t="str">
        <f>IFERROR(__xludf.DUMMYFUNCTION("TRIM(REGEXREPLACE(C2165, ""[0-9]+[a-f]?\."", """"))"),"How much in total did members of your household receive from people out of Niger?")</f>
        <v>How much in total did members of your household receive from people out of Niger?</v>
      </c>
      <c r="H2165" s="113" t="str">
        <f>IFERROR(__xludf.DUMMYFUNCTION("TRIM(REGEXREPLACE(D2165, ""[0-9]+[a-f]?\."", """"))"),"Combien au total les membres de votre ménage ont-ils reçu des personnes qui ne sont pas au Niger ?")</f>
        <v>Combien au total les membres de votre ménage ont-ils reçu des personnes qui ne sont pas au Niger ?</v>
      </c>
      <c r="I2165" s="113" t="str">
        <f>IFERROR(__xludf.DUMMYFUNCTION("TRIM(REGEXREPLACE(E2165, ""[0-9]+[a-f]?\."", """"))"),"Nawa ne yan gidanku ya samu daga mutanen da ke zaune a ƙasar waje ba Nijar ba?")</f>
        <v>Nawa ne yan gidanku ya samu daga mutanen da ke zaune a ƙasar waje ba Nijar ba?</v>
      </c>
      <c r="J2165" s="113" t="str">
        <f t="shared" si="253"/>
        <v>353. How much in total did members of your household receive from people out of Niger?</v>
      </c>
      <c r="K2165" s="113" t="str">
        <f t="shared" si="254"/>
        <v>353. Combien au total les membres de votre ménage ont-ils reçu des personnes qui ne sont pas au Niger ?</v>
      </c>
      <c r="L2165" s="113" t="str">
        <f t="shared" si="255"/>
        <v>353. Nawa ne yan gidanku ya samu daga mutanen da ke zaune a ƙasar waje ba Nijar ba?</v>
      </c>
    </row>
    <row r="2166">
      <c r="A2166" s="114" t="s">
        <v>4787</v>
      </c>
      <c r="B2166" s="165" t="s">
        <v>4805</v>
      </c>
      <c r="C2166" s="76" t="s">
        <v>4806</v>
      </c>
      <c r="D2166" s="76" t="s">
        <v>4807</v>
      </c>
      <c r="E2166" s="76" t="s">
        <v>4808</v>
      </c>
      <c r="F2166" s="110">
        <v>354.0</v>
      </c>
      <c r="G2166" s="113" t="str">
        <f>IFERROR(__xludf.DUMMYFUNCTION("TRIM(REGEXREPLACE(C2166, ""[0-9]+[a-f]?\."", """"))"),"How was this money transmitted to your household?")</f>
        <v>How was this money transmitted to your household?</v>
      </c>
      <c r="H2166" s="113" t="str">
        <f>IFERROR(__xludf.DUMMYFUNCTION("TRIM(REGEXREPLACE(D2166, ""[0-9]+[a-f]?\."", """"))"),"Comment cet argent a-t-il été envoyé à votre ménage ?")</f>
        <v>Comment cet argent a-t-il été envoyé à votre ménage ?</v>
      </c>
      <c r="I2166" s="113" t="str">
        <f>IFERROR(__xludf.DUMMYFUNCTION("TRIM(REGEXREPLACE(E2166, ""[0-9]+[a-f]?\."", """"))"),"Ta wace hanya aka aikawa gidanku wannan kuɗin ?")</f>
        <v>Ta wace hanya aka aikawa gidanku wannan kuɗin ?</v>
      </c>
      <c r="J2166" s="113" t="str">
        <f t="shared" si="253"/>
        <v>354. How was this money transmitted to your household?</v>
      </c>
      <c r="K2166" s="113" t="str">
        <f t="shared" si="254"/>
        <v>354. Comment cet argent a-t-il été envoyé à votre ménage ?</v>
      </c>
      <c r="L2166" s="113" t="str">
        <f t="shared" si="255"/>
        <v>354. Ta wace hanya aka aikawa gidanku wannan kuɗin ?</v>
      </c>
    </row>
    <row r="2167">
      <c r="A2167" s="162" t="s">
        <v>217</v>
      </c>
      <c r="B2167" s="166" t="s">
        <v>4810</v>
      </c>
      <c r="C2167" s="76" t="s">
        <v>4811</v>
      </c>
      <c r="D2167" s="76" t="s">
        <v>4812</v>
      </c>
      <c r="E2167" s="76" t="s">
        <v>4813</v>
      </c>
      <c r="F2167" s="110">
        <v>355.0</v>
      </c>
      <c r="G2167" s="113" t="str">
        <f>IFERROR(__xludf.DUMMYFUNCTION("TRIM(REGEXREPLACE(C2167, ""[0-9]+[a-f]?\."", """"))"),"Specify other transfer method")</f>
        <v>Specify other transfer method</v>
      </c>
      <c r="H2167" s="113" t="str">
        <f>IFERROR(__xludf.DUMMYFUNCTION("TRIM(REGEXREPLACE(D2167, ""[0-9]+[a-f]?\."", """"))"),"Précisez la méthode du transfert")</f>
        <v>Précisez la méthode du transfert</v>
      </c>
      <c r="I2167" s="113" t="str">
        <f>IFERROR(__xludf.DUMMYFUNCTION("TRIM(REGEXREPLACE(E2167, ""[0-9]+[a-f]?\."", """"))"),"Wani daban a Bayyana")</f>
        <v>Wani daban a Bayyana</v>
      </c>
      <c r="J2167" s="113" t="str">
        <f t="shared" si="253"/>
        <v>355. Specify other transfer method</v>
      </c>
      <c r="K2167" s="113" t="str">
        <f t="shared" si="254"/>
        <v>355. Précisez la méthode du transfert</v>
      </c>
      <c r="L2167" s="113" t="str">
        <f t="shared" si="255"/>
        <v>355. Wani daban a Bayyana</v>
      </c>
    </row>
    <row r="2168">
      <c r="A2168" s="114" t="s">
        <v>680</v>
      </c>
      <c r="B2168" s="165" t="s">
        <v>4814</v>
      </c>
      <c r="C2168" s="76" t="s">
        <v>4815</v>
      </c>
      <c r="D2168" s="76" t="s">
        <v>4816</v>
      </c>
      <c r="E2168" s="76" t="s">
        <v>4817</v>
      </c>
      <c r="F2168" s="110">
        <v>356.0</v>
      </c>
      <c r="G2168" s="113" t="str">
        <f>IFERROR(__xludf.DUMMYFUNCTION("TRIM(REGEXREPLACE(C2168,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2168" s="113" t="str">
        <f>IFERROR(__xludf.DUMMYFUNCTION("TRIM(REGEXREPLACE(D2168,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2168" s="113" t="str">
        <f>IFERROR(__xludf.DUMMYFUNCTION("TRIM(REGEXREPLACE(E2168,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2168" s="113" t="str">
        <f t="shared" si="253"/>
        <v>356. In the past three months, have you or anyone in your household received goods (payment in kind) from someone who is not a member of your household and who lives in a foreign country (outside of Niger)?</v>
      </c>
      <c r="K2168" s="113" t="str">
        <f t="shared" si="254"/>
        <v>356. Au cours des trois derniers mois, vous ou un membre de votre ménage avez reçu &lt;b&gt;des biens&lt;/b&gt; (paiement en nature) d'une personne qui n'est pas membre de votre ménage et qui habite &lt;b&gt;à l'extérieur du Niger&lt;/b&gt; (dans un autre pays)?</v>
      </c>
      <c r="L2168" s="113" t="str">
        <f t="shared" si="255"/>
        <v>356. A cikin wata uku da suka wuce, kai ko wani a cikin gidanku an baku wasu kaya (a matsayin biya) daga wani wanda ba ɗan gidanku ba da ke zaune a ƙetaren Nijar (a wata kasa)?</v>
      </c>
    </row>
    <row r="2169">
      <c r="A2169" s="170" t="s">
        <v>238</v>
      </c>
      <c r="B2169" s="171" t="s">
        <v>4819</v>
      </c>
      <c r="C2169" s="76" t="s">
        <v>3201</v>
      </c>
      <c r="D2169" s="76" t="s">
        <v>3202</v>
      </c>
      <c r="E2169" s="76" t="s">
        <v>3203</v>
      </c>
      <c r="F2169" s="110">
        <v>357.0</v>
      </c>
      <c r="G2169" s="113" t="str">
        <f>IFERROR(__xludf.DUMMYFUNCTION("TRIM(REGEXREPLACE(C2169, ""[0-9]+[a-f]?\."", """"))"),"What was the value of the goods members of your household receive from people out of Niger?")</f>
        <v>What was the value of the goods members of your household receive from people out of Niger?</v>
      </c>
      <c r="H2169" s="113" t="str">
        <f>IFERROR(__xludf.DUMMYFUNCTION("TRIM(REGEXREPLACE(D2169, ""[0-9]+[a-f]?\."", """"))"),"Quel était la valeur au totale des biens que les membres de votre ménage ont reçu des personnes qui ne sont pas au Niger ?")</f>
        <v>Quel était la valeur au totale des biens que les membres de votre ménage ont reçu des personnes qui ne sont pas au Niger ?</v>
      </c>
      <c r="I2169" s="113" t="str">
        <f>IFERROR(__xludf.DUMMYFUNCTION("TRIM(REGEXREPLACE(E2169, ""[0-9]+[a-f]?\."", """"))"),"Nawa kimar kayan da ƴan gidanku suka samo daga mutanen da ke zaune a ƙasar waje ba Nijar ba?")</f>
        <v>Nawa kimar kayan da ƴan gidanku suka samo daga mutanen da ke zaune a ƙasar waje ba Nijar ba?</v>
      </c>
      <c r="J2169" s="113" t="str">
        <f t="shared" si="253"/>
        <v>357. What was the value of the goods members of your household receive from people out of Niger?</v>
      </c>
      <c r="K2169" s="113" t="str">
        <f t="shared" si="254"/>
        <v>357. Quel était la valeur au totale des biens que les membres de votre ménage ont reçu des personnes qui ne sont pas au Niger ?</v>
      </c>
      <c r="L2169" s="113" t="str">
        <f t="shared" si="255"/>
        <v>357. Nawa kimar kayan da ƴan gidanku suka samo daga mutanen da ke zaune a ƙasar waje ba Nijar ba?</v>
      </c>
    </row>
    <row r="2170">
      <c r="A2170" s="114" t="s">
        <v>4794</v>
      </c>
      <c r="B2170" s="165" t="s">
        <v>4820</v>
      </c>
      <c r="C2170" s="76" t="s">
        <v>3210</v>
      </c>
      <c r="D2170" s="76" t="s">
        <v>3211</v>
      </c>
      <c r="E2170" s="76" t="s">
        <v>3212</v>
      </c>
      <c r="F2170" s="110">
        <v>358.0</v>
      </c>
      <c r="G2170" s="113" t="str">
        <f>IFERROR(__xludf.DUMMYFUNCTION("TRIM(REGEXREPLACE(C2170, ""[0-9]+[a-f]?\."", """"))"),"How were these goods transmitted to your household?")</f>
        <v>How were these goods transmitted to your household?</v>
      </c>
      <c r="H2170" s="113" t="str">
        <f>IFERROR(__xludf.DUMMYFUNCTION("TRIM(REGEXREPLACE(D2170, ""[0-9]+[a-f]?\."", """"))"),"Comment ces biens ont-ils été envoyé à votre ménage ?")</f>
        <v>Comment ces biens ont-ils été envoyé à votre ménage ?</v>
      </c>
      <c r="I2170" s="113" t="str">
        <f>IFERROR(__xludf.DUMMYFUNCTION("TRIM(REGEXREPLACE(E2170, ""[0-9]+[a-f]?\."", """"))"),"Ta yaya aka aika waɗannan kayan zuwa gidanku?")</f>
        <v>Ta yaya aka aika waɗannan kayan zuwa gidanku?</v>
      </c>
      <c r="J2170" s="113" t="str">
        <f t="shared" si="253"/>
        <v>358. How were these goods transmitted to your household?</v>
      </c>
      <c r="K2170" s="113" t="str">
        <f t="shared" si="254"/>
        <v>358. Comment ces biens ont-ils été envoyé à votre ménage ?</v>
      </c>
      <c r="L2170" s="113" t="str">
        <f t="shared" si="255"/>
        <v>358. Ta yaya aka aika waɗannan kayan zuwa gidanku?</v>
      </c>
    </row>
    <row r="2171">
      <c r="A2171" s="162" t="s">
        <v>217</v>
      </c>
      <c r="B2171" s="166" t="s">
        <v>4822</v>
      </c>
      <c r="C2171" s="76" t="s">
        <v>3215</v>
      </c>
      <c r="D2171" s="76" t="s">
        <v>3216</v>
      </c>
      <c r="E2171" s="76" t="s">
        <v>3217</v>
      </c>
      <c r="F2171" s="110">
        <v>359.0</v>
      </c>
      <c r="G2171" s="113" t="str">
        <f>IFERROR(__xludf.DUMMYFUNCTION("TRIM(REGEXREPLACE(C2171, ""[0-9]+[a-f]?\."", """"))"),"Specify other transfer method")</f>
        <v>Specify other transfer method</v>
      </c>
      <c r="H2171" s="113" t="str">
        <f>IFERROR(__xludf.DUMMYFUNCTION("TRIM(REGEXREPLACE(D2171, ""[0-9]+[a-f]?\."", """"))"),"Précisez la méthode du transfert")</f>
        <v>Précisez la méthode du transfert</v>
      </c>
      <c r="I2171" s="113" t="str">
        <f>IFERROR(__xludf.DUMMYFUNCTION("TRIM(REGEXREPLACE(E2171, ""[0-9]+[a-f]?\."", """"))"),"Wani daban a Bayyana")</f>
        <v>Wani daban a Bayyana</v>
      </c>
      <c r="J2171" s="113" t="str">
        <f t="shared" si="253"/>
        <v>359. Specify other transfer method</v>
      </c>
      <c r="K2171" s="113" t="str">
        <f t="shared" si="254"/>
        <v>359. Précisez la méthode du transfert</v>
      </c>
      <c r="L2171" s="113" t="str">
        <f t="shared" si="255"/>
        <v>359. Wani daban a Bayyana</v>
      </c>
    </row>
    <row r="2172">
      <c r="A2172" s="114" t="s">
        <v>680</v>
      </c>
      <c r="B2172" s="165" t="s">
        <v>4823</v>
      </c>
      <c r="C2172" s="76" t="s">
        <v>3218</v>
      </c>
      <c r="D2172" s="76" t="s">
        <v>3219</v>
      </c>
      <c r="E2172" s="76" t="s">
        <v>3220</v>
      </c>
      <c r="F2172" s="110">
        <v>360.0</v>
      </c>
      <c r="G2172" s="113" t="str">
        <f>IFERROR(__xludf.DUMMYFUNCTION("TRIM(REGEXREPLACE(C2172,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2172" s="113" t="str">
        <f>IFERROR(__xludf.DUMMYFUNCTION("TRIM(REGEXREPLACE(D2172,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2172" s="113" t="str">
        <f>IFERROR(__xludf.DUMMYFUNCTION("TRIM(REGEXREPLACE(E2172,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2172" s="113" t="str">
        <f t="shared" si="253"/>
        <v>360. In the past three months, have you or anyone in your household shared or sent money to someone who is not a member of your household and who lives elsewhere in Niger (outside your village)?</v>
      </c>
      <c r="K2172" s="113" t="str">
        <f t="shared" si="254"/>
        <v>360. Au cours des trois derniers mois, vous ou quelqu'un de votre ménage avez-vous partagé ou envoyé &lt;b&gt;de l'argent&lt;/b&gt; à quelqu'un qui n'est pas membre de votre ménage et qui habite &lt;b&gt;ailleurs au Niger&lt;/b&gt;(en dehors de votre village)</v>
      </c>
      <c r="L2172" s="113" t="str">
        <f t="shared" si="255"/>
        <v>360. A cikin watanni uku da suka wuce, kai ko wani a cikin gidanku kun bada ko kun aika kuɗi ga wani wanda ba dan gidanku ba da ke zaune a wani wuri a Nijar (wajen garinku)</v>
      </c>
    </row>
    <row r="2173">
      <c r="A2173" s="170" t="s">
        <v>238</v>
      </c>
      <c r="B2173" s="171" t="s">
        <v>4826</v>
      </c>
      <c r="C2173" s="76" t="s">
        <v>3222</v>
      </c>
      <c r="D2173" s="76" t="s">
        <v>3223</v>
      </c>
      <c r="E2173" s="76" t="s">
        <v>3225</v>
      </c>
      <c r="F2173" s="110">
        <v>361.0</v>
      </c>
      <c r="G2173" s="113" t="str">
        <f>IFERROR(__xludf.DUMMYFUNCTION("TRIM(REGEXREPLACE(C2173, ""[0-9]+[a-f]?\."", """"))"),"How much did your household send to people elsewhere in Niger?")</f>
        <v>How much did your household send to people elsewhere in Niger?</v>
      </c>
      <c r="H2173" s="113" t="str">
        <f>IFERROR(__xludf.DUMMYFUNCTION("TRIM(REGEXREPLACE(D2173, ""[0-9]+[a-f]?\."", """"))"),"Combien votre ménage a-t-il envoyé à des personnes qui sont quelque part au Niger ?")</f>
        <v>Combien votre ménage a-t-il envoyé à des personnes qui sont quelque part au Niger ?</v>
      </c>
      <c r="I2173" s="113" t="str">
        <f>IFERROR(__xludf.DUMMYFUNCTION("TRIM(REGEXREPLACE(E2173, ""[0-9]+[a-f]?\."", """"))"),"Nawa ne gidanku ya aikawa mutanen da ke wasu wurare a Nijar?")</f>
        <v>Nawa ne gidanku ya aikawa mutanen da ke wasu wurare a Nijar?</v>
      </c>
      <c r="J2173" s="113" t="str">
        <f t="shared" si="253"/>
        <v>361. How much did your household send to people elsewhere in Niger?</v>
      </c>
      <c r="K2173" s="113" t="str">
        <f t="shared" si="254"/>
        <v>361. Combien votre ménage a-t-il envoyé à des personnes qui sont quelque part au Niger ?</v>
      </c>
      <c r="L2173" s="113" t="str">
        <f t="shared" si="255"/>
        <v>361. Nawa ne gidanku ya aikawa mutanen da ke wasu wurare a Nijar?</v>
      </c>
    </row>
    <row r="2174">
      <c r="A2174" s="114" t="s">
        <v>4787</v>
      </c>
      <c r="B2174" s="165" t="s">
        <v>4827</v>
      </c>
      <c r="C2174" s="76" t="s">
        <v>4828</v>
      </c>
      <c r="D2174" s="76" t="s">
        <v>4829</v>
      </c>
      <c r="E2174" s="76" t="s">
        <v>4830</v>
      </c>
      <c r="F2174" s="110">
        <v>362.0</v>
      </c>
      <c r="G2174" s="113" t="str">
        <f>IFERROR(__xludf.DUMMYFUNCTION("TRIM(REGEXREPLACE(C2174, ""[0-9]+[a-f]?\."", """"))"),"How did you transmit the money to the recipient?")</f>
        <v>How did you transmit the money to the recipient?</v>
      </c>
      <c r="H2174" s="113" t="str">
        <f>IFERROR(__xludf.DUMMYFUNCTION("TRIM(REGEXREPLACE(D2174, ""[0-9]+[a-f]?\."", """"))"),"Comment avez-vous envoyé l'argent au destinataire ?")</f>
        <v>Comment avez-vous envoyé l'argent au destinataire ?</v>
      </c>
      <c r="I2174" s="113" t="str">
        <f>IFERROR(__xludf.DUMMYFUNCTION("TRIM(REGEXREPLACE(E2174, ""[0-9]+[a-f]?\."", """"))"),"Ta wace hanya kuka aika kuɗin ga mai karɓa?")</f>
        <v>Ta wace hanya kuka aika kuɗin ga mai karɓa?</v>
      </c>
      <c r="J2174" s="113" t="str">
        <f t="shared" si="253"/>
        <v>362. How did you transmit the money to the recipient?</v>
      </c>
      <c r="K2174" s="113" t="str">
        <f t="shared" si="254"/>
        <v>362. Comment avez-vous envoyé l'argent au destinataire ?</v>
      </c>
      <c r="L2174" s="113" t="str">
        <f t="shared" si="255"/>
        <v>362. Ta wace hanya kuka aika kuɗin ga mai karɓa?</v>
      </c>
    </row>
    <row r="2175">
      <c r="A2175" s="162" t="s">
        <v>217</v>
      </c>
      <c r="B2175" s="166" t="s">
        <v>4832</v>
      </c>
      <c r="C2175" s="76" t="s">
        <v>3236</v>
      </c>
      <c r="D2175" s="76" t="s">
        <v>3237</v>
      </c>
      <c r="E2175" s="76" t="s">
        <v>3240</v>
      </c>
      <c r="F2175" s="110">
        <v>363.0</v>
      </c>
      <c r="G2175" s="113" t="str">
        <f>IFERROR(__xludf.DUMMYFUNCTION("TRIM(REGEXREPLACE(C2175, ""[0-9]+[a-f]?\."", """"))"),"Specify other transfer method")</f>
        <v>Specify other transfer method</v>
      </c>
      <c r="H2175" s="113" t="str">
        <f>IFERROR(__xludf.DUMMYFUNCTION("TRIM(REGEXREPLACE(D2175, ""[0-9]+[a-f]?\."", """"))"),"Précisez la méthode du transfert")</f>
        <v>Précisez la méthode du transfert</v>
      </c>
      <c r="I2175" s="113" t="str">
        <f>IFERROR(__xludf.DUMMYFUNCTION("TRIM(REGEXREPLACE(E2175, ""[0-9]+[a-f]?\."", """"))"),"Wani daban a Bayyana")</f>
        <v>Wani daban a Bayyana</v>
      </c>
      <c r="J2175" s="113" t="str">
        <f t="shared" si="253"/>
        <v>363. Specify other transfer method</v>
      </c>
      <c r="K2175" s="113" t="str">
        <f t="shared" si="254"/>
        <v>363. Précisez la méthode du transfert</v>
      </c>
      <c r="L2175" s="113" t="str">
        <f t="shared" si="255"/>
        <v>363. Wani daban a Bayyana</v>
      </c>
    </row>
    <row r="2176">
      <c r="A2176" s="114" t="s">
        <v>680</v>
      </c>
      <c r="B2176" s="165" t="s">
        <v>4833</v>
      </c>
      <c r="C2176" s="76" t="s">
        <v>3247</v>
      </c>
      <c r="D2176" s="76" t="s">
        <v>3248</v>
      </c>
      <c r="E2176" s="76" t="s">
        <v>3249</v>
      </c>
      <c r="F2176" s="110">
        <v>364.0</v>
      </c>
      <c r="G2176" s="113" t="str">
        <f>IFERROR(__xludf.DUMMYFUNCTION("TRIM(REGEXREPLACE(C2176,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2176" s="113" t="str">
        <f>IFERROR(__xludf.DUMMYFUNCTION("TRIM(REGEXREPLACE(D2176,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2176" s="113" t="str">
        <f>IFERROR(__xludf.DUMMYFUNCTION("TRIM(REGEXREPLACE(E2176,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2176" s="113" t="str">
        <f t="shared" si="253"/>
        <v>364. In the past three months, have you or anyone in your household shared or sent goods (payment in kind) to someone who is not a member of your household and who lives elsewhere in Niger (outside your village)?</v>
      </c>
      <c r="K2176" s="113" t="str">
        <f t="shared" si="254"/>
        <v>364. Au cours des trois derniers mois, vous ou quelqu'un de votre ménage avez-vous partagé ou envoyé &lt;b&gt;des biens&lt;/b&gt; (paiement en nature) à quelqu'un qui n'est pas membre de votre ménage et qui habite &lt;b&gt;ailleurs au Niger&lt;/b&gt; (en dehors de votre village) ?</v>
      </c>
      <c r="L2176" s="113" t="str">
        <f t="shared" si="255"/>
        <v>364. A cikin watanni uku da suka wuce, kai ko wani a cikin gidanku kun bada ko kun aika kaya (a matsayin biya) ga wanda ba dan giɗanku ba da ke zaune a wani wuri a cikin Nijar (Ba'a garinku ba)?</v>
      </c>
    </row>
    <row r="2177">
      <c r="A2177" s="170" t="s">
        <v>238</v>
      </c>
      <c r="B2177" s="171" t="s">
        <v>4835</v>
      </c>
      <c r="C2177" s="76" t="s">
        <v>3254</v>
      </c>
      <c r="D2177" s="76" t="s">
        <v>3255</v>
      </c>
      <c r="E2177" s="76" t="s">
        <v>3256</v>
      </c>
      <c r="F2177" s="110">
        <v>365.0</v>
      </c>
      <c r="G2177" s="113" t="str">
        <f>IFERROR(__xludf.DUMMYFUNCTION("TRIM(REGEXREPLACE(C2177, ""[0-9]+[a-f]?\."", """"))"),"What was the value of the goods members of your household sent to people elsewhere in Niger?")</f>
        <v>What was the value of the goods members of your household sent to people elsewhere in Niger?</v>
      </c>
      <c r="H2177" s="113" t="str">
        <f>IFERROR(__xludf.DUMMYFUNCTION("TRIM(REGEXREPLACE(D2177,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2177" s="113" t="str">
        <f>IFERROR(__xludf.DUMMYFUNCTION("TRIM(REGEXREPLACE(E2177, ""[0-9]+[a-f]?\."", """"))"),"Nawa ne kimar kayan da ƴan gidanku suka aika wa mutane a wasu wurare a cikin Nijar?")</f>
        <v>Nawa ne kimar kayan da ƴan gidanku suka aika wa mutane a wasu wurare a cikin Nijar?</v>
      </c>
      <c r="J2177" s="113" t="str">
        <f t="shared" si="253"/>
        <v>365. What was the value of the goods members of your household sent to people elsewhere in Niger?</v>
      </c>
      <c r="K2177" s="113" t="str">
        <f t="shared" si="254"/>
        <v>365. Quel était la valeur au totale des biens que les membres de votre ménage ont envoyé aux personnes qui sont quelques part au Niger ?</v>
      </c>
      <c r="L2177" s="113" t="str">
        <f t="shared" si="255"/>
        <v>365. Nawa ne kimar kayan da ƴan gidanku suka aika wa mutane a wasu wurare a cikin Nijar?</v>
      </c>
    </row>
    <row r="2178">
      <c r="A2178" s="114" t="s">
        <v>4794</v>
      </c>
      <c r="B2178" s="165" t="s">
        <v>4836</v>
      </c>
      <c r="C2178" s="76" t="s">
        <v>3258</v>
      </c>
      <c r="D2178" s="76" t="s">
        <v>3259</v>
      </c>
      <c r="E2178" s="76" t="s">
        <v>3260</v>
      </c>
      <c r="F2178" s="110">
        <v>366.0</v>
      </c>
      <c r="G2178" s="113" t="str">
        <f>IFERROR(__xludf.DUMMYFUNCTION("TRIM(REGEXREPLACE(C2178, ""[0-9]+[a-f]?\."", """"))"),"How were these goods transmitted to the recipient?")</f>
        <v>How were these goods transmitted to the recipient?</v>
      </c>
      <c r="H2178" s="113" t="str">
        <f>IFERROR(__xludf.DUMMYFUNCTION("TRIM(REGEXREPLACE(D2178, ""[0-9]+[a-f]?\."", """"))"),"Comment ces biens ont-ils été envoyé au destinataire ?")</f>
        <v>Comment ces biens ont-ils été envoyé au destinataire ?</v>
      </c>
      <c r="I2178" s="113" t="str">
        <f>IFERROR(__xludf.DUMMYFUNCTION("TRIM(REGEXREPLACE(E2178, ""[0-9]+[a-f]?\."", """"))"),"Ta yaya aka aika waɗannan kayayyaki zuwa ga mai karɓa?")</f>
        <v>Ta yaya aka aika waɗannan kayayyaki zuwa ga mai karɓa?</v>
      </c>
      <c r="J2178" s="113" t="str">
        <f t="shared" si="253"/>
        <v>366. How were these goods transmitted to the recipient?</v>
      </c>
      <c r="K2178" s="113" t="str">
        <f t="shared" si="254"/>
        <v>366. Comment ces biens ont-ils été envoyé au destinataire ?</v>
      </c>
      <c r="L2178" s="113" t="str">
        <f t="shared" si="255"/>
        <v>366. Ta yaya aka aika waɗannan kayayyaki zuwa ga mai karɓa?</v>
      </c>
    </row>
    <row r="2179">
      <c r="A2179" s="162" t="s">
        <v>217</v>
      </c>
      <c r="B2179" s="166" t="s">
        <v>4838</v>
      </c>
      <c r="C2179" s="76" t="s">
        <v>3269</v>
      </c>
      <c r="D2179" s="76" t="s">
        <v>3270</v>
      </c>
      <c r="E2179" s="76" t="s">
        <v>3271</v>
      </c>
      <c r="F2179" s="110">
        <v>367.0</v>
      </c>
      <c r="G2179" s="113" t="str">
        <f>IFERROR(__xludf.DUMMYFUNCTION("TRIM(REGEXREPLACE(C2179, ""[0-9]+[a-f]?\."", """"))"),"Specify other transfer method")</f>
        <v>Specify other transfer method</v>
      </c>
      <c r="H2179" s="113" t="str">
        <f>IFERROR(__xludf.DUMMYFUNCTION("TRIM(REGEXREPLACE(D2179, ""[0-9]+[a-f]?\."", """"))"),"Precisez la methode du transfert")</f>
        <v>Precisez la methode du transfert</v>
      </c>
      <c r="I2179" s="113" t="str">
        <f>IFERROR(__xludf.DUMMYFUNCTION("TRIM(REGEXREPLACE(E2179, ""[0-9]+[a-f]?\."", """"))"),"Wani daban a Bayyana")</f>
        <v>Wani daban a Bayyana</v>
      </c>
      <c r="J2179" s="113" t="str">
        <f t="shared" si="253"/>
        <v>367. Specify other transfer method</v>
      </c>
      <c r="K2179" s="113" t="str">
        <f t="shared" si="254"/>
        <v>367. Precisez la methode du transfert</v>
      </c>
      <c r="L2179" s="113" t="str">
        <f t="shared" si="255"/>
        <v>367. Wani daban a Bayyana</v>
      </c>
    </row>
    <row r="2180">
      <c r="A2180" s="114" t="s">
        <v>680</v>
      </c>
      <c r="B2180" s="165" t="s">
        <v>4839</v>
      </c>
      <c r="C2180" s="76" t="s">
        <v>3274</v>
      </c>
      <c r="D2180" s="76" t="s">
        <v>3275</v>
      </c>
      <c r="E2180" s="76" t="s">
        <v>3276</v>
      </c>
      <c r="F2180" s="110">
        <v>368.0</v>
      </c>
      <c r="G2180" s="113" t="str">
        <f>IFERROR(__xludf.DUMMYFUNCTION("TRIM(REGEXREPLACE(C2180,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2180" s="113" t="str">
        <f>IFERROR(__xludf.DUMMYFUNCTION("TRIM(REGEXREPLACE(D2180,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2180" s="113" t="str">
        <f>IFERROR(__xludf.DUMMYFUNCTION("TRIM(REGEXREPLACE(E2180,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2180" s="113" t="str">
        <f t="shared" si="253"/>
        <v>368. In the past three months, have you or anyone in your household shared or sent money to someone who is not a member of your household and who lives in a foreign country (outside of Niger)?</v>
      </c>
      <c r="K2180" s="113" t="str">
        <f t="shared" si="254"/>
        <v>368. Au cours des trois derniers mois, vous ou quelqu'un de votre ménage avez-vous partagé ou envoyé &lt;b&gt;de l'argent&lt;/b&gt; à quelqu'un qui n'est pas membre de votre ménage et qui habite &lt;b&gt;à l'extérieur du Niger&lt;/b&gt; (dans un autre pays)?</v>
      </c>
      <c r="L2180" s="113" t="str">
        <f t="shared" si="255"/>
        <v>368. A cikin watanni uku da suka gabata, kai ko wani a cikin gidanku kun bada ko kun aika kuɗi ga wanda ba ɗan gidanku ba da ke zaune a wajen Nijar (a wata kasa)?</v>
      </c>
    </row>
    <row r="2181">
      <c r="A2181" s="170" t="s">
        <v>238</v>
      </c>
      <c r="B2181" s="171" t="s">
        <v>4840</v>
      </c>
      <c r="C2181" s="76" t="s">
        <v>3281</v>
      </c>
      <c r="D2181" s="76" t="s">
        <v>3282</v>
      </c>
      <c r="E2181" s="76" t="s">
        <v>3283</v>
      </c>
      <c r="F2181" s="110">
        <v>369.0</v>
      </c>
      <c r="G2181" s="113" t="str">
        <f>IFERROR(__xludf.DUMMYFUNCTION("TRIM(REGEXREPLACE(C2181, ""[0-9]+[a-f]?\."", """"))"),"How much did your household send to people people out of Niger?")</f>
        <v>How much did your household send to people people out of Niger?</v>
      </c>
      <c r="H2181" s="113" t="str">
        <f>IFERROR(__xludf.DUMMYFUNCTION("TRIM(REGEXREPLACE(D2181, ""[0-9]+[a-f]?\."", """"))"),"Combien votre ménage a-t-il envoyé à d'autres personnes qui sont quelque part hors du Niger ?")</f>
        <v>Combien votre ménage a-t-il envoyé à d'autres personnes qui sont quelque part hors du Niger ?</v>
      </c>
      <c r="I2181" s="113" t="str">
        <f>IFERROR(__xludf.DUMMYFUNCTION("TRIM(REGEXREPLACE(E2181, ""[0-9]+[a-f]?\."", """"))"),"Nawa gidanku ya aikawa wasu mutane da ke wani wuri ba a Nijar ba?")</f>
        <v>Nawa gidanku ya aikawa wasu mutane da ke wani wuri ba a Nijar ba?</v>
      </c>
      <c r="J2181" s="113" t="str">
        <f t="shared" si="253"/>
        <v>369. How much did your household send to people people out of Niger?</v>
      </c>
      <c r="K2181" s="113" t="str">
        <f t="shared" si="254"/>
        <v>369. Combien votre ménage a-t-il envoyé à d'autres personnes qui sont quelque part hors du Niger ?</v>
      </c>
      <c r="L2181" s="113" t="str">
        <f t="shared" si="255"/>
        <v>369. Nawa gidanku ya aikawa wasu mutane da ke wani wuri ba a Nijar ba?</v>
      </c>
    </row>
    <row r="2182">
      <c r="A2182" s="114" t="s">
        <v>4787</v>
      </c>
      <c r="B2182" s="165" t="s">
        <v>4842</v>
      </c>
      <c r="C2182" s="76" t="s">
        <v>3285</v>
      </c>
      <c r="D2182" s="76" t="s">
        <v>3286</v>
      </c>
      <c r="E2182" s="76" t="s">
        <v>3287</v>
      </c>
      <c r="F2182" s="110">
        <v>370.0</v>
      </c>
      <c r="G2182" s="113" t="str">
        <f>IFERROR(__xludf.DUMMYFUNCTION("TRIM(REGEXREPLACE(C2182, ""[0-9]+[a-f]?\."", """"))"),"How did you transmit the money to the recipient?")</f>
        <v>How did you transmit the money to the recipient?</v>
      </c>
      <c r="H2182" s="113" t="str">
        <f>IFERROR(__xludf.DUMMYFUNCTION("TRIM(REGEXREPLACE(D2182, ""[0-9]+[a-f]?\."", """"))"),"Comment avez-vous transmis l'argent au destinataire ?")</f>
        <v>Comment avez-vous transmis l'argent au destinataire ?</v>
      </c>
      <c r="I2182" s="113" t="str">
        <f>IFERROR(__xludf.DUMMYFUNCTION("TRIM(REGEXREPLACE(E2182, ""[0-9]+[a-f]?\."", """"))"),"Ta wace hanya kuka aika kuɗin ga mai karɓa?")</f>
        <v>Ta wace hanya kuka aika kuɗin ga mai karɓa?</v>
      </c>
      <c r="J2182" s="113" t="str">
        <f t="shared" si="253"/>
        <v>370. How did you transmit the money to the recipient?</v>
      </c>
      <c r="K2182" s="113" t="str">
        <f t="shared" si="254"/>
        <v>370. Comment avez-vous transmis l'argent au destinataire ?</v>
      </c>
      <c r="L2182" s="113" t="str">
        <f t="shared" si="255"/>
        <v>370. Ta wace hanya kuka aika kuɗin ga mai karɓa?</v>
      </c>
    </row>
    <row r="2183">
      <c r="A2183" s="162" t="s">
        <v>217</v>
      </c>
      <c r="B2183" s="166" t="s">
        <v>4843</v>
      </c>
      <c r="C2183" s="76" t="s">
        <v>3296</v>
      </c>
      <c r="D2183" s="76" t="s">
        <v>3297</v>
      </c>
      <c r="E2183" s="76" t="s">
        <v>3298</v>
      </c>
      <c r="F2183" s="110">
        <v>371.0</v>
      </c>
      <c r="G2183" s="113" t="str">
        <f>IFERROR(__xludf.DUMMYFUNCTION("TRIM(REGEXREPLACE(C2183, ""[0-9]+[a-f]?\."", """"))"),"Specify other transfer method")</f>
        <v>Specify other transfer method</v>
      </c>
      <c r="H2183" s="113" t="str">
        <f>IFERROR(__xludf.DUMMYFUNCTION("TRIM(REGEXREPLACE(D2183, ""[0-9]+[a-f]?\."", """"))"),"Precisez la methode du transfert")</f>
        <v>Precisez la methode du transfert</v>
      </c>
      <c r="I2183" s="113" t="str">
        <f>IFERROR(__xludf.DUMMYFUNCTION("TRIM(REGEXREPLACE(E2183, ""[0-9]+[a-f]?\."", """"))"),"Wani daban a Bayyana")</f>
        <v>Wani daban a Bayyana</v>
      </c>
      <c r="J2183" s="113" t="str">
        <f t="shared" si="253"/>
        <v>371. Specify other transfer method</v>
      </c>
      <c r="K2183" s="113" t="str">
        <f t="shared" si="254"/>
        <v>371. Precisez la methode du transfert</v>
      </c>
      <c r="L2183" s="113" t="str">
        <f t="shared" si="255"/>
        <v>371. Wani daban a Bayyana</v>
      </c>
    </row>
    <row r="2184">
      <c r="A2184" s="114" t="s">
        <v>680</v>
      </c>
      <c r="B2184" s="165" t="s">
        <v>4845</v>
      </c>
      <c r="C2184" s="76" t="s">
        <v>3301</v>
      </c>
      <c r="D2184" s="76" t="s">
        <v>3302</v>
      </c>
      <c r="E2184" s="76" t="s">
        <v>3303</v>
      </c>
      <c r="F2184" s="110">
        <v>372.0</v>
      </c>
      <c r="G2184" s="113" t="str">
        <f>IFERROR(__xludf.DUMMYFUNCTION("TRIM(REGEXREPLACE(C2184,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2184" s="113" t="str">
        <f>IFERROR(__xludf.DUMMYFUNCTION("TRIM(REGEXREPLACE(D2184,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2184" s="113" t="str">
        <f>IFERROR(__xludf.DUMMYFUNCTION("TRIM(REGEXREPLACE(E2184,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2184" s="113" t="str">
        <f t="shared" si="253"/>
        <v>372. In the past three months, have you or anyone in your household shared or sent goods (payment in kind) to someone who is not a member of your household and who lives in a foreign country (outside of Niger)?</v>
      </c>
      <c r="K2184" s="113" t="str">
        <f t="shared" si="254"/>
        <v>372. Au cours des trois derniers mois, vous ou quelqu'un de votre ménage avez-vous partagé ou envoyé &lt;b&gt;des biens&lt;/b&gt; (paiement en nature) à quelqu'un qui n'est pas membre de votre ménage et qui habite &lt;b&gt;à l'extérieur du Niger&lt;/b&gt; (dans un autre pays) ?</v>
      </c>
      <c r="L2184" s="113" t="str">
        <f t="shared" si="255"/>
        <v>372. A cikin watanni uku da suka wuce, kai ko wani a cikin gidanku kun bada ko kun aika kaya (a matsayin biya) ga wanda ba ɗan gidanku ba da ke zaune a wajen Nijar (a wata kasa)?</v>
      </c>
    </row>
    <row r="2185">
      <c r="A2185" s="170" t="s">
        <v>238</v>
      </c>
      <c r="B2185" s="171" t="s">
        <v>4846</v>
      </c>
      <c r="C2185" s="76" t="s">
        <v>3308</v>
      </c>
      <c r="D2185" s="76" t="s">
        <v>3309</v>
      </c>
      <c r="E2185" s="76" t="s">
        <v>3310</v>
      </c>
      <c r="F2185" s="110">
        <v>373.0</v>
      </c>
      <c r="G2185" s="113" t="str">
        <f>IFERROR(__xludf.DUMMYFUNCTION("TRIM(REGEXREPLACE(C2185, ""[0-9]+[a-f]?\."", """"))"),"What was the value of the goods members of your household sent to people out of Niger?")</f>
        <v>What was the value of the goods members of your household sent to people out of Niger?</v>
      </c>
      <c r="H2185" s="113" t="str">
        <f>IFERROR(__xludf.DUMMYFUNCTION("TRIM(REGEXREPLACE(D2185,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2185" s="113" t="str">
        <f>IFERROR(__xludf.DUMMYFUNCTION("TRIM(REGEXREPLACE(E2185, ""[0-9]+[a-f]?\."", """"))"),"Nawa ne kimar kayan da ƴan gidanku suka aikawa wasu mutane da ke wani wuri ba a Nijar ba?")</f>
        <v>Nawa ne kimar kayan da ƴan gidanku suka aikawa wasu mutane da ke wani wuri ba a Nijar ba?</v>
      </c>
      <c r="J2185" s="113" t="str">
        <f t="shared" si="253"/>
        <v>373. What was the value of the goods members of your household sent to people out of Niger?</v>
      </c>
      <c r="K2185" s="113" t="str">
        <f t="shared" si="254"/>
        <v>373. Quel était le valeur au total des biens que les membres de votre ménage ont envoyé aux personnes qui sont quelques part hors du Niger ?</v>
      </c>
      <c r="L2185" s="113" t="str">
        <f t="shared" si="255"/>
        <v>373. Nawa ne kimar kayan da ƴan gidanku suka aikawa wasu mutane da ke wani wuri ba a Nijar ba?</v>
      </c>
    </row>
    <row r="2186">
      <c r="A2186" s="114" t="s">
        <v>4794</v>
      </c>
      <c r="B2186" s="165" t="s">
        <v>4848</v>
      </c>
      <c r="C2186" s="76" t="s">
        <v>3312</v>
      </c>
      <c r="D2186" s="76" t="s">
        <v>3313</v>
      </c>
      <c r="E2186" s="76" t="s">
        <v>3314</v>
      </c>
      <c r="F2186" s="110">
        <v>374.0</v>
      </c>
      <c r="G2186" s="113" t="str">
        <f>IFERROR(__xludf.DUMMYFUNCTION("TRIM(REGEXREPLACE(C2186, ""[0-9]+[a-f]?\."", """"))"),"How were these goods transmitted to the recipient?")</f>
        <v>How were these goods transmitted to the recipient?</v>
      </c>
      <c r="H2186" s="113" t="str">
        <f>IFERROR(__xludf.DUMMYFUNCTION("TRIM(REGEXREPLACE(D2186, ""[0-9]+[a-f]?\."", """"))"),"Comment ces biens ont-ils été envoyé au destinataire ?")</f>
        <v>Comment ces biens ont-ils été envoyé au destinataire ?</v>
      </c>
      <c r="I2186" s="113" t="str">
        <f>IFERROR(__xludf.DUMMYFUNCTION("TRIM(REGEXREPLACE(E2186, ""[0-9]+[a-f]?\."", """"))"),"Ta yaya aka aika waɗannan kayayyaki zuwa ga mai karɓa?")</f>
        <v>Ta yaya aka aika waɗannan kayayyaki zuwa ga mai karɓa?</v>
      </c>
      <c r="J2186" s="113" t="str">
        <f t="shared" si="253"/>
        <v>374. How were these goods transmitted to the recipient?</v>
      </c>
      <c r="K2186" s="113" t="str">
        <f t="shared" si="254"/>
        <v>374. Comment ces biens ont-ils été envoyé au destinataire ?</v>
      </c>
      <c r="L2186" s="113" t="str">
        <f t="shared" si="255"/>
        <v>374. Ta yaya aka aika waɗannan kayayyaki zuwa ga mai karɓa?</v>
      </c>
    </row>
    <row r="2187">
      <c r="A2187" s="162" t="s">
        <v>217</v>
      </c>
      <c r="B2187" s="166" t="s">
        <v>4849</v>
      </c>
      <c r="C2187" s="76" t="s">
        <v>3322</v>
      </c>
      <c r="D2187" s="76" t="s">
        <v>3323</v>
      </c>
      <c r="E2187" s="76" t="s">
        <v>3324</v>
      </c>
      <c r="F2187" s="110">
        <v>375.0</v>
      </c>
      <c r="G2187" s="113" t="str">
        <f>IFERROR(__xludf.DUMMYFUNCTION("TRIM(REGEXREPLACE(C2187, ""[0-9]+[a-f]?\."", """"))"),"Specify other transfer method")</f>
        <v>Specify other transfer method</v>
      </c>
      <c r="H2187" s="113" t="str">
        <f>IFERROR(__xludf.DUMMYFUNCTION("TRIM(REGEXREPLACE(D2187, ""[0-9]+[a-f]?\."", """"))"),"Precisez la methode du transfert")</f>
        <v>Precisez la methode du transfert</v>
      </c>
      <c r="I2187" s="113" t="str">
        <f>IFERROR(__xludf.DUMMYFUNCTION("TRIM(REGEXREPLACE(E2187, ""[0-9]+[a-f]?\."", """"))"),"Wani daban a Bayyana")</f>
        <v>Wani daban a Bayyana</v>
      </c>
      <c r="J2187" s="113" t="str">
        <f t="shared" si="253"/>
        <v>375. Specify other transfer method</v>
      </c>
      <c r="K2187" s="113" t="str">
        <f t="shared" si="254"/>
        <v>375. Precisez la methode du transfert</v>
      </c>
      <c r="L2187" s="113" t="str">
        <f t="shared" si="255"/>
        <v>375. Wani daban a Bayyana</v>
      </c>
    </row>
    <row r="2188">
      <c r="A2188" s="114" t="s">
        <v>4851</v>
      </c>
      <c r="B2188" s="165" t="s">
        <v>4852</v>
      </c>
      <c r="C2188" s="76" t="s">
        <v>3326</v>
      </c>
      <c r="D2188" s="76" t="s">
        <v>3327</v>
      </c>
      <c r="E2188" s="76" t="s">
        <v>3328</v>
      </c>
      <c r="F2188" s="110">
        <v>376.0</v>
      </c>
      <c r="G2188" s="113" t="str">
        <f>IFERROR(__xludf.DUMMYFUNCTION("TRIM(REGEXREPLACE(C2188, ""[0-9]+[a-f]?\."", """"))"),"In the past three months, have you received support from any of the following sources?")</f>
        <v>In the past three months, have you received support from any of the following sources?</v>
      </c>
      <c r="H2188" s="113" t="str">
        <f>IFERROR(__xludf.DUMMYFUNCTION("TRIM(REGEXREPLACE(D2188, ""[0-9]+[a-f]?\."", """"))"),"Au cours des trois derniers mois, avez-vous reçu de l'aide de l'une des sources suivantes ?")</f>
        <v>Au cours des trois derniers mois, avez-vous reçu de l'aide de l'une des sources suivantes ?</v>
      </c>
      <c r="I2188" s="113" t="str">
        <f>IFERROR(__xludf.DUMMYFUNCTION("TRIM(REGEXREPLACE(E2188, ""[0-9]+[a-f]?\."", """"))"),"A cikin watanni uku da suka wuce, kun samu taimako daga ɗayan waɗannan hanyoyin?")</f>
        <v>A cikin watanni uku da suka wuce, kun samu taimako daga ɗayan waɗannan hanyoyin?</v>
      </c>
      <c r="J2188" s="113" t="str">
        <f t="shared" si="253"/>
        <v>376. In the past three months, have you received support from any of the following sources?</v>
      </c>
      <c r="K2188" s="113" t="str">
        <f t="shared" si="254"/>
        <v>376. Au cours des trois derniers mois, avez-vous reçu de l'aide de l'une des sources suivantes ?</v>
      </c>
      <c r="L2188" s="113" t="str">
        <f t="shared" si="255"/>
        <v>376. A cikin watanni uku da suka wuce, kun samu taimako daga ɗayan waɗannan hanyoyin?</v>
      </c>
    </row>
    <row r="2189">
      <c r="A2189" s="239" t="s">
        <v>238</v>
      </c>
      <c r="B2189" s="157" t="s">
        <v>4853</v>
      </c>
      <c r="C2189" s="76" t="s">
        <v>4854</v>
      </c>
      <c r="D2189" s="76" t="s">
        <v>4855</v>
      </c>
      <c r="E2189" s="76" t="s">
        <v>4856</v>
      </c>
      <c r="F2189" s="110">
        <v>377.0</v>
      </c>
      <c r="G2189" s="113" t="str">
        <f>IFERROR(__xludf.DUMMYFUNCTION("TRIM(REGEXREPLACE(C2189, ""[0-9]+[a-f]?\."", """"))"),"How much did ou receive from all the sources combined?")</f>
        <v>How much did ou receive from all the sources combined?</v>
      </c>
      <c r="H2189" s="113" t="str">
        <f>IFERROR(__xludf.DUMMYFUNCTION("TRIM(REGEXREPLACE(D2189, ""[0-9]+[a-f]?\."", """"))"),"Combien avez-vous reçu de toutes les sources confondues ?")</f>
        <v>Combien avez-vous reçu de toutes les sources confondues ?</v>
      </c>
      <c r="I2189" s="113" t="str">
        <f>IFERROR(__xludf.DUMMYFUNCTION("TRIM(REGEXREPLACE(E2189, ""[0-9]+[a-f]?\."", """"))"),"Nawa kuka samu daga duk hanyoyin shiga gaba ɗayan su?")</f>
        <v>Nawa kuka samu daga duk hanyoyin shiga gaba ɗayan su?</v>
      </c>
      <c r="J2189" s="113" t="str">
        <f t="shared" si="253"/>
        <v>377. How much did ou receive from all the sources combined?</v>
      </c>
      <c r="K2189" s="113" t="str">
        <f t="shared" si="254"/>
        <v>377. Combien avez-vous reçu de toutes les sources confondues ?</v>
      </c>
      <c r="L2189" s="113" t="str">
        <f t="shared" si="255"/>
        <v>377. Nawa kuka samu daga duk hanyoyin shiga gaba ɗayan su?</v>
      </c>
    </row>
    <row r="2190">
      <c r="A2190" s="170" t="s">
        <v>238</v>
      </c>
      <c r="B2190" s="171" t="s">
        <v>4860</v>
      </c>
      <c r="C2190" s="76" t="s">
        <v>4861</v>
      </c>
      <c r="D2190" s="76" t="s">
        <v>4862</v>
      </c>
      <c r="E2190" s="76" t="s">
        <v>4863</v>
      </c>
      <c r="F2190" s="110">
        <v>378.0</v>
      </c>
      <c r="G2190" s="113" t="str">
        <f>IFERROR(__xludf.DUMMYFUNCTION("TRIM(REGEXREPLACE(C2190,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2190" s="113" t="str">
        <f>IFERROR(__xludf.DUMMYFUNCTION("TRIM(REGEXREPLACE(D2190,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2190" s="113" t="str">
        <f>IFERROR(__xludf.DUMMYFUNCTION("TRIM(REGEXREPLACE(E2190, ""[0-9]+[a-f]?\."", """"))"),"Nawa ne yawan kuɗin taimako ko kyauta da ƴan gidanku suka samu a cikin watanni uku da suka gabata (a sefa) ?")</f>
        <v>Nawa ne yawan kuɗin taimako ko kyauta da ƴan gidanku suka samu a cikin watanni uku da suka gabata (a sefa) ?</v>
      </c>
      <c r="J2190" s="113" t="str">
        <f t="shared" si="253"/>
        <v>378. In addition to the transfers we just discussed, what is the total value of income from charity or gifts your household has received &lt;b&gt;in the past three months&lt;/b&gt; in CFA?</v>
      </c>
      <c r="K2190" s="113" t="str">
        <f t="shared" si="254"/>
        <v>378. En dehors des transferts qu'on vient de citer, quelle est la valeur totale des revenus provenant d'œuvres caritatives ou de cadeaux que votre ménage a reçus &lt;b&gt; au cours des trois derniers mois&lt;/b&gt; (en CFA) ?</v>
      </c>
      <c r="L2190" s="113" t="str">
        <f t="shared" si="255"/>
        <v>378. Nawa ne yawan kuɗin taimako ko kyauta da ƴan gidanku suka samu a cikin watanni uku da suka gabata (a sefa) ?</v>
      </c>
    </row>
    <row r="2191" hidden="1">
      <c r="A2191" s="131" t="s">
        <v>150</v>
      </c>
      <c r="B2191" s="164" t="s">
        <v>4864</v>
      </c>
      <c r="C2191" s="133"/>
      <c r="D2191" s="133"/>
      <c r="E2191" s="133"/>
    </row>
    <row r="2192" hidden="1">
      <c r="A2192" s="80" t="s">
        <v>115</v>
      </c>
      <c r="B2192" s="81" t="s">
        <v>4865</v>
      </c>
      <c r="C2192" s="82"/>
      <c r="D2192" s="83"/>
      <c r="E2192" s="83"/>
    </row>
    <row r="2193" hidden="1">
      <c r="A2193" s="150" t="s">
        <v>343</v>
      </c>
      <c r="B2193" s="83" t="s">
        <v>4771</v>
      </c>
      <c r="C2193" s="83" t="s">
        <v>4772</v>
      </c>
      <c r="D2193" s="83"/>
      <c r="E2193" s="83"/>
    </row>
    <row r="2194" hidden="1">
      <c r="A2194" s="131" t="s">
        <v>150</v>
      </c>
      <c r="B2194" s="164" t="s">
        <v>4866</v>
      </c>
      <c r="C2194" s="133"/>
      <c r="D2194" s="133"/>
      <c r="E2194" s="133"/>
    </row>
    <row r="2195" hidden="1">
      <c r="A2195" s="150" t="s">
        <v>161</v>
      </c>
      <c r="B2195" s="82" t="s">
        <v>4867</v>
      </c>
      <c r="C2195" s="82" t="s">
        <v>4868</v>
      </c>
      <c r="D2195" s="83" t="s">
        <v>4869</v>
      </c>
      <c r="E2195" s="83" t="s">
        <v>4871</v>
      </c>
    </row>
    <row r="2196">
      <c r="A2196" s="114" t="s">
        <v>541</v>
      </c>
      <c r="B2196" s="165" t="s">
        <v>4874</v>
      </c>
      <c r="C2196" s="76" t="s">
        <v>4875</v>
      </c>
      <c r="D2196" s="76" t="s">
        <v>4876</v>
      </c>
      <c r="E2196" s="76" t="s">
        <v>4877</v>
      </c>
      <c r="F2196" s="110">
        <v>379.0</v>
      </c>
      <c r="G2196" s="113" t="str">
        <f>IFERROR(__xludf.DUMMYFUNCTION("TRIM(REGEXREPLACE(C2196, ""[0-9]+[a-f]?\."", """"))"),"In the past three months did your household make a significant investment or improvement in the house you reside in?")</f>
        <v>In the past three months did your household make a significant investment or improvement in the house you reside in?</v>
      </c>
      <c r="H2196" s="113" t="str">
        <f>IFERROR(__xludf.DUMMYFUNCTION("TRIM(REGEXREPLACE(D2196,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2196" s="113" t="str">
        <f>IFERROR(__xludf.DUMMYFUNCTION("TRIM(REGEXREPLACE(E2196, ""[0-9]+[a-f]?\."", """"))"),"A cikin watanni uku da suka wuce, gidanku ya saka wani babban jari ko ya gyara gidan da kuke zaune?")</f>
        <v>A cikin watanni uku da suka wuce, gidanku ya saka wani babban jari ko ya gyara gidan da kuke zaune?</v>
      </c>
      <c r="J2196" s="113" t="str">
        <f t="shared" ref="J2196:J2201" si="256">F2196 &amp; ". " &amp;G2196</f>
        <v>379. In the past three months did your household make a significant investment or improvement in the house you reside in?</v>
      </c>
      <c r="K2196" s="113" t="str">
        <f t="shared" ref="K2196:K2201" si="257">F2196 &amp; ". " &amp;H2196</f>
        <v>379. &lt;b&gt; Au cours des trois derniers mois&lt;/b&gt;, votre ménage a-t-il fait un investissement important ou des améliorations dans la maison que vous habitez ?</v>
      </c>
      <c r="L2196" s="113" t="str">
        <f t="shared" ref="L2196:L2201" si="258">F2196 &amp; ". " &amp;I2196</f>
        <v>379. A cikin watanni uku da suka wuce, gidanku ya saka wani babban jari ko ya gyara gidan da kuke zaune?</v>
      </c>
    </row>
    <row r="2197">
      <c r="A2197" s="114" t="s">
        <v>541</v>
      </c>
      <c r="B2197" s="165" t="s">
        <v>4880</v>
      </c>
      <c r="C2197" s="76" t="s">
        <v>4881</v>
      </c>
      <c r="D2197" s="76" t="s">
        <v>4882</v>
      </c>
      <c r="E2197" s="76" t="s">
        <v>4883</v>
      </c>
      <c r="F2197" s="110">
        <v>380.0</v>
      </c>
      <c r="G2197" s="113" t="str">
        <f>IFERROR(__xludf.DUMMYFUNCTION("TRIM(REGEXREPLACE(C2197, ""[0-9]+[a-f]?\."", """"))"),"Build additional rooms")</f>
        <v>Build additional rooms</v>
      </c>
      <c r="H2197" s="113" t="str">
        <f>IFERROR(__xludf.DUMMYFUNCTION("TRIM(REGEXREPLACE(D2197, ""[0-9]+[a-f]?\."", """"))"),"Construire des chambres supplémentaires")</f>
        <v>Construire des chambres supplémentaires</v>
      </c>
      <c r="I2197" s="113" t="str">
        <f>IFERROR(__xludf.DUMMYFUNCTION("TRIM(REGEXREPLACE(E2197, ""[0-9]+[a-f]?\."", """"))"),"Ginin ƙarin ɗakuna")</f>
        <v>Ginin ƙarin ɗakuna</v>
      </c>
      <c r="J2197" s="113" t="str">
        <f t="shared" si="256"/>
        <v>380. Build additional rooms</v>
      </c>
      <c r="K2197" s="113" t="str">
        <f t="shared" si="257"/>
        <v>380. Construire des chambres supplémentaires</v>
      </c>
      <c r="L2197" s="113" t="str">
        <f t="shared" si="258"/>
        <v>380. Ginin ƙarin ɗakuna</v>
      </c>
    </row>
    <row r="2198">
      <c r="A2198" s="114" t="s">
        <v>541</v>
      </c>
      <c r="B2198" s="165" t="s">
        <v>4888</v>
      </c>
      <c r="C2198" s="76" t="s">
        <v>4889</v>
      </c>
      <c r="D2198" s="76" t="s">
        <v>4890</v>
      </c>
      <c r="E2198" s="76" t="s">
        <v>4891</v>
      </c>
      <c r="F2198" s="110">
        <v>381.0</v>
      </c>
      <c r="G2198" s="113" t="str">
        <f>IFERROR(__xludf.DUMMYFUNCTION("TRIM(REGEXREPLACE(C2198, ""[0-9]+[a-f]?\."", """"))"),"Improve floors")</f>
        <v>Improve floors</v>
      </c>
      <c r="H2198" s="113" t="str">
        <f>IFERROR(__xludf.DUMMYFUNCTION("TRIM(REGEXREPLACE(D2198, ""[0-9]+[a-f]?\."", """"))"),"Améliorer les sols")</f>
        <v>Améliorer les sols</v>
      </c>
      <c r="I2198" s="113" t="str">
        <f>IFERROR(__xludf.DUMMYFUNCTION("TRIM(REGEXREPLACE(E2198, ""[0-9]+[a-f]?\."", """"))"),"Inganta filalayen gida")</f>
        <v>Inganta filalayen gida</v>
      </c>
      <c r="J2198" s="113" t="str">
        <f t="shared" si="256"/>
        <v>381. Improve floors</v>
      </c>
      <c r="K2198" s="113" t="str">
        <f t="shared" si="257"/>
        <v>381. Améliorer les sols</v>
      </c>
      <c r="L2198" s="113" t="str">
        <f t="shared" si="258"/>
        <v>381. Inganta filalayen gida</v>
      </c>
    </row>
    <row r="2199">
      <c r="A2199" s="114" t="s">
        <v>541</v>
      </c>
      <c r="B2199" s="165" t="s">
        <v>4892</v>
      </c>
      <c r="C2199" s="76" t="s">
        <v>4893</v>
      </c>
      <c r="D2199" s="76" t="s">
        <v>4894</v>
      </c>
      <c r="E2199" s="76" t="s">
        <v>4895</v>
      </c>
      <c r="F2199" s="110">
        <v>382.0</v>
      </c>
      <c r="G2199" s="113" t="str">
        <f>IFERROR(__xludf.DUMMYFUNCTION("TRIM(REGEXREPLACE(C2199, ""[0-9]+[a-f]?\."", """"))"),"Improve walls")</f>
        <v>Improve walls</v>
      </c>
      <c r="H2199" s="113" t="str">
        <f>IFERROR(__xludf.DUMMYFUNCTION("TRIM(REGEXREPLACE(D2199, ""[0-9]+[a-f]?\."", """"))"),"Réfectionner les murs")</f>
        <v>Réfectionner les murs</v>
      </c>
      <c r="I2199" s="113" t="str">
        <f>IFERROR(__xludf.DUMMYFUNCTION("TRIM(REGEXREPLACE(E2199, ""[0-9]+[a-f]?\."", """"))"),"gyara katangun gida")</f>
        <v>gyara katangun gida</v>
      </c>
      <c r="J2199" s="113" t="str">
        <f t="shared" si="256"/>
        <v>382. Improve walls</v>
      </c>
      <c r="K2199" s="113" t="str">
        <f t="shared" si="257"/>
        <v>382. Réfectionner les murs</v>
      </c>
      <c r="L2199" s="113" t="str">
        <f t="shared" si="258"/>
        <v>382. gyara katangun gida</v>
      </c>
    </row>
    <row r="2200">
      <c r="A2200" s="114" t="s">
        <v>541</v>
      </c>
      <c r="B2200" s="165" t="s">
        <v>4899</v>
      </c>
      <c r="C2200" s="76" t="s">
        <v>4900</v>
      </c>
      <c r="D2200" s="76" t="s">
        <v>4901</v>
      </c>
      <c r="E2200" s="76" t="s">
        <v>4902</v>
      </c>
      <c r="F2200" s="110">
        <v>383.0</v>
      </c>
      <c r="G2200" s="113" t="str">
        <f>IFERROR(__xludf.DUMMYFUNCTION("TRIM(REGEXREPLACE(C2200, ""[0-9]+[a-f]?\."", """"))"),"Improve roof")</f>
        <v>Improve roof</v>
      </c>
      <c r="H2200" s="113" t="str">
        <f>IFERROR(__xludf.DUMMYFUNCTION("TRIM(REGEXREPLACE(D2200, ""[0-9]+[a-f]?\."", """"))"),"Réfectionner le toit")</f>
        <v>Réfectionner le toit</v>
      </c>
      <c r="I2200" s="113" t="str">
        <f>IFERROR(__xludf.DUMMYFUNCTION("TRIM(REGEXREPLACE(E2200, ""[0-9]+[a-f]?\."", """"))"),"gyara rufin gida")</f>
        <v>gyara rufin gida</v>
      </c>
      <c r="J2200" s="113" t="str">
        <f t="shared" si="256"/>
        <v>383. Improve roof</v>
      </c>
      <c r="K2200" s="113" t="str">
        <f t="shared" si="257"/>
        <v>383. Réfectionner le toit</v>
      </c>
      <c r="L2200" s="113" t="str">
        <f t="shared" si="258"/>
        <v>383. gyara rufin gida</v>
      </c>
    </row>
    <row r="2201">
      <c r="A2201" s="114" t="s">
        <v>541</v>
      </c>
      <c r="B2201" s="165" t="s">
        <v>4904</v>
      </c>
      <c r="C2201" s="76" t="s">
        <v>4905</v>
      </c>
      <c r="D2201" s="76" t="s">
        <v>4906</v>
      </c>
      <c r="E2201" s="76" t="s">
        <v>4907</v>
      </c>
      <c r="F2201" s="110">
        <v>384.0</v>
      </c>
      <c r="G2201" s="113" t="str">
        <f>IFERROR(__xludf.DUMMYFUNCTION("TRIM(REGEXREPLACE(C2201, ""[0-9]+[a-f]?\."", """"))"),"Other improvement")</f>
        <v>Other improvement</v>
      </c>
      <c r="H2201" s="113" t="str">
        <f>IFERROR(__xludf.DUMMYFUNCTION("TRIM(REGEXREPLACE(D2201, ""[0-9]+[a-f]?\."", """"))"),"Autre amélioration")</f>
        <v>Autre amélioration</v>
      </c>
      <c r="I2201" s="113" t="str">
        <f>IFERROR(__xludf.DUMMYFUNCTION("TRIM(REGEXREPLACE(E2201, ""[0-9]+[a-f]?\."", """"))"),"Wasu gyare gyare daban")</f>
        <v>Wasu gyare gyare daban</v>
      </c>
      <c r="J2201" s="113" t="str">
        <f t="shared" si="256"/>
        <v>384. Other improvement</v>
      </c>
      <c r="K2201" s="113" t="str">
        <f t="shared" si="257"/>
        <v>384. Autre amélioration</v>
      </c>
      <c r="L2201" s="113" t="str">
        <f t="shared" si="258"/>
        <v>384. Wasu gyare gyare daban</v>
      </c>
    </row>
    <row r="2202" hidden="1">
      <c r="A2202" s="150" t="s">
        <v>343</v>
      </c>
      <c r="B2202" s="83" t="s">
        <v>4867</v>
      </c>
      <c r="C2202" s="83" t="s">
        <v>4868</v>
      </c>
      <c r="D2202" s="83" t="s">
        <v>4869</v>
      </c>
      <c r="E2202" s="83" t="s">
        <v>4871</v>
      </c>
    </row>
    <row r="2203">
      <c r="A2203" s="162" t="s">
        <v>217</v>
      </c>
      <c r="B2203" s="166" t="s">
        <v>4908</v>
      </c>
      <c r="C2203" s="76" t="s">
        <v>4910</v>
      </c>
      <c r="D2203" s="76" t="s">
        <v>4912</v>
      </c>
      <c r="E2203" s="76" t="s">
        <v>4914</v>
      </c>
      <c r="F2203" s="110">
        <v>385.0</v>
      </c>
      <c r="G2203" s="113" t="str">
        <f>IFERROR(__xludf.DUMMYFUNCTION("TRIM(REGEXREPLACE(C2203, ""[0-9]+[a-f]?\."", """"))"),"Specify other improvement (i.e. connect to electricity, build latrine)")</f>
        <v>Specify other improvement (i.e. connect to electricity, build latrine)</v>
      </c>
      <c r="H2203" s="113" t="str">
        <f>IFERROR(__xludf.DUMMYFUNCTION("TRIM(REGEXREPLACE(D2203, ""[0-9]+[a-f]?\."", """"))"),"Précisez les autres améliorations (c.-à-d. connecter de l'électricité, construire des latrines)")</f>
        <v>Précisez les autres améliorations (c.-à-d. connecter de l'électricité, construire des latrines)</v>
      </c>
      <c r="I2203" s="113" t="str">
        <f>IFERROR(__xludf.DUMMYFUNCTION("TRIM(REGEXREPLACE(E2203, ""[0-9]+[a-f]?\."", """"))"),"Baiyana wasu abubuwan ingantawa (kamar sa wutar lantarki, gina salga (masai ) )")</f>
        <v>Baiyana wasu abubuwan ingantawa (kamar sa wutar lantarki, gina salga (masai ) )</v>
      </c>
      <c r="J2203" s="113" t="str">
        <f t="shared" ref="J2203:J2208" si="259">F2203 &amp; ". " &amp;G2203</f>
        <v>385. Specify other improvement (i.e. connect to electricity, build latrine)</v>
      </c>
      <c r="K2203" s="113" t="str">
        <f t="shared" ref="K2203:K2208" si="260">F2203 &amp; ". " &amp;H2203</f>
        <v>385. Précisez les autres améliorations (c.-à-d. connecter de l'électricité, construire des latrines)</v>
      </c>
      <c r="L2203" s="113" t="str">
        <f t="shared" ref="L2203:L2208" si="261">F2203 &amp; ". " &amp;I2203</f>
        <v>385. Baiyana wasu abubuwan ingantawa (kamar sa wutar lantarki, gina salga (masai ) )</v>
      </c>
    </row>
    <row r="2204">
      <c r="A2204" s="170" t="s">
        <v>238</v>
      </c>
      <c r="B2204" s="171" t="s">
        <v>4916</v>
      </c>
      <c r="C2204" s="76" t="s">
        <v>4917</v>
      </c>
      <c r="D2204" s="76" t="s">
        <v>4918</v>
      </c>
      <c r="E2204" s="76" t="s">
        <v>4919</v>
      </c>
      <c r="F2204" s="110">
        <v>386.0</v>
      </c>
      <c r="G2204" s="113" t="str">
        <f>IFERROR(__xludf.DUMMYFUNCTION("TRIM(REGEXREPLACE(C2204, ""[0-9]+[a-f]?\."", """"))"),"Approximately how much did all of these investments together cost in CFA?")</f>
        <v>Approximately how much did all of these investments together cost in CFA?</v>
      </c>
      <c r="H2204" s="113" t="str">
        <f>IFERROR(__xludf.DUMMYFUNCTION("TRIM(REGEXREPLACE(D2204, ""[0-9]+[a-f]?\."", """"))"),"Combien ont coûté approximativement tous ces investissements (en CFA) ?")</f>
        <v>Combien ont coûté approximativement tous ces investissements (en CFA) ?</v>
      </c>
      <c r="I2204" s="113" t="str">
        <f>IFERROR(__xludf.DUMMYFUNCTION("TRIM(REGEXREPLACE(E2204, ""[0-9]+[a-f]?\."", """"))"),"Aƙalla nawa aka kashe akan waɗannan ayyukan a sefa?")</f>
        <v>Aƙalla nawa aka kashe akan waɗannan ayyukan a sefa?</v>
      </c>
      <c r="J2204" s="113" t="str">
        <f t="shared" si="259"/>
        <v>386. Approximately how much did all of these investments together cost in CFA?</v>
      </c>
      <c r="K2204" s="113" t="str">
        <f t="shared" si="260"/>
        <v>386. Combien ont coûté approximativement tous ces investissements (en CFA) ?</v>
      </c>
      <c r="L2204" s="113" t="str">
        <f t="shared" si="261"/>
        <v>386. Aƙalla nawa aka kashe akan waɗannan ayyukan a sefa?</v>
      </c>
    </row>
    <row r="2205">
      <c r="A2205" s="114" t="s">
        <v>541</v>
      </c>
      <c r="B2205" s="165" t="s">
        <v>4921</v>
      </c>
      <c r="C2205" s="76" t="s">
        <v>4923</v>
      </c>
      <c r="D2205" s="76" t="s">
        <v>4925</v>
      </c>
      <c r="E2205" s="76" t="s">
        <v>4926</v>
      </c>
      <c r="F2205" s="110">
        <v>387.0</v>
      </c>
      <c r="G2205" s="113" t="str">
        <f>IFERROR(__xludf.DUMMYFUNCTION("TRIM(REGEXREPLACE(C2205, ""[0-9]+[a-f]?\."", """"))"),"In the past 3 months did you make any investments in your non-agricultural business?")</f>
        <v>In the past 3 months did you make any investments in your non-agricultural business?</v>
      </c>
      <c r="H2205" s="113" t="str">
        <f>IFERROR(__xludf.DUMMYFUNCTION("TRIM(REGEXREPLACE(D2205, ""[0-9]+[a-f]?\."", """"))"),"Au cours des 3 derniers mois, avez-vous fait des investissements dans votre entreprise non agricole ?")</f>
        <v>Au cours des 3 derniers mois, avez-vous fait des investissements dans votre entreprise non agricole ?</v>
      </c>
      <c r="I2205" s="113" t="str">
        <f>IFERROR(__xludf.DUMMYFUNCTION("TRIM(REGEXREPLACE(E2205, ""[0-9]+[a-f]?\."", """"))"),"A cikin watanni 3 da suka gabata, kun zuba jari a cikin harkokinku da ba na noma ba?")</f>
        <v>A cikin watanni 3 da suka gabata, kun zuba jari a cikin harkokinku da ba na noma ba?</v>
      </c>
      <c r="J2205" s="113" t="str">
        <f t="shared" si="259"/>
        <v>387. In the past 3 months did you make any investments in your non-agricultural business?</v>
      </c>
      <c r="K2205" s="113" t="str">
        <f t="shared" si="260"/>
        <v>387. Au cours des 3 derniers mois, avez-vous fait des investissements dans votre entreprise non agricole ?</v>
      </c>
      <c r="L2205" s="113" t="str">
        <f t="shared" si="261"/>
        <v>387. A cikin watanni 3 da suka gabata, kun zuba jari a cikin harkokinku da ba na noma ba?</v>
      </c>
    </row>
    <row r="2206">
      <c r="A2206" s="162" t="s">
        <v>217</v>
      </c>
      <c r="B2206" s="166" t="s">
        <v>4928</v>
      </c>
      <c r="C2206" s="76" t="s">
        <v>4929</v>
      </c>
      <c r="D2206" s="76" t="s">
        <v>4930</v>
      </c>
      <c r="E2206" s="76" t="s">
        <v>4931</v>
      </c>
      <c r="F2206" s="110">
        <v>388.0</v>
      </c>
      <c r="G2206" s="113" t="str">
        <f>IFERROR(__xludf.DUMMYFUNCTION("TRIM(REGEXREPLACE(C2206, ""[0-9]+[a-f]?\."", """"))"),"Specify the improvement to your business")</f>
        <v>Specify the improvement to your business</v>
      </c>
      <c r="H2206" s="113" t="str">
        <f>IFERROR(__xludf.DUMMYFUNCTION("TRIM(REGEXREPLACE(D2206, ""[0-9]+[a-f]?\."", """"))"),"Précisez les investissements que vous avez fait dans votre entreprise")</f>
        <v>Précisez les investissements que vous avez fait dans votre entreprise</v>
      </c>
      <c r="I2206" s="113" t="str">
        <f>IFERROR(__xludf.DUMMYFUNCTION("TRIM(REGEXREPLACE(E2206, ""[0-9]+[a-f]?\."", """"))"),"Ku bayyana kuɗin da kuka kashe don haɓɓaka kasuwancin ku")</f>
        <v>Ku bayyana kuɗin da kuka kashe don haɓɓaka kasuwancin ku</v>
      </c>
      <c r="J2206" s="113" t="str">
        <f t="shared" si="259"/>
        <v>388. Specify the improvement to your business</v>
      </c>
      <c r="K2206" s="113" t="str">
        <f t="shared" si="260"/>
        <v>388. Précisez les investissements que vous avez fait dans votre entreprise</v>
      </c>
      <c r="L2206" s="113" t="str">
        <f t="shared" si="261"/>
        <v>388. Ku bayyana kuɗin da kuka kashe don haɓɓaka kasuwancin ku</v>
      </c>
    </row>
    <row r="2207">
      <c r="A2207" s="114" t="s">
        <v>541</v>
      </c>
      <c r="B2207" s="165" t="s">
        <v>4932</v>
      </c>
      <c r="C2207" s="76" t="s">
        <v>4933</v>
      </c>
      <c r="D2207" s="76" t="s">
        <v>4934</v>
      </c>
      <c r="E2207" s="76" t="s">
        <v>4935</v>
      </c>
      <c r="F2207" s="110">
        <v>389.0</v>
      </c>
      <c r="G2207" s="113" t="str">
        <f>IFERROR(__xludf.DUMMYFUNCTION("TRIM(REGEXREPLACE(C2207, ""[0-9]+[a-f]?\."", """"))"),"In the past 3 months did you make any investments to improve the productivity of your land?")</f>
        <v>In the past 3 months did you make any investments to improve the productivity of your land?</v>
      </c>
      <c r="H2207" s="113" t="str">
        <f>IFERROR(__xludf.DUMMYFUNCTION("TRIM(REGEXREPLACE(D2207, ""[0-9]+[a-f]?\."", """"))"),"Au cours des 3 derniers mois, avez-vous fait des investissements pour améliorer la productivité de votre terre ?")</f>
        <v>Au cours des 3 derniers mois, avez-vous fait des investissements pour améliorer la productivité de votre terre ?</v>
      </c>
      <c r="I2207" s="113" t="str">
        <f>IFERROR(__xludf.DUMMYFUNCTION("TRIM(REGEXREPLACE(E2207, ""[0-9]+[a-f]?\."", """"))"),"A cikin watanni 3 da suka gabata, kun zuba kudi don inganta samun amfanin gonakinku?")</f>
        <v>A cikin watanni 3 da suka gabata, kun zuba kudi don inganta samun amfanin gonakinku?</v>
      </c>
      <c r="J2207" s="113" t="str">
        <f t="shared" si="259"/>
        <v>389. In the past 3 months did you make any investments to improve the productivity of your land?</v>
      </c>
      <c r="K2207" s="113" t="str">
        <f t="shared" si="260"/>
        <v>389. Au cours des 3 derniers mois, avez-vous fait des investissements pour améliorer la productivité de votre terre ?</v>
      </c>
      <c r="L2207" s="113" t="str">
        <f t="shared" si="261"/>
        <v>389. A cikin watanni 3 da suka gabata, kun zuba kudi don inganta samun amfanin gonakinku?</v>
      </c>
    </row>
    <row r="2208">
      <c r="A2208" s="162" t="s">
        <v>217</v>
      </c>
      <c r="B2208" s="166" t="s">
        <v>4939</v>
      </c>
      <c r="C2208" s="76" t="s">
        <v>4941</v>
      </c>
      <c r="D2208" s="76" t="s">
        <v>4942</v>
      </c>
      <c r="E2208" s="76" t="s">
        <v>4943</v>
      </c>
      <c r="F2208" s="110">
        <v>390.0</v>
      </c>
      <c r="G2208" s="113" t="str">
        <f>IFERROR(__xludf.DUMMYFUNCTION("TRIM(REGEXREPLACE(C2208, ""[0-9]+[a-f]?\."", """"))"),"Specify improvement to land")</f>
        <v>Specify improvement to land</v>
      </c>
      <c r="H2208" s="113" t="str">
        <f>IFERROR(__xludf.DUMMYFUNCTION("TRIM(REGEXREPLACE(D2208, ""[0-9]+[a-f]?\."", """"))"),"Précisez les améliorations de votre terre que vous avez fait")</f>
        <v>Précisez les améliorations de votre terre que vous avez fait</v>
      </c>
      <c r="I2208" s="113" t="str">
        <f>IFERROR(__xludf.DUMMYFUNCTION("TRIM(REGEXREPLACE(E2208, ""[0-9]+[a-f]?\."", """"))"),"Ku bayyana kuɗin da kuka kashe don haɓɓaka gonarku")</f>
        <v>Ku bayyana kuɗin da kuka kashe don haɓɓaka gonarku</v>
      </c>
      <c r="J2208" s="113" t="str">
        <f t="shared" si="259"/>
        <v>390. Specify improvement to land</v>
      </c>
      <c r="K2208" s="113" t="str">
        <f t="shared" si="260"/>
        <v>390. Précisez les améliorations de votre terre que vous avez fait</v>
      </c>
      <c r="L2208" s="113" t="str">
        <f t="shared" si="261"/>
        <v>390. Ku bayyana kuɗin da kuka kashe don haɓɓaka gonarku</v>
      </c>
    </row>
    <row r="2209" hidden="1">
      <c r="A2209" s="131" t="s">
        <v>150</v>
      </c>
      <c r="B2209" s="164" t="s">
        <v>4945</v>
      </c>
      <c r="C2209" s="133"/>
      <c r="D2209" s="133"/>
      <c r="E2209" s="133"/>
    </row>
    <row r="2210" hidden="1">
      <c r="A2210" s="80" t="s">
        <v>115</v>
      </c>
      <c r="B2210" s="81" t="s">
        <v>4946</v>
      </c>
      <c r="C2210" s="82"/>
      <c r="D2210" s="83"/>
      <c r="E2210" s="83"/>
    </row>
    <row r="2211" hidden="1">
      <c r="A2211" s="131" t="s">
        <v>150</v>
      </c>
      <c r="B2211" s="164" t="s">
        <v>4947</v>
      </c>
      <c r="C2211" s="133"/>
      <c r="D2211" s="133"/>
      <c r="E2211" s="133"/>
    </row>
    <row r="2212">
      <c r="A2212" s="152" t="s">
        <v>44</v>
      </c>
      <c r="B2212" s="77" t="s">
        <v>4948</v>
      </c>
      <c r="C2212" s="76" t="s">
        <v>4949</v>
      </c>
      <c r="D2212" s="76" t="s">
        <v>4950</v>
      </c>
      <c r="E2212" s="76" t="s">
        <v>4951</v>
      </c>
      <c r="F2212" s="110">
        <v>391.0</v>
      </c>
      <c r="G2212" s="113" t="str">
        <f>IFERROR(__xludf.DUMMYFUNCTION("TRIM(REGEXREPLACE(C2212, ""[0-9]+[a-f]?\."", """"))"),"Now I will ask you about different ways your household may use money that you earn.")</f>
        <v>Now I will ask you about different ways your household may use money that you earn.</v>
      </c>
      <c r="H2212" s="113" t="str">
        <f>IFERROR(__xludf.DUMMYFUNCTION("TRIM(REGEXREPLACE(D2212, ""[0-9]+[a-f]?\."", """"))"),"Je vais maintenant vous poser des questions sur les différentes façons dont votre ménage peut utiliser l'argent que vous gagnez.")</f>
        <v>Je vais maintenant vous poser des questions sur les différentes façons dont votre ménage peut utiliser l'argent que vous gagnez.</v>
      </c>
      <c r="I2212" s="113" t="str">
        <f>IFERROR(__xludf.DUMMYFUNCTION("TRIM(REGEXREPLACE(E2212, ""[0-9]+[a-f]?\."", """"))"),"Yanzu zan yi muku tambayoyi game hanyoyi daban-daban da gidanku ke iya amfani da su don kashe kuɗin da yake samu.")</f>
        <v>Yanzu zan yi muku tambayoyi game hanyoyi daban-daban da gidanku ke iya amfani da su don kashe kuɗin da yake samu.</v>
      </c>
      <c r="J2212" s="113" t="str">
        <f t="shared" ref="J2212:J2214" si="262">F2212 &amp; ". " &amp;G2212</f>
        <v>391. Now I will ask you about different ways your household may use money that you earn.</v>
      </c>
      <c r="K2212" s="113" t="str">
        <f t="shared" ref="K2212:K2214" si="263">F2212 &amp; ". " &amp;H2212</f>
        <v>391. Je vais maintenant vous poser des questions sur les différentes façons dont votre ménage peut utiliser l'argent que vous gagnez.</v>
      </c>
      <c r="L2212" s="113" t="str">
        <f t="shared" ref="L2212:L2214" si="264">F2212 &amp; ". " &amp;I2212</f>
        <v>391. Yanzu zan yi muku tambayoyi game hanyoyi daban-daban da gidanku ke iya amfani da su don kashe kuɗin da yake samu.</v>
      </c>
    </row>
    <row r="2213">
      <c r="A2213" s="114" t="s">
        <v>798</v>
      </c>
      <c r="B2213" s="165" t="s">
        <v>4954</v>
      </c>
      <c r="C2213" s="76" t="s">
        <v>3445</v>
      </c>
      <c r="D2213" s="76" t="s">
        <v>3446</v>
      </c>
      <c r="E2213" s="76" t="s">
        <v>3447</v>
      </c>
      <c r="F2213" s="110">
        <v>392.0</v>
      </c>
      <c r="G2213" s="113" t="str">
        <f>IFERROR(__xludf.DUMMYFUNCTION("TRIM(REGEXREPLACE(C2213, ""[0-9]+[a-f]?\."", """"))"),"Does your household currently have any savings that you keep in any of the following ways?")</f>
        <v>Does your household currently have any savings that you keep in any of the following ways?</v>
      </c>
      <c r="H2213" s="113" t="str">
        <f>IFERROR(__xludf.DUMMYFUNCTION("TRIM(REGEXREPLACE(D2213, ""[0-9]+[a-f]?\."", """"))"),"Votre ménage dispose-t-il actuellement d'économies que vous conservez de l'une des manières suivantes ?")</f>
        <v>Votre ménage dispose-t-il actuellement d'économies que vous conservez de l'une des manières suivantes ?</v>
      </c>
      <c r="I2213" s="113" t="str">
        <f>IFERROR(__xludf.DUMMYFUNCTION("TRIM(REGEXREPLACE(E2213, ""[0-9]+[a-f]?\."", """"))"),"Ko a halin yanzu gidanku na da ajiyar kuɗi daga ɗaya a cikin wanɗannan dubaru?")</f>
        <v>Ko a halin yanzu gidanku na da ajiyar kuɗi daga ɗaya a cikin wanɗannan dubaru?</v>
      </c>
      <c r="J2213" s="113" t="str">
        <f t="shared" si="262"/>
        <v>392. Does your household currently have any savings that you keep in any of the following ways?</v>
      </c>
      <c r="K2213" s="113" t="str">
        <f t="shared" si="263"/>
        <v>392. Votre ménage dispose-t-il actuellement d'économies que vous conservez de l'une des manières suivantes ?</v>
      </c>
      <c r="L2213" s="113" t="str">
        <f t="shared" si="264"/>
        <v>392. Ko a halin yanzu gidanku na da ajiyar kuɗi daga ɗaya a cikin wanɗannan dubaru?</v>
      </c>
    </row>
    <row r="2214">
      <c r="A2214" s="162" t="s">
        <v>217</v>
      </c>
      <c r="B2214" s="166" t="s">
        <v>4957</v>
      </c>
      <c r="C2214" s="76" t="s">
        <v>4959</v>
      </c>
      <c r="D2214" s="76" t="s">
        <v>4960</v>
      </c>
      <c r="E2214" s="76" t="s">
        <v>4961</v>
      </c>
      <c r="F2214" s="110">
        <v>393.0</v>
      </c>
      <c r="G2214" s="113" t="str">
        <f>IFERROR(__xludf.DUMMYFUNCTION("TRIM(REGEXREPLACE(C2214, ""[0-9]+[a-f]?\."", """"))"),"Specify other:")</f>
        <v>Specify other:</v>
      </c>
      <c r="H2214" s="113" t="str">
        <f>IFERROR(__xludf.DUMMYFUNCTION("TRIM(REGEXREPLACE(D2214, ""[0-9]+[a-f]?\."", """"))"),"Autre a préciser :")</f>
        <v>Autre a préciser :</v>
      </c>
      <c r="I2214" s="113" t="str">
        <f>IFERROR(__xludf.DUMMYFUNCTION("TRIM(REGEXREPLACE(E2214, ""[0-9]+[a-f]?\."", """"))"),"Baiyana wani abu daban:")</f>
        <v>Baiyana wani abu daban:</v>
      </c>
      <c r="J2214" s="113" t="str">
        <f t="shared" si="262"/>
        <v>393. Specify other:</v>
      </c>
      <c r="K2214" s="113" t="str">
        <f t="shared" si="263"/>
        <v>393. Autre a préciser :</v>
      </c>
      <c r="L2214" s="113" t="str">
        <f t="shared" si="264"/>
        <v>393. Baiyana wani abu daban:</v>
      </c>
    </row>
    <row r="2215" hidden="1">
      <c r="A2215" s="167" t="s">
        <v>807</v>
      </c>
      <c r="B2215" s="168" t="s">
        <v>4963</v>
      </c>
      <c r="C2215" s="168" t="s">
        <v>809</v>
      </c>
      <c r="D2215" s="169" t="s">
        <v>810</v>
      </c>
      <c r="E2215" s="169" t="s">
        <v>811</v>
      </c>
    </row>
    <row r="2216" hidden="1">
      <c r="A2216" s="131" t="s">
        <v>115</v>
      </c>
      <c r="B2216" s="132" t="s">
        <v>4964</v>
      </c>
      <c r="C2216" s="133"/>
      <c r="D2216" s="133"/>
      <c r="E2216" s="133"/>
    </row>
    <row r="2217" hidden="1">
      <c r="A2217" s="131" t="s">
        <v>115</v>
      </c>
      <c r="B2217" s="132" t="s">
        <v>4965</v>
      </c>
      <c r="C2217" s="133" t="s">
        <v>817</v>
      </c>
      <c r="D2217" s="133" t="s">
        <v>818</v>
      </c>
      <c r="E2217" s="133" t="s">
        <v>4966</v>
      </c>
    </row>
    <row r="2218">
      <c r="A2218" s="170" t="s">
        <v>238</v>
      </c>
      <c r="B2218" s="171" t="s">
        <v>4967</v>
      </c>
      <c r="C2218" s="76" t="s">
        <v>4968</v>
      </c>
      <c r="D2218" s="76" t="s">
        <v>4969</v>
      </c>
      <c r="E2218" s="76" t="s">
        <v>4970</v>
      </c>
      <c r="F2218" s="110">
        <v>394.0</v>
      </c>
      <c r="G2218" s="113" t="str">
        <f>IFERROR(__xludf.DUMMYFUNCTION("TRIM(REGEXREPLACE(C2218, ""[0-9]+[a-f]?\."", """"))"),"Please share with us your best estimate of the value in CFA ${hoh_savings_name}")</f>
        <v>Please share with us your best estimate of the value in CFA ${hoh_savings_name}</v>
      </c>
      <c r="H2218" s="113" t="str">
        <f>IFERROR(__xludf.DUMMYFUNCTION("TRIM(REGEXREPLACE(D2218, ""[0-9]+[a-f]?\."", """"))"),"Veuillez nous dire votre meilleure estimation de la valeur en CFA ${hoh_savings_name}")</f>
        <v>Veuillez nous dire votre meilleure estimation de la valeur en CFA ${hoh_savings_name}</v>
      </c>
      <c r="I2218" s="113" t="str">
        <f>IFERROR(__xludf.DUMMYFUNCTION("TRIM(REGEXREPLACE(E2218, ""[0-9]+[a-f]?\."", """"))"),"Da fatan zaku baiyana mini yawan kuɗin a tsammaninku ${hoh_savings_name} a CFA")</f>
        <v>Da fatan zaku baiyana mini yawan kuɗin a tsammaninku ${hoh_savings_name} a CFA</v>
      </c>
      <c r="J2218" s="113" t="str">
        <f t="shared" ref="J2218:J2219" si="265">F2218 &amp; ". " &amp;G2218</f>
        <v>394. Please share with us your best estimate of the value in CFA ${hoh_savings_name}</v>
      </c>
      <c r="K2218" s="113" t="str">
        <f t="shared" ref="K2218:K2219" si="266">F2218 &amp; ". " &amp;H2218</f>
        <v>394. Veuillez nous dire votre meilleure estimation de la valeur en CFA ${hoh_savings_name}</v>
      </c>
      <c r="L2218" s="113" t="str">
        <f t="shared" ref="L2218:L2219" si="267">F2218 &amp; ". " &amp;I2218</f>
        <v>394. Da fatan zaku baiyana mini yawan kuɗin a tsammaninku ${hoh_savings_name} a CFA</v>
      </c>
    </row>
    <row r="2219">
      <c r="A2219" s="114" t="s">
        <v>541</v>
      </c>
      <c r="B2219" s="165" t="s">
        <v>4975</v>
      </c>
      <c r="C2219" s="76" t="s">
        <v>4976</v>
      </c>
      <c r="D2219" s="76" t="s">
        <v>4977</v>
      </c>
      <c r="E2219" s="76" t="s">
        <v>4978</v>
      </c>
      <c r="F2219" s="110">
        <v>395.0</v>
      </c>
      <c r="G2219" s="113" t="str">
        <f>IFERROR(__xludf.DUMMYFUNCTION("TRIM(REGEXREPLACE(C2219, ""[0-9]+[a-f]?\."", """"))"),"Do you earn interest on this money ${hoh_savings_name}?")</f>
        <v>Do you earn interest on this money ${hoh_savings_name}?</v>
      </c>
      <c r="H2219" s="113" t="str">
        <f>IFERROR(__xludf.DUMMYFUNCTION("TRIM(REGEXREPLACE(D2219, ""[0-9]+[a-f]?\."", """"))"),"Gagnez-vous des intérêts sur cet argent ${hoh_savings_name} ?")</f>
        <v>Gagnez-vous des intérêts sur cet argent ${hoh_savings_name} ?</v>
      </c>
      <c r="I2219" s="113" t="str">
        <f>IFERROR(__xludf.DUMMYFUNCTION("TRIM(REGEXREPLACE(E2219, ""[0-9]+[a-f]?\."", """"))"),"Kuna samun kudin ruwa akan wannan kuɗin ${hoh_savings_name}?")</f>
        <v>Kuna samun kudin ruwa akan wannan kuɗin ${hoh_savings_name}?</v>
      </c>
      <c r="J2219" s="113" t="str">
        <f t="shared" si="265"/>
        <v>395. Do you earn interest on this money ${hoh_savings_name}?</v>
      </c>
      <c r="K2219" s="113" t="str">
        <f t="shared" si="266"/>
        <v>395. Gagnez-vous des intérêts sur cet argent ${hoh_savings_name} ?</v>
      </c>
      <c r="L2219" s="113" t="str">
        <f t="shared" si="267"/>
        <v>395. Kuna samun kudin ruwa akan wannan kuɗin ${hoh_savings_name}?</v>
      </c>
    </row>
    <row r="2220" hidden="1">
      <c r="A2220" s="167" t="s">
        <v>842</v>
      </c>
      <c r="B2220" s="169" t="s">
        <v>4963</v>
      </c>
      <c r="C2220" s="169" t="s">
        <v>809</v>
      </c>
      <c r="D2220" s="169" t="s">
        <v>810</v>
      </c>
      <c r="E2220" s="169" t="s">
        <v>811</v>
      </c>
    </row>
    <row r="2221" hidden="1">
      <c r="A2221" s="131" t="s">
        <v>150</v>
      </c>
      <c r="B2221" s="164" t="s">
        <v>4982</v>
      </c>
      <c r="C2221" s="133"/>
      <c r="D2221" s="133"/>
      <c r="E2221" s="133"/>
    </row>
    <row r="2222" hidden="1">
      <c r="A2222" s="80" t="s">
        <v>115</v>
      </c>
      <c r="B2222" s="81" t="s">
        <v>4983</v>
      </c>
      <c r="C2222" s="82"/>
      <c r="D2222" s="83"/>
      <c r="E2222" s="83"/>
    </row>
    <row r="2223" hidden="1">
      <c r="A2223" s="131" t="s">
        <v>115</v>
      </c>
      <c r="B2223" s="132" t="s">
        <v>4985</v>
      </c>
      <c r="C2223" s="133"/>
      <c r="D2223" s="133"/>
      <c r="E2223" s="133"/>
    </row>
    <row r="2224">
      <c r="A2224" s="114" t="s">
        <v>541</v>
      </c>
      <c r="B2224" s="165" t="s">
        <v>4986</v>
      </c>
      <c r="C2224" s="76" t="s">
        <v>4987</v>
      </c>
      <c r="D2224" s="76" t="s">
        <v>4988</v>
      </c>
      <c r="E2224" s="76" t="s">
        <v>4989</v>
      </c>
      <c r="F2224" s="110">
        <v>396.0</v>
      </c>
      <c r="G2224" s="113" t="str">
        <f>IFERROR(__xludf.DUMMYFUNCTION("TRIM(REGEXREPLACE(C2224, ""[0-9]+[a-f]?\."", """"))"),"Total savings: ${hoh_savings_total}: Does this look correct?")</f>
        <v>Total savings: ${hoh_savings_total}: Does this look correct?</v>
      </c>
      <c r="H2224" s="113" t="str">
        <f>IFERROR(__xludf.DUMMYFUNCTION("TRIM(REGEXREPLACE(D2224, ""[0-9]+[a-f]?\."", """"))"),"Économies totales : ${hoh_savings_total} : cela vous semble correct ?")</f>
        <v>Économies totales : ${hoh_savings_total} : cela vous semble correct ?</v>
      </c>
      <c r="I2224" s="113" t="str">
        <f>IFERROR(__xludf.DUMMYFUNCTION("TRIM(REGEXREPLACE(E2224, ""[0-9]+[a-f]?\."", """"))"),"Jimillar ajiya: ${hoh_savings_total}: kuna ganin ​​wannan yayi daidai?")</f>
        <v>Jimillar ajiya: ${hoh_savings_total}: kuna ganin ​​wannan yayi daidai?</v>
      </c>
      <c r="J2224" s="113" t="str">
        <f>F2224 &amp; ". " &amp;G2224</f>
        <v>396. Total savings: ${hoh_savings_total}: Does this look correct?</v>
      </c>
      <c r="K2224" s="113" t="str">
        <f>F2224 &amp; ". " &amp;H2224</f>
        <v>396. Économies totales : ${hoh_savings_total} : cela vous semble correct ?</v>
      </c>
      <c r="L2224" s="113" t="str">
        <f>F2224 &amp; ". " &amp;I2224</f>
        <v>396. Jimillar ajiya: ${hoh_savings_total}: kuna ganin ​​wannan yayi daidai?</v>
      </c>
    </row>
    <row r="2225" hidden="1">
      <c r="A2225" s="114"/>
      <c r="B2225" s="165"/>
      <c r="C2225" s="165"/>
      <c r="D2225" s="165"/>
      <c r="E2225" s="165"/>
    </row>
    <row r="2226">
      <c r="A2226" s="114" t="s">
        <v>1777</v>
      </c>
      <c r="B2226" s="165" t="s">
        <v>4993</v>
      </c>
      <c r="C2226" s="76" t="s">
        <v>4994</v>
      </c>
      <c r="D2226" s="76" t="s">
        <v>4995</v>
      </c>
      <c r="E2226" s="76" t="s">
        <v>4996</v>
      </c>
      <c r="F2226" s="110">
        <v>397.0</v>
      </c>
      <c r="G2226" s="113" t="str">
        <f>IFERROR(__xludf.DUMMYFUNCTION("TRIM(REGEXREPLACE(C2226, ""[0-9]+[a-f]?\."", """"))"),"During ${period}, was your household negatively affected by any of the following types of events?")</f>
        <v>During ${period}, was your household negatively affected by any of the following types of events?</v>
      </c>
      <c r="H2226" s="113" t="str">
        <f>IFERROR(__xludf.DUMMYFUNCTION("TRIM(REGEXREPLACE(D2226, ""[0-9]+[a-f]?\."", """"))"),"Au cours de ${period_french}, votre ménage a-t-il été affecté négativement par l'un des types d'événements suivants ?")</f>
        <v>Au cours de ${period_french}, votre ménage a-t-il été affecté négativement par l'un des types d'événements suivants ?</v>
      </c>
      <c r="I2226" s="113" t="str">
        <f>IFERROR(__xludf.DUMMYFUNCTION("TRIM(REGEXREPLACE(E2226, ""[0-9]+[a-f]?\."", """"))"),"A lokacin ${period_hausa}, ko gidanku ya fuskanci wani daga cikin matsaloli nan masu zuwa? Zaɓi duk abin da ya dace")</f>
        <v>A lokacin ${period_hausa}, ko gidanku ya fuskanci wani daga cikin matsaloli nan masu zuwa? Zaɓi duk abin da ya dace</v>
      </c>
      <c r="J2226" s="113" t="str">
        <f t="shared" ref="J2226:J2227" si="268">F2226 &amp; ". " &amp;G2226</f>
        <v>397. During ${period}, was your household negatively affected by any of the following types of events?</v>
      </c>
      <c r="K2226" s="113" t="str">
        <f t="shared" ref="K2226:K2227" si="269">F2226 &amp; ". " &amp;H2226</f>
        <v>397. Au cours de ${period_french}, votre ménage a-t-il été affecté négativement par l'un des types d'événements suivants ?</v>
      </c>
      <c r="L2226" s="113" t="str">
        <f t="shared" ref="L2226:L2227" si="270">F2226 &amp; ". " &amp;I2226</f>
        <v>397. A lokacin ${period_hausa}, ko gidanku ya fuskanci wani daga cikin matsaloli nan masu zuwa? Zaɓi duk abin da ya dace</v>
      </c>
    </row>
    <row r="2227">
      <c r="A2227" s="162" t="s">
        <v>217</v>
      </c>
      <c r="B2227" s="166" t="s">
        <v>4999</v>
      </c>
      <c r="C2227" s="76" t="s">
        <v>5000</v>
      </c>
      <c r="D2227" s="76" t="s">
        <v>5001</v>
      </c>
      <c r="E2227" s="76" t="s">
        <v>5002</v>
      </c>
      <c r="F2227" s="110">
        <v>398.0</v>
      </c>
      <c r="G2227" s="113" t="str">
        <f>IFERROR(__xludf.DUMMYFUNCTION("TRIM(REGEXREPLACE(C2227, ""[0-9]+[a-f]?\."", """"))"),"Please briefly describe the event(s) that negatveily affected your household")</f>
        <v>Please briefly describe the event(s) that negatveily affected your household</v>
      </c>
      <c r="H2227" s="113" t="str">
        <f>IFERROR(__xludf.DUMMYFUNCTION("TRIM(REGEXREPLACE(D2227, ""[0-9]+[a-f]?\."", """"))"),"Veuillez décrire brièvement le/les événement(s) qui ont eu des effets négatifs sur votre ménage au cours des 3 derniers mois")</f>
        <v>Veuillez décrire brièvement le/les événement(s) qui ont eu des effets négatifs sur votre ménage au cours des 3 derniers mois</v>
      </c>
      <c r="I2227" s="113" t="str">
        <f>IFERROR(__xludf.DUMMYFUNCTION("TRIM(REGEXREPLACE(E2227, ""[0-9]+[a-f]?\."", """"))"),"Da fatan za ku yi taƙaitaccen bayani a kan abin da ya shafi gidan ku")</f>
        <v>Da fatan za ku yi taƙaitaccen bayani a kan abin da ya shafi gidan ku</v>
      </c>
      <c r="J2227" s="113" t="str">
        <f t="shared" si="268"/>
        <v>398. Please briefly describe the event(s) that negatveily affected your household</v>
      </c>
      <c r="K2227" s="113" t="str">
        <f t="shared" si="269"/>
        <v>398. Veuillez décrire brièvement le/les événement(s) qui ont eu des effets négatifs sur votre ménage au cours des 3 derniers mois</v>
      </c>
      <c r="L2227" s="113" t="str">
        <f t="shared" si="270"/>
        <v>398. Da fatan za ku yi taƙaitaccen bayani a kan abin da ya shafi gidan ku</v>
      </c>
    </row>
    <row r="2228" hidden="1">
      <c r="A2228" s="131" t="s">
        <v>150</v>
      </c>
      <c r="B2228" s="164" t="s">
        <v>5003</v>
      </c>
      <c r="C2228" s="133"/>
      <c r="D2228" s="133"/>
      <c r="E2228" s="133"/>
    </row>
    <row r="2229" hidden="1">
      <c r="A2229" s="167" t="s">
        <v>807</v>
      </c>
      <c r="B2229" s="168" t="s">
        <v>5004</v>
      </c>
      <c r="C2229" s="168" t="s">
        <v>1839</v>
      </c>
      <c r="D2229" s="169"/>
      <c r="E2229" s="169"/>
    </row>
    <row r="2230" hidden="1">
      <c r="A2230" s="131" t="s">
        <v>115</v>
      </c>
      <c r="B2230" s="132" t="s">
        <v>5006</v>
      </c>
      <c r="C2230" s="133" t="s">
        <v>1864</v>
      </c>
      <c r="D2230" s="133"/>
      <c r="E2230" s="133"/>
    </row>
    <row r="2231" hidden="1">
      <c r="A2231" s="150" t="s">
        <v>161</v>
      </c>
      <c r="B2231" s="82" t="s">
        <v>5007</v>
      </c>
      <c r="C2231" s="82"/>
      <c r="D2231" s="83"/>
      <c r="E2231" s="83"/>
    </row>
    <row r="2232">
      <c r="A2232" s="114" t="s">
        <v>680</v>
      </c>
      <c r="B2232" s="165" t="s">
        <v>5008</v>
      </c>
      <c r="C2232" s="76" t="s">
        <v>5009</v>
      </c>
      <c r="D2232" s="76" t="s">
        <v>5010</v>
      </c>
      <c r="E2232" s="76" t="s">
        <v>5011</v>
      </c>
      <c r="F2232" s="110">
        <v>399.0</v>
      </c>
      <c r="G2232" s="113" t="str">
        <f>IFERROR(__xludf.DUMMYFUNCTION("TRIM(REGEXREPLACE(C2232, ""[0-9]+[a-f]?\."", """"))"),"In response to ${hoh_emergency_name}, did you or your household take the following actions?")</f>
        <v>In response to ${hoh_emergency_name}, did you or your household take the following actions?</v>
      </c>
      <c r="H2232" s="113" t="str">
        <f>IFERROR(__xludf.DUMMYFUNCTION("TRIM(REGEXREPLACE(D2232, ""[0-9]+[a-f]?\."", """"))"),"En réponse à ${hoh_emergency_name}, avez-vous vous ou votre ménage pris les mesures suivantes ??")</f>
        <v>En réponse à ${hoh_emergency_name}, avez-vous vous ou votre ménage pris les mesures suivantes ??</v>
      </c>
      <c r="I2232" s="113" t="str">
        <f>IFERROR(__xludf.DUMMYFUNCTION("TRIM(REGEXREPLACE(E2232, ""[0-9]+[a-f]?\."", """"))"),"Dangance da ${hoh_emergency_name}, ku ko ƴan gindanku kun ɗauki waɗannan matakai?")</f>
        <v>Dangance da ${hoh_emergency_name}, ku ko ƴan gindanku kun ɗauki waɗannan matakai?</v>
      </c>
      <c r="J2232" s="113" t="str">
        <f t="shared" ref="J2232:J2236" si="271">F2232 &amp; ". " &amp;G2232</f>
        <v>399. In response to ${hoh_emergency_name}, did you or your household take the following actions?</v>
      </c>
      <c r="K2232" s="113" t="str">
        <f t="shared" ref="K2232:K2236" si="272">F2232 &amp; ". " &amp;H2232</f>
        <v>399. En réponse à ${hoh_emergency_name}, avez-vous vous ou votre ménage pris les mesures suivantes ??</v>
      </c>
      <c r="L2232" s="113" t="str">
        <f t="shared" ref="L2232:L2236" si="273">F2232 &amp; ". " &amp;I2232</f>
        <v>399. Dangance da ${hoh_emergency_name}, ku ko ƴan gindanku kun ɗauki waɗannan matakai?</v>
      </c>
    </row>
    <row r="2233">
      <c r="A2233" s="114" t="s">
        <v>680</v>
      </c>
      <c r="B2233" s="165" t="s">
        <v>5016</v>
      </c>
      <c r="C2233" s="76" t="s">
        <v>5017</v>
      </c>
      <c r="D2233" s="76" t="s">
        <v>5018</v>
      </c>
      <c r="E2233" s="76" t="s">
        <v>5019</v>
      </c>
      <c r="F2233" s="110">
        <v>400.0</v>
      </c>
      <c r="G2233" s="113" t="str">
        <f>IFERROR(__xludf.DUMMYFUNCTION("TRIM(REGEXREPLACE(C2233, ""[0-9]+[a-f]?\."", """"))"),"Sell assets?")</f>
        <v>Sell assets?</v>
      </c>
      <c r="H2233" s="113" t="str">
        <f>IFERROR(__xludf.DUMMYFUNCTION("TRIM(REGEXREPLACE(D2233, ""[0-9]+[a-f]?\."", """"))"),"Vendre des actifs")</f>
        <v>Vendre des actifs</v>
      </c>
      <c r="I2233" s="113" t="str">
        <f>IFERROR(__xludf.DUMMYFUNCTION("TRIM(REGEXREPLACE(E2233, ""[0-9]+[a-f]?\."", """"))"),"Saida kadarori")</f>
        <v>Saida kadarori</v>
      </c>
      <c r="J2233" s="113" t="str">
        <f t="shared" si="271"/>
        <v>400. Sell assets?</v>
      </c>
      <c r="K2233" s="113" t="str">
        <f t="shared" si="272"/>
        <v>400. Vendre des actifs</v>
      </c>
      <c r="L2233" s="113" t="str">
        <f t="shared" si="273"/>
        <v>400. Saida kadarori</v>
      </c>
    </row>
    <row r="2234">
      <c r="A2234" s="114" t="s">
        <v>680</v>
      </c>
      <c r="B2234" s="165" t="s">
        <v>5021</v>
      </c>
      <c r="C2234" s="76" t="s">
        <v>5022</v>
      </c>
      <c r="D2234" s="76" t="s">
        <v>5023</v>
      </c>
      <c r="E2234" s="76" t="s">
        <v>5024</v>
      </c>
      <c r="F2234" s="110">
        <v>401.0</v>
      </c>
      <c r="G2234" s="113" t="str">
        <f>IFERROR(__xludf.DUMMYFUNCTION("TRIM(REGEXREPLACE(C2234, ""[0-9]+[a-f]?\."", """"))"),"Borrow money?")</f>
        <v>Borrow money?</v>
      </c>
      <c r="H2234" s="113" t="str">
        <f>IFERROR(__xludf.DUMMYFUNCTION("TRIM(REGEXREPLACE(D2234, ""[0-9]+[a-f]?\."", """"))"),"Emprunter de l'argent")</f>
        <v>Emprunter de l'argent</v>
      </c>
      <c r="I2234" s="113" t="str">
        <f>IFERROR(__xludf.DUMMYFUNCTION("TRIM(REGEXREPLACE(E2234, ""[0-9]+[a-f]?\."", """"))"),"Bashin kuɗi")</f>
        <v>Bashin kuɗi</v>
      </c>
      <c r="J2234" s="113" t="str">
        <f t="shared" si="271"/>
        <v>401. Borrow money?</v>
      </c>
      <c r="K2234" s="113" t="str">
        <f t="shared" si="272"/>
        <v>401. Emprunter de l'argent</v>
      </c>
      <c r="L2234" s="113" t="str">
        <f t="shared" si="273"/>
        <v>401. Bashin kuɗi</v>
      </c>
    </row>
    <row r="2235">
      <c r="A2235" s="114" t="s">
        <v>680</v>
      </c>
      <c r="B2235" s="165" t="s">
        <v>5025</v>
      </c>
      <c r="C2235" s="76" t="s">
        <v>5026</v>
      </c>
      <c r="D2235" s="76" t="s">
        <v>5027</v>
      </c>
      <c r="E2235" s="76" t="s">
        <v>5028</v>
      </c>
      <c r="F2235" s="110">
        <v>402.0</v>
      </c>
      <c r="G2235" s="113" t="str">
        <f>IFERROR(__xludf.DUMMYFUNCTION("TRIM(REGEXREPLACE(C2235, ""[0-9]+[a-f]?\."", """"))"),"Spend your savings?")</f>
        <v>Spend your savings?</v>
      </c>
      <c r="H2235" s="113" t="str">
        <f>IFERROR(__xludf.DUMMYFUNCTION("TRIM(REGEXREPLACE(D2235, ""[0-9]+[a-f]?\."", """"))"),"Utiliser votre épargne")</f>
        <v>Utiliser votre épargne</v>
      </c>
      <c r="I2235" s="113" t="str">
        <f>IFERROR(__xludf.DUMMYFUNCTION("TRIM(REGEXREPLACE(E2235, ""[0-9]+[a-f]?\."", """"))"),"Kashe kuɗin ajiyar ku")</f>
        <v>Kashe kuɗin ajiyar ku</v>
      </c>
      <c r="J2235" s="113" t="str">
        <f t="shared" si="271"/>
        <v>402. Spend your savings?</v>
      </c>
      <c r="K2235" s="113" t="str">
        <f t="shared" si="272"/>
        <v>402. Utiliser votre épargne</v>
      </c>
      <c r="L2235" s="113" t="str">
        <f t="shared" si="273"/>
        <v>402. Kashe kuɗin ajiyar ku</v>
      </c>
    </row>
    <row r="2236">
      <c r="A2236" s="114" t="s">
        <v>680</v>
      </c>
      <c r="B2236" s="165" t="s">
        <v>5031</v>
      </c>
      <c r="C2236" s="76" t="s">
        <v>5033</v>
      </c>
      <c r="D2236" s="76" t="s">
        <v>5034</v>
      </c>
      <c r="E2236" s="76" t="s">
        <v>5035</v>
      </c>
      <c r="F2236" s="110">
        <v>403.0</v>
      </c>
      <c r="G2236" s="113" t="str">
        <f>IFERROR(__xludf.DUMMYFUNCTION("TRIM(REGEXREPLACE(C2236, ""[0-9]+[a-f]?\."", """"))"),"Reduce spending on food or change your food consumption?")</f>
        <v>Reduce spending on food or change your food consumption?</v>
      </c>
      <c r="H2236" s="113" t="str">
        <f>IFERROR(__xludf.DUMMYFUNCTION("TRIM(REGEXREPLACE(D2236, ""[0-9]+[a-f]?\."", """"))"),"Réduire les dépenses alimentaires ou changé des habitudes de consommation ?")</f>
        <v>Réduire les dépenses alimentaires ou changé des habitudes de consommation ?</v>
      </c>
      <c r="I2236" s="113" t="str">
        <f>IFERROR(__xludf.DUMMYFUNCTION("TRIM(REGEXREPLACE(E2236, ""[0-9]+[a-f]?\."", """"))"),"Rage kashe kuɗi akan abinci ko canza abincin?")</f>
        <v>Rage kashe kuɗi akan abinci ko canza abincin?</v>
      </c>
      <c r="J2236" s="113" t="str">
        <f t="shared" si="271"/>
        <v>403. Reduce spending on food or change your food consumption?</v>
      </c>
      <c r="K2236" s="113" t="str">
        <f t="shared" si="272"/>
        <v>403. Réduire les dépenses alimentaires ou changé des habitudes de consommation ?</v>
      </c>
      <c r="L2236" s="113" t="str">
        <f t="shared" si="273"/>
        <v>403. Rage kashe kuɗi akan abinci ko canza abincin?</v>
      </c>
    </row>
    <row r="2237" hidden="1">
      <c r="A2237" s="150" t="s">
        <v>343</v>
      </c>
      <c r="B2237" s="83" t="s">
        <v>5007</v>
      </c>
      <c r="C2237" s="83"/>
      <c r="D2237" s="83"/>
      <c r="E2237" s="83"/>
    </row>
    <row r="2238" hidden="1">
      <c r="A2238" s="150" t="s">
        <v>161</v>
      </c>
      <c r="B2238" s="82" t="s">
        <v>5037</v>
      </c>
      <c r="C2238" s="82"/>
      <c r="D2238" s="83"/>
      <c r="E2238" s="83"/>
    </row>
    <row r="2239">
      <c r="A2239" s="152" t="s">
        <v>44</v>
      </c>
      <c r="B2239" s="77" t="s">
        <v>5038</v>
      </c>
      <c r="C2239" s="76" t="s">
        <v>5039</v>
      </c>
      <c r="D2239" s="76" t="s">
        <v>5040</v>
      </c>
      <c r="E2239" s="76" t="s">
        <v>5041</v>
      </c>
      <c r="F2239" s="110">
        <v>404.0</v>
      </c>
      <c r="G2239" s="113" t="str">
        <f>IFERROR(__xludf.DUMMYFUNCTION("TRIM(REGEXREPLACE(C2239, ""[0-9]+[a-f]?\."", """"))"),"For ${hoh_emergency_name}
 What was the value of the following in CFA?")</f>
        <v>For ${hoh_emergency_name}
 What was the value of the following in CFA?</v>
      </c>
      <c r="H2239" s="113" t="str">
        <f>IFERROR(__xludf.DUMMYFUNCTION("TRIM(REGEXREPLACE(D2239, ""[0-9]+[a-f]?\."", """"))"),"Par rapport à ${hoh_emergency_name}
 Quelle était la valeur des éléments suivantes en CFA?")</f>
        <v>Par rapport à ${hoh_emergency_name}
 Quelle était la valeur des éléments suivantes en CFA?</v>
      </c>
      <c r="I2239" s="113" t="str">
        <f>IFERROR(__xludf.DUMMYFUNCTION("TRIM(REGEXREPLACE(E2239, ""[0-9]+[a-f]?\."", """"))"),"Game da ${hoh_emergency_name}
 Nawa ne kimar waɗannan abubuwan a kuɗin CFA?")</f>
        <v>Game da ${hoh_emergency_name}
 Nawa ne kimar waɗannan abubuwan a kuɗin CFA?</v>
      </c>
      <c r="J2239" s="113" t="str">
        <f t="shared" ref="J2239:J2242" si="274">F2239 &amp; ". " &amp;G2239</f>
        <v>404. For ${hoh_emergency_name}
 What was the value of the following in CFA?</v>
      </c>
      <c r="K2239" s="113" t="str">
        <f t="shared" ref="K2239:K2242" si="275">F2239 &amp; ". " &amp;H2239</f>
        <v>404. Par rapport à ${hoh_emergency_name}
 Quelle était la valeur des éléments suivantes en CFA?</v>
      </c>
      <c r="L2239" s="113" t="str">
        <f t="shared" ref="L2239:L2242" si="276">F2239 &amp; ". " &amp;I2239</f>
        <v>404. Game da ${hoh_emergency_name}
 Nawa ne kimar waɗannan abubuwan a kuɗin CFA?</v>
      </c>
    </row>
    <row r="2240">
      <c r="A2240" s="170" t="s">
        <v>238</v>
      </c>
      <c r="B2240" s="171" t="s">
        <v>5043</v>
      </c>
      <c r="C2240" s="76" t="s">
        <v>5044</v>
      </c>
      <c r="D2240" s="76" t="s">
        <v>5045</v>
      </c>
      <c r="E2240" s="76" t="s">
        <v>5046</v>
      </c>
      <c r="F2240" s="110">
        <v>405.0</v>
      </c>
      <c r="G2240" s="113" t="str">
        <f>IFERROR(__xludf.DUMMYFUNCTION("TRIM(REGEXREPLACE(C2240, ""[0-9]+[a-f]?\."", """"))"),"Assets you sold")</f>
        <v>Assets you sold</v>
      </c>
      <c r="H2240" s="113" t="str">
        <f>IFERROR(__xludf.DUMMYFUNCTION("TRIM(REGEXREPLACE(D2240, ""[0-9]+[a-f]?\."", """"))"),"Les actifs que vous avez vendus")</f>
        <v>Les actifs que vous avez vendus</v>
      </c>
      <c r="I2240" s="113" t="str">
        <f>IFERROR(__xludf.DUMMYFUNCTION("TRIM(REGEXREPLACE(E2240, ""[0-9]+[a-f]?\."", """"))"),"Kadarorin da kuka saida")</f>
        <v>Kadarorin da kuka saida</v>
      </c>
      <c r="J2240" s="113" t="str">
        <f t="shared" si="274"/>
        <v>405. Assets you sold</v>
      </c>
      <c r="K2240" s="113" t="str">
        <f t="shared" si="275"/>
        <v>405. Les actifs que vous avez vendus</v>
      </c>
      <c r="L2240" s="113" t="str">
        <f t="shared" si="276"/>
        <v>405. Kadarorin da kuka saida</v>
      </c>
    </row>
    <row r="2241">
      <c r="A2241" s="170" t="s">
        <v>238</v>
      </c>
      <c r="B2241" s="171" t="s">
        <v>5047</v>
      </c>
      <c r="C2241" s="76" t="s">
        <v>3596</v>
      </c>
      <c r="D2241" s="76" t="s">
        <v>3597</v>
      </c>
      <c r="E2241" s="76" t="s">
        <v>3598</v>
      </c>
      <c r="F2241" s="110">
        <v>406.0</v>
      </c>
      <c r="G2241" s="113" t="str">
        <f>IFERROR(__xludf.DUMMYFUNCTION("TRIM(REGEXREPLACE(C2241, ""[0-9]+[a-f]?\."", """"))"),"Loan(s) you took")</f>
        <v>Loan(s) you took</v>
      </c>
      <c r="H2241" s="113" t="str">
        <f>IFERROR(__xludf.DUMMYFUNCTION("TRIM(REGEXREPLACE(D2241, ""[0-9]+[a-f]?\."", """"))"),"Les prêt(s) que vous avez contracté")</f>
        <v>Les prêt(s) que vous avez contracté</v>
      </c>
      <c r="I2241" s="113" t="str">
        <f>IFERROR(__xludf.DUMMYFUNCTION("TRIM(REGEXREPLACE(E2241, ""[0-9]+[a-f]?\."", """"))"),"Bashin da kuka ɗauka")</f>
        <v>Bashin da kuka ɗauka</v>
      </c>
      <c r="J2241" s="113" t="str">
        <f t="shared" si="274"/>
        <v>406. Loan(s) you took</v>
      </c>
      <c r="K2241" s="113" t="str">
        <f t="shared" si="275"/>
        <v>406. Les prêt(s) que vous avez contracté</v>
      </c>
      <c r="L2241" s="113" t="str">
        <f t="shared" si="276"/>
        <v>406. Bashin da kuka ɗauka</v>
      </c>
    </row>
    <row r="2242">
      <c r="A2242" s="170" t="s">
        <v>238</v>
      </c>
      <c r="B2242" s="171" t="s">
        <v>5052</v>
      </c>
      <c r="C2242" s="76" t="s">
        <v>3602</v>
      </c>
      <c r="D2242" s="76" t="s">
        <v>3603</v>
      </c>
      <c r="E2242" s="76" t="s">
        <v>3604</v>
      </c>
      <c r="F2242" s="110">
        <v>407.0</v>
      </c>
      <c r="G2242" s="113" t="str">
        <f>IFERROR(__xludf.DUMMYFUNCTION("TRIM(REGEXREPLACE(C2242, ""[0-9]+[a-f]?\."", """"))"),"Savings you spent?")</f>
        <v>Savings you spent?</v>
      </c>
      <c r="H2242" s="113" t="str">
        <f>IFERROR(__xludf.DUMMYFUNCTION("TRIM(REGEXREPLACE(D2242, ""[0-9]+[a-f]?\."", """"))"),"L'épargne que vous avez utilisé")</f>
        <v>L'épargne que vous avez utilisé</v>
      </c>
      <c r="I2242" s="113" t="str">
        <f>IFERROR(__xludf.DUMMYFUNCTION("TRIM(REGEXREPLACE(E2242, ""[0-9]+[a-f]?\."", """"))"),"Ajiyar da kuka kashe")</f>
        <v>Ajiyar da kuka kashe</v>
      </c>
      <c r="J2242" s="113" t="str">
        <f t="shared" si="274"/>
        <v>407. Savings you spent?</v>
      </c>
      <c r="K2242" s="113" t="str">
        <f t="shared" si="275"/>
        <v>407. L'épargne que vous avez utilisé</v>
      </c>
      <c r="L2242" s="113" t="str">
        <f t="shared" si="276"/>
        <v>407. Ajiyar da kuka kashe</v>
      </c>
    </row>
    <row r="2243" hidden="1">
      <c r="A2243" s="150" t="s">
        <v>343</v>
      </c>
      <c r="B2243" s="83" t="s">
        <v>5037</v>
      </c>
      <c r="C2243" s="83"/>
      <c r="D2243" s="83"/>
      <c r="E2243" s="83"/>
    </row>
    <row r="2244" hidden="1">
      <c r="A2244" s="167" t="s">
        <v>842</v>
      </c>
      <c r="B2244" s="169" t="s">
        <v>5004</v>
      </c>
      <c r="C2244" s="169" t="s">
        <v>1839</v>
      </c>
      <c r="D2244" s="169"/>
      <c r="E2244" s="169"/>
    </row>
    <row r="2245" hidden="1">
      <c r="A2245" s="131" t="s">
        <v>150</v>
      </c>
      <c r="B2245" s="164" t="s">
        <v>5057</v>
      </c>
      <c r="C2245" s="133"/>
      <c r="D2245" s="133"/>
      <c r="E2245" s="133"/>
    </row>
    <row r="2246" hidden="1">
      <c r="A2246" s="80" t="s">
        <v>115</v>
      </c>
      <c r="B2246" s="81" t="s">
        <v>5058</v>
      </c>
      <c r="C2246" s="82"/>
      <c r="D2246" s="83"/>
      <c r="E2246" s="83"/>
    </row>
    <row r="2247" hidden="1">
      <c r="A2247" s="131" t="s">
        <v>150</v>
      </c>
      <c r="B2247" s="164" t="s">
        <v>5059</v>
      </c>
      <c r="C2247" s="133"/>
      <c r="D2247" s="133"/>
      <c r="E2247" s="133"/>
    </row>
    <row r="2248">
      <c r="A2248" s="152" t="s">
        <v>44</v>
      </c>
      <c r="B2248" s="77" t="s">
        <v>5060</v>
      </c>
      <c r="C2248" s="76" t="s">
        <v>3628</v>
      </c>
      <c r="D2248" s="76" t="s">
        <v>3629</v>
      </c>
      <c r="E2248" s="76" t="s">
        <v>3630</v>
      </c>
      <c r="F2248" s="110">
        <v>408.0</v>
      </c>
      <c r="G2248" s="113" t="str">
        <f>IFERROR(__xludf.DUMMYFUNCTION("TRIM(REGEXREPLACE(C2248,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2248" s="113" t="str">
        <f>IFERROR(__xludf.DUMMYFUNCTION("TRIM(REGEXREPLACE(D2248,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2248" s="113" t="str">
        <f>IFERROR(__xludf.DUMMYFUNCTION("TRIM(REGEXREPLACE(E2248,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2248" s="113" t="str">
        <f t="shared" ref="J2248:J2254" si="277">F2248 &amp; ". " &amp;G2248</f>
        <v>408. Now I would like to ask you about any money that you and your family owe to other people; money you have borrowed from people outside your household.</v>
      </c>
      <c r="K2248" s="113" t="str">
        <f t="shared" ref="K2248:K2254" si="278">F2248 &amp; ". " &amp;H2248</f>
        <v>408. Maintenant, je voudrais vous poser des questions sur l'argent que vous et votre ménage devez à d'autres personnes ; l'argent que vous avez emprunté à des personnes extérieures à votre ménage.</v>
      </c>
      <c r="L2248" s="113" t="str">
        <f t="shared" ref="L2248:L2254" si="279">F2248 &amp; ". " &amp;I2248</f>
        <v>408. Yanzu ina son in tambaye ku game da duk wani kuɗin da ku da ƴan gidanku kuka ɗauko daga wajen wasu mutane; kuɗin da kuka aro daga mutane wanda ba ƴan gidanku ba.</v>
      </c>
    </row>
    <row r="2249">
      <c r="A2249" s="114" t="s">
        <v>680</v>
      </c>
      <c r="B2249" s="165" t="s">
        <v>5065</v>
      </c>
      <c r="C2249" s="76" t="s">
        <v>5066</v>
      </c>
      <c r="D2249" s="76" t="s">
        <v>5067</v>
      </c>
      <c r="E2249" s="76" t="s">
        <v>5068</v>
      </c>
      <c r="F2249" s="110">
        <v>409.0</v>
      </c>
      <c r="G2249" s="113" t="str">
        <f>IFERROR(__xludf.DUMMYFUNCTION("TRIM(REGEXREPLACE(C2249, ""[0-9]+[a-f]?\."", """"))"),"In the last three months did you or a member of your household try to secure a loan from any source but were refused?")</f>
        <v>In the last three months did you or a member of your household try to secure a loan from any source but were refused?</v>
      </c>
      <c r="H2249" s="113" t="str">
        <f>IFERROR(__xludf.DUMMYFUNCTION("TRIM(REGEXREPLACE(D2249,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2249" s="113" t="str">
        <f>IFERROR(__xludf.DUMMYFUNCTION("TRIM(REGEXREPLACE(E2249, ""[0-9]+[a-f]?\."", """"))"),"A cikin watanni uku da suka wuce kai ko wani dan gidanku kun yi ƙoƙarin samun bashi daga kowace hanya amma an ƙi?")</f>
        <v>A cikin watanni uku da suka wuce kai ko wani dan gidanku kun yi ƙoƙarin samun bashi daga kowace hanya amma an ƙi?</v>
      </c>
      <c r="J2249" s="113" t="str">
        <f t="shared" si="277"/>
        <v>409. In the last three months did you or a member of your household try to secure a loan from any source but were refused?</v>
      </c>
      <c r="K2249" s="113" t="str">
        <f t="shared" si="278"/>
        <v>409. Au cours des trois derniers mois, vous ou un membre de votre ménage avez-vous essayé d'obtenir un prêt auprès de n'importe quelle source, mais cela a été refusé ?</v>
      </c>
      <c r="L2249" s="113" t="str">
        <f t="shared" si="279"/>
        <v>409. A cikin watanni uku da suka wuce kai ko wani dan gidanku kun yi ƙoƙarin samun bashi daga kowace hanya amma an ƙi?</v>
      </c>
    </row>
    <row r="2250">
      <c r="A2250" s="170" t="s">
        <v>238</v>
      </c>
      <c r="B2250" s="171" t="s">
        <v>5069</v>
      </c>
      <c r="C2250" s="76" t="s">
        <v>5070</v>
      </c>
      <c r="D2250" s="76" t="s">
        <v>5071</v>
      </c>
      <c r="E2250" s="76" t="s">
        <v>5072</v>
      </c>
      <c r="F2250" s="110">
        <v>410.0</v>
      </c>
      <c r="G2250" s="113" t="str">
        <f>IFERROR(__xludf.DUMMYFUNCTION("TRIM(REGEXREPLACE(C2250, ""[0-9]+[a-f]?\."", """"))"),"What was the value of the loan in CFA?")</f>
        <v>What was the value of the loan in CFA?</v>
      </c>
      <c r="H2250" s="113" t="str">
        <f>IFERROR(__xludf.DUMMYFUNCTION("TRIM(REGEXREPLACE(D2250, ""[0-9]+[a-f]?\."", """"))"),"Quelle était la valeur du prêt en CFA?")</f>
        <v>Quelle était la valeur du prêt en CFA?</v>
      </c>
      <c r="I2250" s="113" t="str">
        <f>IFERROR(__xludf.DUMMYFUNCTION("TRIM(REGEXREPLACE(E2250, ""[0-9]+[a-f]?\."", """"))"),"Nawa ne yawan kuɗin bashin a sefa?")</f>
        <v>Nawa ne yawan kuɗin bashin a sefa?</v>
      </c>
      <c r="J2250" s="113" t="str">
        <f t="shared" si="277"/>
        <v>410. What was the value of the loan in CFA?</v>
      </c>
      <c r="K2250" s="113" t="str">
        <f t="shared" si="278"/>
        <v>410. Quelle était la valeur du prêt en CFA?</v>
      </c>
      <c r="L2250" s="113" t="str">
        <f t="shared" si="279"/>
        <v>410. Nawa ne yawan kuɗin bashin a sefa?</v>
      </c>
    </row>
    <row r="2251">
      <c r="A2251" s="170" t="s">
        <v>238</v>
      </c>
      <c r="B2251" s="171" t="s">
        <v>5076</v>
      </c>
      <c r="C2251" s="76" t="s">
        <v>5077</v>
      </c>
      <c r="D2251" s="76" t="s">
        <v>5078</v>
      </c>
      <c r="E2251" s="76" t="s">
        <v>5079</v>
      </c>
      <c r="F2251" s="110">
        <v>411.0</v>
      </c>
      <c r="G2251" s="113" t="str">
        <f>IFERROR(__xludf.DUMMYFUNCTION("TRIM(REGEXREPLACE(C2251,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2251" s="113" t="str">
        <f>IFERROR(__xludf.DUMMYFUNCTION("TRIM(REGEXREPLACE(D2251,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2251" s="113" t="str">
        <f>IFERROR(__xludf.DUMMYFUNCTION("TRIM(REGEXREPLACE(E2251,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2251" s="113" t="str">
        <f t="shared" si="277"/>
        <v>411. Think about all the people you or members of your household owe money, including recent loans, what is the total value your household owes (in CFA)?</v>
      </c>
      <c r="K2251" s="113" t="str">
        <f t="shared" si="278"/>
        <v>411. Pensez à toutes les personnes que vous ou les membres de votre ménage devez de l'argent, y compris les prêts récents, quelle est la valeur totale que votre ménage doit (en CFA) ?</v>
      </c>
      <c r="L2251" s="113" t="str">
        <f t="shared" si="279"/>
        <v>411. Ku tuna da duk mutanen da ke bin da ƴan gidanku kuɗi, dukan basussuka sabi da tsohi, nawa jimillar kuɗin a ke bin gidanku (a kuɗin sefa CFA)?</v>
      </c>
    </row>
    <row r="2252">
      <c r="A2252" s="114" t="s">
        <v>680</v>
      </c>
      <c r="B2252" s="165" t="s">
        <v>5081</v>
      </c>
      <c r="C2252" s="76" t="s">
        <v>5082</v>
      </c>
      <c r="D2252" s="76" t="s">
        <v>5083</v>
      </c>
      <c r="E2252" s="76" t="s">
        <v>5084</v>
      </c>
      <c r="F2252" s="110">
        <v>412.0</v>
      </c>
      <c r="G2252" s="113" t="str">
        <f>IFERROR(__xludf.DUMMYFUNCTION("TRIM(REGEXREPLACE(C2252, ""[0-9]+[a-f]?\."", """"))"),"Do you know if a loan was given to your household by a household that participated in the TSARI or other Mercy Corp programs?")</f>
        <v>Do you know if a loan was given to your household by a household that participated in the TSARI or other Mercy Corp programs?</v>
      </c>
      <c r="H2252" s="113" t="str">
        <f>IFERROR(__xludf.DUMMYFUNCTION("TRIM(REGEXREPLACE(D2252,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2252" s="113" t="str">
        <f>IFERROR(__xludf.DUMMYFUNCTION("TRIM(REGEXREPLACE(E2252, ""[0-9]+[a-f]?\."", """"))"),"Kun san ko gidan ku ya ɗauki ramcen kuɗi daga wani gidan da yake cikin shirin TSARI ko wasu shirye-shiryen Mercy Corp?")</f>
        <v>Kun san ko gidan ku ya ɗauki ramcen kuɗi daga wani gidan da yake cikin shirin TSARI ko wasu shirye-shiryen Mercy Corp?</v>
      </c>
      <c r="J2252" s="113" t="str">
        <f t="shared" si="277"/>
        <v>412. Do you know if a loan was given to your household by a household that participated in the TSARI or other Mercy Corp programs?</v>
      </c>
      <c r="K2252" s="113" t="str">
        <f t="shared" si="278"/>
        <v>412. Savez-vous si un prêt a été accordé à votre ménage par un ménage ayant participé au programme TSARI ou à d'autres programmes de Mercy Corp ?</v>
      </c>
      <c r="L2252" s="113" t="str">
        <f t="shared" si="279"/>
        <v>412. Kun san ko gidan ku ya ɗauki ramcen kuɗi daga wani gidan da yake cikin shirin TSARI ko wasu shirye-shiryen Mercy Corp?</v>
      </c>
    </row>
    <row r="2253">
      <c r="A2253" s="114" t="s">
        <v>541</v>
      </c>
      <c r="B2253" s="165" t="s">
        <v>5085</v>
      </c>
      <c r="C2253" s="76" t="s">
        <v>3662</v>
      </c>
      <c r="D2253" s="76" t="s">
        <v>3663</v>
      </c>
      <c r="E2253" s="76" t="s">
        <v>3664</v>
      </c>
      <c r="F2253" s="110">
        <v>413.0</v>
      </c>
      <c r="G2253" s="113" t="str">
        <f>IFERROR(__xludf.DUMMYFUNCTION("TRIM(REGEXREPLACE(C2253,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2253" s="113" t="str">
        <f>IFERROR(__xludf.DUMMYFUNCTION("TRIM(REGEXREPLACE(D2253,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2253" s="113" t="str">
        <f>IFERROR(__xludf.DUMMYFUNCTION("TRIM(REGEXREPLACE(E2253,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2253" s="113" t="str">
        <f t="shared" si="277"/>
        <v>413. In the past three months, have you or anyone in your household received money or goods from someone who is not a member of your household and lives in your village in Niger?</v>
      </c>
      <c r="K2253" s="113" t="str">
        <f t="shared" si="278"/>
        <v>413. Au cours des trois derniers mois, est-ce que vous ou un membre de votre ménage avez reçu de l'argent ou des biens d'une personne qui n'est pas membre de votre ménage et qui habite dans votre village au Niger ?</v>
      </c>
      <c r="L2253" s="113" t="str">
        <f t="shared" si="279"/>
        <v>413. A cikin wata uku da suka wuce, kai ko wani a cikin gidanku kun karɓi kuɗi ko kaya daga wani wanda ba ɗan gidanku ba kuma yana zaune a ƙauyenku a Nijar?</v>
      </c>
    </row>
    <row r="2254">
      <c r="A2254" s="114" t="s">
        <v>680</v>
      </c>
      <c r="B2254" s="165" t="s">
        <v>5090</v>
      </c>
      <c r="C2254" s="76" t="s">
        <v>3666</v>
      </c>
      <c r="D2254" s="76" t="s">
        <v>3668</v>
      </c>
      <c r="E2254" s="76" t="s">
        <v>3670</v>
      </c>
      <c r="F2254" s="110">
        <v>414.0</v>
      </c>
      <c r="G2254" s="113" t="str">
        <f>IFERROR(__xludf.DUMMYFUNCTION("TRIM(REGEXREPLACE(C2254,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2254" s="113" t="str">
        <f>IFERROR(__xludf.DUMMYFUNCTION("TRIM(REGEXREPLACE(D2254,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2254" s="113" t="str">
        <f>IFERROR(__xludf.DUMMYFUNCTION("TRIM(REGEXREPLACE(E2254,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2254" s="113" t="str">
        <f t="shared" si="277"/>
        <v>414. Do you know if the person who gave your hosuehold money was from a household that participated in the TSARI or other Mercy Corp programs?</v>
      </c>
      <c r="K2254" s="113" t="str">
        <f t="shared" si="278"/>
        <v>414. Savez-vous si la personne qui a donné l'argent à votre ménage appartenait à un ménage qui a participé au programme TSARI ou à d'autres programmes de Mercy Corp ?</v>
      </c>
      <c r="L2254" s="113" t="str">
        <f t="shared" si="279"/>
        <v>414. Shin kun san ko mutumin da ya ba gidan ku kuɗin ɗan wani gida ne wanda suka samu shiga cikin shirin TSARI ko wasu shirye-shiryen Mercy Corp?</v>
      </c>
    </row>
    <row r="2255" hidden="1">
      <c r="A2255" s="131" t="s">
        <v>150</v>
      </c>
      <c r="B2255" s="164" t="s">
        <v>5091</v>
      </c>
      <c r="C2255" s="133"/>
      <c r="D2255" s="133"/>
      <c r="E2255" s="133"/>
    </row>
    <row r="2256" hidden="1">
      <c r="A2256" s="80" t="s">
        <v>115</v>
      </c>
      <c r="B2256" s="81" t="s">
        <v>5092</v>
      </c>
      <c r="C2256" s="82"/>
      <c r="D2256" s="83"/>
      <c r="E2256" s="83"/>
    </row>
    <row r="2257" hidden="1">
      <c r="A2257" s="131" t="s">
        <v>150</v>
      </c>
      <c r="B2257" s="164" t="s">
        <v>5093</v>
      </c>
      <c r="C2257" s="133"/>
      <c r="D2257" s="133"/>
      <c r="E2257" s="133"/>
    </row>
    <row r="2258">
      <c r="A2258" s="152" t="s">
        <v>44</v>
      </c>
      <c r="B2258" s="77" t="s">
        <v>5096</v>
      </c>
      <c r="C2258" s="76" t="s">
        <v>3687</v>
      </c>
      <c r="D2258" s="76" t="s">
        <v>3688</v>
      </c>
      <c r="E2258" s="76" t="s">
        <v>3689</v>
      </c>
      <c r="F2258" s="110">
        <v>415.0</v>
      </c>
      <c r="G2258" s="113" t="str">
        <f>IFERROR(__xludf.DUMMYFUNCTION("TRIM(REGEXREPLACE(C2258, ""[0-9]+[a-f]?\."", """"))"),"I will now ask you about meals people in your household have consumed in the past 7 days.")</f>
        <v>I will now ask you about meals people in your household have consumed in the past 7 days.</v>
      </c>
      <c r="H2258" s="113" t="str">
        <f>IFERROR(__xludf.DUMMYFUNCTION("TRIM(REGEXREPLACE(D2258,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258" s="113" t="str">
        <f>IFERROR(__xludf.DUMMYFUNCTION("TRIM(REGEXREPLACE(E2258, ""[0-9]+[a-f]?\."", """"))"),"Yanzu zan tambaye ku bisa abincin da mutanen gidanku suka ci a cikin kwanaki 7 da suka wuce.")</f>
        <v>Yanzu zan tambaye ku bisa abincin da mutanen gidanku suka ci a cikin kwanaki 7 da suka wuce.</v>
      </c>
      <c r="J2258" s="113" t="str">
        <f t="shared" ref="J2258:J2268" si="280">F2258 &amp; ". " &amp;G2258</f>
        <v>415. I will now ask you about meals people in your household have consumed in the past 7 days.</v>
      </c>
      <c r="K2258" s="113" t="str">
        <f t="shared" ref="K2258:K2268" si="281">F2258 &amp; ". " &amp;H2258</f>
        <v>415. Je vais maintenant vous poser des questions sur les repas que les membres de votre ménage ont consommé au cours des 7 derniers jours.</v>
      </c>
      <c r="L2258" s="113" t="str">
        <f t="shared" ref="L2258:L2268" si="282">F2258 &amp; ". " &amp;I2258</f>
        <v>415. Yanzu zan tambaye ku bisa abincin da mutanen gidanku suka ci a cikin kwanaki 7 da suka wuce.</v>
      </c>
    </row>
    <row r="2259">
      <c r="A2259" s="114" t="s">
        <v>680</v>
      </c>
      <c r="B2259" s="165" t="s">
        <v>5099</v>
      </c>
      <c r="C2259" s="76" t="s">
        <v>3692</v>
      </c>
      <c r="D2259" s="76" t="s">
        <v>3694</v>
      </c>
      <c r="E2259" s="76" t="s">
        <v>3696</v>
      </c>
      <c r="F2259" s="110">
        <v>416.0</v>
      </c>
      <c r="G2259" s="113" t="str">
        <f>IFERROR(__xludf.DUMMYFUNCTION("TRIM(REGEXREPLACE(C2259, ""[0-9]+[a-f]?\."", """"))"),"In the last 7 days, have adults gone a whole day without meals?")</f>
        <v>In the last 7 days, have adults gone a whole day without meals?</v>
      </c>
      <c r="H2259" s="113" t="str">
        <f>IFERROR(__xludf.DUMMYFUNCTION("TRIM(REGEXREPLACE(D2259, ""[0-9]+[a-f]?\."", """"))"),"Au cours des 7 derniers jours, des adultes sont-ils restés une journée entière sans manger de repas ?")</f>
        <v>Au cours des 7 derniers jours, des adultes sont-ils restés une journée entière sans manger de repas ?</v>
      </c>
      <c r="I2259" s="113" t="str">
        <f>IFERROR(__xludf.DUMMYFUNCTION("TRIM(REGEXREPLACE(E2259, ""[0-9]+[a-f]?\."", """"))"),"A cikin kwanaki 7 da suka wuce, ko manya gidanku sun zauna tsawon wuni guda basu ci abinci ba?")</f>
        <v>A cikin kwanaki 7 da suka wuce, ko manya gidanku sun zauna tsawon wuni guda basu ci abinci ba?</v>
      </c>
      <c r="J2259" s="113" t="str">
        <f t="shared" si="280"/>
        <v>416. In the last 7 days, have adults gone a whole day without meals?</v>
      </c>
      <c r="K2259" s="113" t="str">
        <f t="shared" si="281"/>
        <v>416. Au cours des 7 derniers jours, des adultes sont-ils restés une journée entière sans manger de repas ?</v>
      </c>
      <c r="L2259" s="113" t="str">
        <f t="shared" si="282"/>
        <v>416. A cikin kwanaki 7 da suka wuce, ko manya gidanku sun zauna tsawon wuni guda basu ci abinci ba?</v>
      </c>
    </row>
    <row r="2260">
      <c r="A2260" s="170" t="s">
        <v>238</v>
      </c>
      <c r="B2260" s="171" t="s">
        <v>5102</v>
      </c>
      <c r="C2260" s="76" t="s">
        <v>3698</v>
      </c>
      <c r="D2260" s="76" t="s">
        <v>3699</v>
      </c>
      <c r="E2260" s="76" t="s">
        <v>3700</v>
      </c>
      <c r="F2260" s="110">
        <v>417.0</v>
      </c>
      <c r="G2260" s="113" t="str">
        <f>IFERROR(__xludf.DUMMYFUNCTION("TRIM(REGEXREPLACE(C2260, ""[0-9]+[a-f]?\."", """"))"),"How many days?")</f>
        <v>How many days?</v>
      </c>
      <c r="H2260" s="113" t="str">
        <f>IFERROR(__xludf.DUMMYFUNCTION("TRIM(REGEXREPLACE(D2260, ""[0-9]+[a-f]?\."", """"))"),"Pendant combien de jours?")</f>
        <v>Pendant combien de jours?</v>
      </c>
      <c r="I2260" s="113" t="str">
        <f>IFERROR(__xludf.DUMMYFUNCTION("TRIM(REGEXREPLACE(E2260, ""[0-9]+[a-f]?\."", """"))"),"151a Tsawon kwanaki nawa?")</f>
        <v>151a Tsawon kwanaki nawa?</v>
      </c>
      <c r="J2260" s="113" t="str">
        <f t="shared" si="280"/>
        <v>417. How many days?</v>
      </c>
      <c r="K2260" s="113" t="str">
        <f t="shared" si="281"/>
        <v>417. Pendant combien de jours?</v>
      </c>
      <c r="L2260" s="113" t="str">
        <f t="shared" si="282"/>
        <v>417. 151a Tsawon kwanaki nawa?</v>
      </c>
    </row>
    <row r="2261">
      <c r="A2261" s="114" t="s">
        <v>680</v>
      </c>
      <c r="B2261" s="165" t="s">
        <v>5105</v>
      </c>
      <c r="C2261" s="76" t="s">
        <v>3706</v>
      </c>
      <c r="D2261" s="76" t="s">
        <v>3707</v>
      </c>
      <c r="E2261" s="76" t="s">
        <v>3708</v>
      </c>
      <c r="F2261" s="110">
        <v>418.0</v>
      </c>
      <c r="G2261" s="113" t="str">
        <f>IFERROR(__xludf.DUMMYFUNCTION("TRIM(REGEXREPLACE(C2261, ""[0-9]+[a-f]?\."", """"))"),"In the last 7 days, have adults cut the size of meals or skipped meals?")</f>
        <v>In the last 7 days, have adults cut the size of meals or skipped meals?</v>
      </c>
      <c r="H2261" s="113" t="str">
        <f>IFERROR(__xludf.DUMMYFUNCTION("TRIM(REGEXREPLACE(D2261, ""[0-9]+[a-f]?\."", """"))"),"Au cours des 7 derniers jours, les adultes ont-ils réduit la taille de leur repas ou les ont-ils sauté?")</f>
        <v>Au cours des 7 derniers jours, les adultes ont-ils réduit la taille de leur repas ou les ont-ils sauté?</v>
      </c>
      <c r="I2261" s="113" t="str">
        <f>IFERROR(__xludf.DUMMYFUNCTION("TRIM(REGEXREPLACE(E2261, ""[0-9]+[a-f]?\."", """"))"),"A cikin kwanaki 7 na ƙarshe, ko manyan gidanku sun rage yawan abincin da suka saba ci ko sun tsallake shi?")</f>
        <v>A cikin kwanaki 7 na ƙarshe, ko manyan gidanku sun rage yawan abincin da suka saba ci ko sun tsallake shi?</v>
      </c>
      <c r="J2261" s="113" t="str">
        <f t="shared" si="280"/>
        <v>418. In the last 7 days, have adults cut the size of meals or skipped meals?</v>
      </c>
      <c r="K2261" s="113" t="str">
        <f t="shared" si="281"/>
        <v>418. Au cours des 7 derniers jours, les adultes ont-ils réduit la taille de leur repas ou les ont-ils sauté?</v>
      </c>
      <c r="L2261" s="113" t="str">
        <f t="shared" si="282"/>
        <v>418. A cikin kwanaki 7 na ƙarshe, ko manyan gidanku sun rage yawan abincin da suka saba ci ko sun tsallake shi?</v>
      </c>
    </row>
    <row r="2262">
      <c r="A2262" s="170" t="s">
        <v>238</v>
      </c>
      <c r="B2262" s="171" t="s">
        <v>5106</v>
      </c>
      <c r="C2262" s="76" t="s">
        <v>3711</v>
      </c>
      <c r="D2262" s="76" t="s">
        <v>3712</v>
      </c>
      <c r="E2262" s="76" t="s">
        <v>3714</v>
      </c>
      <c r="F2262" s="110">
        <v>419.0</v>
      </c>
      <c r="G2262" s="113" t="str">
        <f>IFERROR(__xludf.DUMMYFUNCTION("TRIM(REGEXREPLACE(C2262, ""[0-9]+[a-f]?\."", """"))"),"How many days?")</f>
        <v>How many days?</v>
      </c>
      <c r="H2262" s="113" t="str">
        <f>IFERROR(__xludf.DUMMYFUNCTION("TRIM(REGEXREPLACE(D2262, ""[0-9]+[a-f]?\."", """"))"),"Pendant combien de jours?")</f>
        <v>Pendant combien de jours?</v>
      </c>
      <c r="I2262" s="113" t="str">
        <f>IFERROR(__xludf.DUMMYFUNCTION("TRIM(REGEXREPLACE(E2262, ""[0-9]+[a-f]?\."", """"))"),"Tsawon kwanaki nawa?")</f>
        <v>Tsawon kwanaki nawa?</v>
      </c>
      <c r="J2262" s="113" t="str">
        <f t="shared" si="280"/>
        <v>419. How many days?</v>
      </c>
      <c r="K2262" s="113" t="str">
        <f t="shared" si="281"/>
        <v>419. Pendant combien de jours?</v>
      </c>
      <c r="L2262" s="113" t="str">
        <f t="shared" si="282"/>
        <v>419. Tsawon kwanaki nawa?</v>
      </c>
    </row>
    <row r="2263">
      <c r="A2263" s="170" t="s">
        <v>238</v>
      </c>
      <c r="B2263" s="171" t="s">
        <v>5110</v>
      </c>
      <c r="C2263" s="76" t="s">
        <v>3719</v>
      </c>
      <c r="D2263" s="76" t="s">
        <v>3720</v>
      </c>
      <c r="E2263" s="76" t="s">
        <v>3721</v>
      </c>
      <c r="F2263" s="110">
        <v>420.0</v>
      </c>
      <c r="G2263" s="113" t="str">
        <f>IFERROR(__xludf.DUMMYFUNCTION("TRIM(REGEXREPLACE(C2263, ""[0-9]+[a-f]?\."", """"))"),"In the past week how many days have adults in your household consumed animal protein (including fish, meat, poultry)?")</f>
        <v>In the past week how many days have adults in your household consumed animal protein (including fish, meat, poultry)?</v>
      </c>
      <c r="H2263" s="113" t="str">
        <f>IFERROR(__xludf.DUMMYFUNCTION("TRIM(REGEXREPLACE(D2263,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263" s="113" t="str">
        <f>IFERROR(__xludf.DUMMYFUNCTION("TRIM(REGEXREPLACE(E2263, ""[0-9]+[a-f]?\."", """"))"),"A cikin kwanaki 7 da suka wuce sau nawa manyan gidanku suka ci abinci masu gina jiki kamar su kifi ko nama ko kaji?")</f>
        <v>A cikin kwanaki 7 da suka wuce sau nawa manyan gidanku suka ci abinci masu gina jiki kamar su kifi ko nama ko kaji?</v>
      </c>
      <c r="J2263" s="113" t="str">
        <f t="shared" si="280"/>
        <v>420. In the past week how many days have adults in your household consumed animal protein (including fish, meat, poultry)?</v>
      </c>
      <c r="K2263" s="113" t="str">
        <f t="shared" si="281"/>
        <v>420. Au cours des 7 derniers jours, combien de fois les adultes de votre ménage ont-ils consommé des protéines animales (y compris poisson, viande, volaille) ?</v>
      </c>
      <c r="L2263" s="113" t="str">
        <f t="shared" si="282"/>
        <v>420. A cikin kwanaki 7 da suka wuce sau nawa manyan gidanku suka ci abinci masu gina jiki kamar su kifi ko nama ko kaji?</v>
      </c>
    </row>
    <row r="2264">
      <c r="A2264" s="114" t="s">
        <v>680</v>
      </c>
      <c r="B2264" s="165" t="s">
        <v>5112</v>
      </c>
      <c r="C2264" s="76" t="s">
        <v>3727</v>
      </c>
      <c r="D2264" s="76" t="s">
        <v>3728</v>
      </c>
      <c r="E2264" s="76" t="s">
        <v>3729</v>
      </c>
      <c r="F2264" s="110">
        <v>421.0</v>
      </c>
      <c r="G2264" s="113" t="str">
        <f>IFERROR(__xludf.DUMMYFUNCTION("TRIM(REGEXREPLACE(C2264, ""[0-9]+[a-f]?\."", """"))"),"In the last 7 days, have children (&lt;14) gone a whole day without meals?")</f>
        <v>In the last 7 days, have children (&lt;14) gone a whole day without meals?</v>
      </c>
      <c r="H2264" s="113" t="str">
        <f>IFERROR(__xludf.DUMMYFUNCTION("TRIM(REGEXREPLACE(D2264, ""[0-9]+[a-f]?\."", """"))"),"Au cours des 7 derniers jours, des enfants (&lt;14) ont-ils passé une journée entière sans manger de repas ?")</f>
        <v>Au cours des 7 derniers jours, des enfants (&lt;14) ont-ils passé une journée entière sans manger de repas ?</v>
      </c>
      <c r="I2264" s="113" t="str">
        <f>IFERROR(__xludf.DUMMYFUNCTION("TRIM(REGEXREPLACE(E2264, ""[0-9]+[a-f]?\."", """"))"),"A cikin kwanaki 7 na ƙarshe, ko yara ƴan ƙasa da shekara goma sha huɗu sun zauna tsawon wuni guda ba su ci da abinci ba?")</f>
        <v>A cikin kwanaki 7 na ƙarshe, ko yara ƴan ƙasa da shekara goma sha huɗu sun zauna tsawon wuni guda ba su ci da abinci ba?</v>
      </c>
      <c r="J2264" s="113" t="str">
        <f t="shared" si="280"/>
        <v>421. In the last 7 days, have children (&lt;14) gone a whole day without meals?</v>
      </c>
      <c r="K2264" s="113" t="str">
        <f t="shared" si="281"/>
        <v>421. Au cours des 7 derniers jours, des enfants (&lt;14) ont-ils passé une journée entière sans manger de repas ?</v>
      </c>
      <c r="L2264" s="113" t="str">
        <f t="shared" si="282"/>
        <v>421. A cikin kwanaki 7 na ƙarshe, ko yara ƴan ƙasa da shekara goma sha huɗu sun zauna tsawon wuni guda ba su ci da abinci ba?</v>
      </c>
    </row>
    <row r="2265">
      <c r="A2265" s="170" t="s">
        <v>238</v>
      </c>
      <c r="B2265" s="171" t="s">
        <v>5116</v>
      </c>
      <c r="C2265" s="76" t="s">
        <v>3622</v>
      </c>
      <c r="D2265" s="76" t="s">
        <v>3623</v>
      </c>
      <c r="E2265" s="76" t="s">
        <v>5117</v>
      </c>
      <c r="F2265" s="110">
        <v>422.0</v>
      </c>
      <c r="G2265" s="113" t="str">
        <f>IFERROR(__xludf.DUMMYFUNCTION("TRIM(REGEXREPLACE(C2265, ""[0-9]+[a-f]?\."", """"))"),"How many days?")</f>
        <v>How many days?</v>
      </c>
      <c r="H2265" s="113" t="str">
        <f>IFERROR(__xludf.DUMMYFUNCTION("TRIM(REGEXREPLACE(D2265, ""[0-9]+[a-f]?\."", """"))"),"Pendant combien de jours?")</f>
        <v>Pendant combien de jours?</v>
      </c>
      <c r="I2265" s="113" t="str">
        <f>IFERROR(__xludf.DUMMYFUNCTION("TRIM(REGEXREPLACE(E2265, ""[0-9]+[a-f]?\."", """"))"),"154a Tsawon kwanaki nawa?")</f>
        <v>154a Tsawon kwanaki nawa?</v>
      </c>
      <c r="J2265" s="113" t="str">
        <f t="shared" si="280"/>
        <v>422. How many days?</v>
      </c>
      <c r="K2265" s="113" t="str">
        <f t="shared" si="281"/>
        <v>422. Pendant combien de jours?</v>
      </c>
      <c r="L2265" s="113" t="str">
        <f t="shared" si="282"/>
        <v>422. 154a Tsawon kwanaki nawa?</v>
      </c>
    </row>
    <row r="2266">
      <c r="A2266" s="114" t="s">
        <v>680</v>
      </c>
      <c r="B2266" s="165" t="s">
        <v>5119</v>
      </c>
      <c r="C2266" s="76" t="s">
        <v>5121</v>
      </c>
      <c r="D2266" s="76" t="s">
        <v>5122</v>
      </c>
      <c r="E2266" s="76" t="s">
        <v>5123</v>
      </c>
      <c r="F2266" s="110">
        <v>423.0</v>
      </c>
      <c r="G2266" s="113" t="str">
        <f>IFERROR(__xludf.DUMMYFUNCTION("TRIM(REGEXREPLACE(C2266, ""[0-9]+[a-f]?\."", """"))"),"In the last 7 days, have children (&lt;14) cut the size of meals or skipped meals?")</f>
        <v>In the last 7 days, have children (&lt;14) cut the size of meals or skipped meals?</v>
      </c>
      <c r="H2266" s="113" t="str">
        <f>IFERROR(__xludf.DUMMYFUNCTION("TRIM(REGEXREPLACE(D2266, ""[0-9]+[a-f]?\."", """"))"),"Au cours des 7 derniers jours, des enfants (&lt;14) ont-ils réduit la taille de leurs repas ou les ont-ils sauté?")</f>
        <v>Au cours des 7 derniers jours, des enfants (&lt;14) ont-ils réduit la taille de leurs repas ou les ont-ils sauté?</v>
      </c>
      <c r="I2266" s="113" t="str">
        <f>IFERROR(__xludf.DUMMYFUNCTION("TRIM(REGEXREPLACE(E2266, ""[0-9]+[a-f]?\."", """"))"),"A cikin kwanaki 7 na ƙarshe, suna da yara (&lt;14) sun rage yawan abinci ko sun rasa gaba ɗaya?")</f>
        <v>A cikin kwanaki 7 na ƙarshe, suna da yara (&lt;14) sun rage yawan abinci ko sun rasa gaba ɗaya?</v>
      </c>
      <c r="J2266" s="113" t="str">
        <f t="shared" si="280"/>
        <v>423. In the last 7 days, have children (&lt;14) cut the size of meals or skipped meals?</v>
      </c>
      <c r="K2266" s="113" t="str">
        <f t="shared" si="281"/>
        <v>423. Au cours des 7 derniers jours, des enfants (&lt;14) ont-ils réduit la taille de leurs repas ou les ont-ils sauté?</v>
      </c>
      <c r="L2266" s="113" t="str">
        <f t="shared" si="282"/>
        <v>423. A cikin kwanaki 7 na ƙarshe, suna da yara (&lt;14) sun rage yawan abinci ko sun rasa gaba ɗaya?</v>
      </c>
    </row>
    <row r="2267">
      <c r="A2267" s="170" t="s">
        <v>238</v>
      </c>
      <c r="B2267" s="171" t="s">
        <v>5124</v>
      </c>
      <c r="C2267" s="76" t="s">
        <v>5125</v>
      </c>
      <c r="D2267" s="76" t="s">
        <v>5126</v>
      </c>
      <c r="E2267" s="76" t="s">
        <v>5127</v>
      </c>
      <c r="F2267" s="110">
        <v>424.0</v>
      </c>
      <c r="G2267" s="113" t="str">
        <f>IFERROR(__xludf.DUMMYFUNCTION("TRIM(REGEXREPLACE(C2267, ""[0-9]+[a-f]?\."", """"))"),"How many days?")</f>
        <v>How many days?</v>
      </c>
      <c r="H2267" s="113" t="str">
        <f>IFERROR(__xludf.DUMMYFUNCTION("TRIM(REGEXREPLACE(D2267, ""[0-9]+[a-f]?\."", """"))"),"Pendant combien de jours?")</f>
        <v>Pendant combien de jours?</v>
      </c>
      <c r="I2267" s="113" t="str">
        <f>IFERROR(__xludf.DUMMYFUNCTION("TRIM(REGEXREPLACE(E2267, ""[0-9]+[a-f]?\."", """"))"),"155a Tsawon kwanaki nawa?")</f>
        <v>155a Tsawon kwanaki nawa?</v>
      </c>
      <c r="J2267" s="113" t="str">
        <f t="shared" si="280"/>
        <v>424. How many days?</v>
      </c>
      <c r="K2267" s="113" t="str">
        <f t="shared" si="281"/>
        <v>424. Pendant combien de jours?</v>
      </c>
      <c r="L2267" s="113" t="str">
        <f t="shared" si="282"/>
        <v>424. 155a Tsawon kwanaki nawa?</v>
      </c>
    </row>
    <row r="2268">
      <c r="A2268" s="170" t="s">
        <v>238</v>
      </c>
      <c r="B2268" s="171" t="s">
        <v>5131</v>
      </c>
      <c r="C2268" s="76" t="s">
        <v>5132</v>
      </c>
      <c r="D2268" s="76" t="s">
        <v>5133</v>
      </c>
      <c r="E2268" s="76" t="s">
        <v>5134</v>
      </c>
      <c r="F2268" s="110">
        <v>425.0</v>
      </c>
      <c r="G2268" s="113" t="str">
        <f>IFERROR(__xludf.DUMMYFUNCTION("TRIM(REGEXREPLACE(C2268, ""[0-9]+[a-f]?\."", """"))"),"In the past week how many days have children in your household consumed animal protein (inlcuding fish, meat, poultry)?")</f>
        <v>In the past week how many days have children in your household consumed animal protein (inlcuding fish, meat, poultry)?</v>
      </c>
      <c r="H2268" s="113" t="str">
        <f>IFERROR(__xludf.DUMMYFUNCTION("TRIM(REGEXREPLACE(D2268,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268" s="113" t="str">
        <f>IFERROR(__xludf.DUMMYFUNCTION("TRIM(REGEXREPLACE(E2268, ""[0-9]+[a-f]?\."", """"))"),"A cikin kwanaki 7 da suka gabata sau nawa yara a cikin gidanku suka ci abinci masu gina jiki kamar su kifi, nama, kaji ?")</f>
        <v>A cikin kwanaki 7 da suka gabata sau nawa yara a cikin gidanku suka ci abinci masu gina jiki kamar su kifi, nama, kaji ?</v>
      </c>
      <c r="J2268" s="113" t="str">
        <f t="shared" si="280"/>
        <v>425. In the past week how many days have children in your household consumed animal protein (inlcuding fish, meat, poultry)?</v>
      </c>
      <c r="K2268" s="113" t="str">
        <f t="shared" si="281"/>
        <v>425. Au cours des 7 derniers jours, combien de fois les enfants de votre ménage ont-ils consommé des protéines animales (y compris poisson, viande, volaille) ?</v>
      </c>
      <c r="L2268" s="113" t="str">
        <f t="shared" si="282"/>
        <v>425. A cikin kwanaki 7 da suka gabata sau nawa yara a cikin gidanku suka ci abinci masu gina jiki kamar su kifi, nama, kaji ?</v>
      </c>
    </row>
    <row r="2269" hidden="1">
      <c r="A2269" s="131" t="s">
        <v>150</v>
      </c>
      <c r="B2269" s="164" t="s">
        <v>5137</v>
      </c>
      <c r="C2269" s="133"/>
      <c r="D2269" s="133"/>
      <c r="E2269" s="133"/>
    </row>
    <row r="2270" hidden="1">
      <c r="A2270" s="80" t="s">
        <v>115</v>
      </c>
      <c r="B2270" s="81" t="s">
        <v>5138</v>
      </c>
      <c r="C2270" s="82"/>
      <c r="D2270" s="83"/>
      <c r="E2270" s="83"/>
    </row>
    <row r="2271" hidden="1">
      <c r="A2271" s="203"/>
      <c r="B2271" s="204"/>
      <c r="C2271" s="204" t="s">
        <v>50</v>
      </c>
      <c r="D2271" s="204" t="s">
        <v>50</v>
      </c>
      <c r="E2271" s="204" t="s">
        <v>50</v>
      </c>
    </row>
    <row r="2272" hidden="1">
      <c r="A2272" s="150" t="s">
        <v>161</v>
      </c>
      <c r="B2272" s="82" t="s">
        <v>5139</v>
      </c>
      <c r="C2272" s="82"/>
      <c r="D2272" s="83"/>
      <c r="E2272" s="83"/>
    </row>
    <row r="2273" hidden="1">
      <c r="A2273" s="131" t="s">
        <v>150</v>
      </c>
      <c r="B2273" s="164" t="s">
        <v>5142</v>
      </c>
      <c r="C2273" s="133"/>
      <c r="D2273" s="133"/>
      <c r="E2273" s="133"/>
    </row>
    <row r="2274">
      <c r="A2274" s="114" t="s">
        <v>1477</v>
      </c>
      <c r="B2274" s="165" t="s">
        <v>5144</v>
      </c>
      <c r="C2274" s="76" t="s">
        <v>5145</v>
      </c>
      <c r="D2274" s="76" t="s">
        <v>5146</v>
      </c>
      <c r="E2274" s="76" t="s">
        <v>5147</v>
      </c>
      <c r="F2274" s="110">
        <v>426.0</v>
      </c>
      <c r="G2274" s="113" t="str">
        <f>IFERROR(__xludf.DUMMYFUNCTION("TRIM(REGEXREPLACE(C2274, ""[0-9]+[a-f]?\."", """"))"),"Has your household spent money on the following types of expenses in the past month?")</f>
        <v>Has your household spent money on the following types of expenses in the past month?</v>
      </c>
      <c r="H2274" s="113" t="str">
        <f>IFERROR(__xludf.DUMMYFUNCTION("TRIM(REGEXREPLACE(D2274, ""[0-9]+[a-f]?\."", """"))"),"Votre ménage a-t-il dépensé de l'argent pour les types de dépenses suivants au cours du dernier mois ?")</f>
        <v>Votre ménage a-t-il dépensé de l'argent pour les types de dépenses suivants au cours du dernier mois ?</v>
      </c>
      <c r="I2274" s="113" t="str">
        <f>IFERROR(__xludf.DUMMYFUNCTION("TRIM(REGEXREPLACE(E2274, ""[0-9]+[a-f]?\."", """"))"),"Shin gidanku ya kashe kuɗi akan irin waɗannan abubuwan a cikin watan da ya gabata?")</f>
        <v>Shin gidanku ya kashe kuɗi akan irin waɗannan abubuwan a cikin watan da ya gabata?</v>
      </c>
      <c r="J2274" s="113" t="str">
        <f>F2274 &amp; ". " &amp;G2274</f>
        <v>426. Has your household spent money on the following types of expenses in the past month?</v>
      </c>
      <c r="K2274" s="113" t="str">
        <f>F2274 &amp; ". " &amp;H2274</f>
        <v>426. Votre ménage a-t-il dépensé de l'argent pour les types de dépenses suivants au cours du dernier mois ?</v>
      </c>
      <c r="L2274" s="113" t="str">
        <f>F2274 &amp; ". " &amp;I2274</f>
        <v>426. Shin gidanku ya kashe kuɗi akan irin waɗannan abubuwan a cikin watan da ya gabata?</v>
      </c>
    </row>
    <row r="2275" hidden="1">
      <c r="A2275" s="167" t="s">
        <v>807</v>
      </c>
      <c r="B2275" s="168" t="s">
        <v>5148</v>
      </c>
      <c r="C2275" s="168" t="s">
        <v>1497</v>
      </c>
      <c r="D2275" s="169" t="s">
        <v>1499</v>
      </c>
      <c r="E2275" s="169" t="s">
        <v>1500</v>
      </c>
    </row>
    <row r="2276" hidden="1">
      <c r="A2276" s="131" t="s">
        <v>115</v>
      </c>
      <c r="B2276" s="132" t="s">
        <v>5152</v>
      </c>
      <c r="C2276" s="133" t="s">
        <v>1508</v>
      </c>
      <c r="D2276" s="133" t="s">
        <v>1510</v>
      </c>
      <c r="E2276" s="133" t="s">
        <v>1511</v>
      </c>
    </row>
    <row r="2277">
      <c r="A2277" s="170" t="s">
        <v>238</v>
      </c>
      <c r="B2277" s="171" t="s">
        <v>5153</v>
      </c>
      <c r="C2277" s="76" t="s">
        <v>3781</v>
      </c>
      <c r="D2277" s="76" t="s">
        <v>3783</v>
      </c>
      <c r="E2277" s="76" t="s">
        <v>3785</v>
      </c>
      <c r="F2277" s="110">
        <v>427.0</v>
      </c>
      <c r="G2277" s="113" t="str">
        <f>IFERROR(__xludf.DUMMYFUNCTION("TRIM(REGEXREPLACE(C2277, ""[0-9]+[a-f]?\."", """"))"),"How much did your household spend on ${hoh_item} in the past month (in CFA)?")</f>
        <v>How much did your household spend on ${hoh_item} in the past month (in CFA)?</v>
      </c>
      <c r="H2277" s="113" t="str">
        <f>IFERROR(__xludf.DUMMYFUNCTION("TRIM(REGEXREPLACE(D2277, ""[0-9]+[a-f]?\."", """"))"),"Combien votre ménage a-t-il dépensé pour ${hoh_item} au cours du dernier mois (en CFA) ?")</f>
        <v>Combien votre ménage a-t-il dépensé pour ${hoh_item} au cours du dernier mois (en CFA) ?</v>
      </c>
      <c r="I2277" s="113" t="str">
        <f>IFERROR(__xludf.DUMMYFUNCTION("TRIM(REGEXREPLACE(E2277, ""[0-9]+[a-f]?\."", """"))"),"Nawa ne (a CFA) gidanku ya kashe akan ${hoh_item} cikin watan da ya gabata ?")</f>
        <v>Nawa ne (a CFA) gidanku ya kashe akan ${hoh_item} cikin watan da ya gabata ?</v>
      </c>
      <c r="J2277" s="113" t="str">
        <f>F2277 &amp; ". " &amp;G2277</f>
        <v>427. How much did your household spend on ${hoh_item} in the past month (in CFA)?</v>
      </c>
      <c r="K2277" s="113" t="str">
        <f>F2277 &amp; ". " &amp;H2277</f>
        <v>427. Combien votre ménage a-t-il dépensé pour ${hoh_item} au cours du dernier mois (en CFA) ?</v>
      </c>
      <c r="L2277" s="113" t="str">
        <f>F2277 &amp; ". " &amp;I2277</f>
        <v>427. Nawa ne (a CFA) gidanku ya kashe akan ${hoh_item} cikin watan da ya gabata ?</v>
      </c>
    </row>
    <row r="2278" hidden="1">
      <c r="A2278" s="167" t="s">
        <v>842</v>
      </c>
      <c r="B2278" s="169" t="s">
        <v>5148</v>
      </c>
      <c r="C2278" s="169" t="s">
        <v>1497</v>
      </c>
      <c r="D2278" s="169" t="s">
        <v>1499</v>
      </c>
      <c r="E2278" s="169" t="s">
        <v>1500</v>
      </c>
    </row>
    <row r="2279">
      <c r="A2279" s="114" t="s">
        <v>1552</v>
      </c>
      <c r="B2279" s="165" t="s">
        <v>5158</v>
      </c>
      <c r="C2279" s="76" t="s">
        <v>3788</v>
      </c>
      <c r="D2279" s="76" t="s">
        <v>3789</v>
      </c>
      <c r="E2279" s="76" t="s">
        <v>3790</v>
      </c>
      <c r="F2279" s="110">
        <v>428.0</v>
      </c>
      <c r="G2279" s="113" t="str">
        <f>IFERROR(__xludf.DUMMYFUNCTION("TRIM(REGEXREPLACE(C2279, ""[0-9]+[a-f]?\."", """"))"),"Has your household spent money on the following types of expenses in the past week?")</f>
        <v>Has your household spent money on the following types of expenses in the past week?</v>
      </c>
      <c r="H2279" s="113" t="str">
        <f>IFERROR(__xludf.DUMMYFUNCTION("TRIM(REGEXREPLACE(D2279, ""[0-9]+[a-f]?\."", """"))"),"Votre ménage a-t-il dépensé de l'argent pour les types de dépenses suivants au cours de la semaine dernière ?")</f>
        <v>Votre ménage a-t-il dépensé de l'argent pour les types de dépenses suivants au cours de la semaine dernière ?</v>
      </c>
      <c r="I2279" s="113" t="str">
        <f>IFERROR(__xludf.DUMMYFUNCTION("TRIM(REGEXREPLACE(E2279, ""[0-9]+[a-f]?\."", """"))"),"Ko gidanku sun kashe kuɗi akan ire iren waɗannan abubuwan a cikin satin da ya gabata?")</f>
        <v>Ko gidanku sun kashe kuɗi akan ire iren waɗannan abubuwan a cikin satin da ya gabata?</v>
      </c>
      <c r="J2279" s="113" t="str">
        <f>F2279 &amp; ". " &amp;G2279</f>
        <v>428. Has your household spent money on the following types of expenses in the past week?</v>
      </c>
      <c r="K2279" s="113" t="str">
        <f>F2279 &amp; ". " &amp;H2279</f>
        <v>428. Votre ménage a-t-il dépensé de l'argent pour les types de dépenses suivants au cours de la semaine dernière ?</v>
      </c>
      <c r="L2279" s="113" t="str">
        <f>F2279 &amp; ". " &amp;I2279</f>
        <v>428. Ko gidanku sun kashe kuɗi akan ire iren waɗannan abubuwan a cikin satin da ya gabata?</v>
      </c>
    </row>
    <row r="2280" hidden="1">
      <c r="A2280" s="167" t="s">
        <v>807</v>
      </c>
      <c r="B2280" s="168" t="s">
        <v>5161</v>
      </c>
      <c r="C2280" s="168" t="s">
        <v>1568</v>
      </c>
      <c r="D2280" s="169" t="s">
        <v>1569</v>
      </c>
      <c r="E2280" s="169" t="s">
        <v>1571</v>
      </c>
    </row>
    <row r="2281" hidden="1">
      <c r="A2281" s="131" t="s">
        <v>115</v>
      </c>
      <c r="B2281" s="132" t="s">
        <v>5162</v>
      </c>
      <c r="C2281" s="133" t="s">
        <v>1579</v>
      </c>
      <c r="D2281" s="133" t="s">
        <v>1580</v>
      </c>
      <c r="E2281" s="133" t="s">
        <v>1581</v>
      </c>
    </row>
    <row r="2282">
      <c r="A2282" s="170" t="s">
        <v>238</v>
      </c>
      <c r="B2282" s="171" t="s">
        <v>5163</v>
      </c>
      <c r="C2282" s="76" t="s">
        <v>3793</v>
      </c>
      <c r="D2282" s="76" t="s">
        <v>3794</v>
      </c>
      <c r="E2282" s="76" t="s">
        <v>3795</v>
      </c>
      <c r="F2282" s="110">
        <v>429.0</v>
      </c>
      <c r="G2282" s="113" t="str">
        <f>IFERROR(__xludf.DUMMYFUNCTION("TRIM(REGEXREPLACE(C2282, ""[0-9]+[a-f]?\."", """"))"),"How much did your household spend on ${hoh_item_week} in the past week (in CFA)?")</f>
        <v>How much did your household spend on ${hoh_item_week} in the past week (in CFA)?</v>
      </c>
      <c r="H2282" s="113" t="str">
        <f>IFERROR(__xludf.DUMMYFUNCTION("TRIM(REGEXREPLACE(D2282, ""[0-9]+[a-f]?\."", """"))"),"Combien votre ménage a-t-il dépensé en ${hoh_item_week} la semaine dernière (en CFA) ?")</f>
        <v>Combien votre ménage a-t-il dépensé en ${hoh_item_week} la semaine dernière (en CFA) ?</v>
      </c>
      <c r="I2282" s="113" t="str">
        <f>IFERROR(__xludf.DUMMYFUNCTION("TRIM(REGEXREPLACE(E2282, ""[0-9]+[a-f]?\."", """"))"),"Nawa ne gidan ku ya kashe (a CFA) a ${hoh_item_week} satin da ya gabata ?")</f>
        <v>Nawa ne gidan ku ya kashe (a CFA) a ${hoh_item_week} satin da ya gabata ?</v>
      </c>
      <c r="J2282" s="113" t="str">
        <f>F2282 &amp; ". " &amp;G2282</f>
        <v>429. How much did your household spend on ${hoh_item_week} in the past week (in CFA)?</v>
      </c>
      <c r="K2282" s="113" t="str">
        <f>F2282 &amp; ". " &amp;H2282</f>
        <v>429. Combien votre ménage a-t-il dépensé en ${hoh_item_week} la semaine dernière (en CFA) ?</v>
      </c>
      <c r="L2282" s="113" t="str">
        <f>F2282 &amp; ". " &amp;I2282</f>
        <v>429. Nawa ne gidan ku ya kashe (a CFA) a ${hoh_item_week} satin da ya gabata ?</v>
      </c>
    </row>
    <row r="2283" hidden="1">
      <c r="A2283" s="167" t="s">
        <v>842</v>
      </c>
      <c r="B2283" s="169" t="s">
        <v>5161</v>
      </c>
      <c r="C2283" s="169" t="s">
        <v>1568</v>
      </c>
      <c r="D2283" s="169" t="s">
        <v>1569</v>
      </c>
      <c r="E2283" s="169" t="s">
        <v>1571</v>
      </c>
    </row>
    <row r="2284" hidden="1">
      <c r="A2284" s="150" t="s">
        <v>161</v>
      </c>
      <c r="B2284" s="81" t="s">
        <v>5164</v>
      </c>
      <c r="C2284" s="82"/>
      <c r="D2284" s="83"/>
      <c r="E2284" s="83"/>
    </row>
    <row r="2285">
      <c r="A2285" s="114" t="s">
        <v>680</v>
      </c>
      <c r="B2285" s="165" t="s">
        <v>5165</v>
      </c>
      <c r="C2285" s="76" t="s">
        <v>5166</v>
      </c>
      <c r="D2285" s="76" t="s">
        <v>5167</v>
      </c>
      <c r="E2285" s="76" t="s">
        <v>5168</v>
      </c>
      <c r="F2285" s="110">
        <v>430.0</v>
      </c>
      <c r="G2285" s="113" t="str">
        <f>IFERROR(__xludf.DUMMYFUNCTION("TRIM(REGEXREPLACE(C2285, ""[0-9]+[a-f]?\."", """"))"),"For Ramadan, did your household purchase any of the following?")</f>
        <v>For Ramadan, did your household purchase any of the following?</v>
      </c>
      <c r="H2285" s="113" t="str">
        <f>IFERROR(__xludf.DUMMYFUNCTION("TRIM(REGEXREPLACE(D2285, ""[0-9]+[a-f]?\."", """"))"),"Pour le Ramadan, votre ménage a-t-il acheté l'un des produits suivants ?")</f>
        <v>Pour le Ramadan, votre ménage a-t-il acheté l'un des produits suivants ?</v>
      </c>
      <c r="I2285" s="113" t="str">
        <f>IFERROR(__xludf.DUMMYFUNCTION("TRIM(REGEXREPLACE(E2285, ""[0-9]+[a-f]?\."", """"))"),"Ga watan azumi, gidanku ya sayi ɗaya daga cikin wadannan?")</f>
        <v>Ga watan azumi, gidanku ya sayi ɗaya daga cikin wadannan?</v>
      </c>
      <c r="J2285" s="113" t="str">
        <f t="shared" ref="J2285:J2289" si="283">F2285 &amp; ". " &amp;G2285</f>
        <v>430. For Ramadan, did your household purchase any of the following?</v>
      </c>
      <c r="K2285" s="113" t="str">
        <f t="shared" ref="K2285:K2289" si="284">F2285 &amp; ". " &amp;H2285</f>
        <v>430. Pour le Ramadan, votre ménage a-t-il acheté l'un des produits suivants ?</v>
      </c>
      <c r="L2285" s="113" t="str">
        <f t="shared" ref="L2285:L2289" si="285">F2285 &amp; ". " &amp;I2285</f>
        <v>430. Ga watan azumi, gidanku ya sayi ɗaya daga cikin wadannan?</v>
      </c>
    </row>
    <row r="2286">
      <c r="A2286" s="114" t="s">
        <v>680</v>
      </c>
      <c r="B2286" s="165" t="s">
        <v>5169</v>
      </c>
      <c r="C2286" s="76" t="s">
        <v>5170</v>
      </c>
      <c r="D2286" s="76" t="s">
        <v>5172</v>
      </c>
      <c r="E2286" s="76" t="s">
        <v>5173</v>
      </c>
      <c r="F2286" s="110">
        <v>431.0</v>
      </c>
      <c r="G2286" s="113" t="str">
        <f>IFERROR(__xludf.DUMMYFUNCTION("TRIM(REGEXREPLACE(C2286, ""[0-9]+[a-f]?\."", """"))"),"Clothing")</f>
        <v>Clothing</v>
      </c>
      <c r="H2286" s="113" t="str">
        <f>IFERROR(__xludf.DUMMYFUNCTION("TRIM(REGEXREPLACE(D2286, ""[0-9]+[a-f]?\."", """"))"),"Vêtements")</f>
        <v>Vêtements</v>
      </c>
      <c r="I2286" s="113" t="str">
        <f>IFERROR(__xludf.DUMMYFUNCTION("TRIM(REGEXREPLACE(E2286, ""[0-9]+[a-f]?\."", """"))"),"Tufafi")</f>
        <v>Tufafi</v>
      </c>
      <c r="J2286" s="113" t="str">
        <f t="shared" si="283"/>
        <v>431. Clothing</v>
      </c>
      <c r="K2286" s="113" t="str">
        <f t="shared" si="284"/>
        <v>431. Vêtements</v>
      </c>
      <c r="L2286" s="113" t="str">
        <f t="shared" si="285"/>
        <v>431. Tufafi</v>
      </c>
    </row>
    <row r="2287">
      <c r="A2287" s="114" t="s">
        <v>680</v>
      </c>
      <c r="B2287" s="165" t="s">
        <v>5174</v>
      </c>
      <c r="C2287" s="76" t="s">
        <v>5175</v>
      </c>
      <c r="D2287" s="76" t="s">
        <v>5176</v>
      </c>
      <c r="E2287" s="76" t="s">
        <v>5177</v>
      </c>
      <c r="F2287" s="110">
        <v>432.0</v>
      </c>
      <c r="G2287" s="113" t="str">
        <f>IFERROR(__xludf.DUMMYFUNCTION("TRIM(REGEXREPLACE(C2287, ""[0-9]+[a-f]?\."", """"))"),"Sheep")</f>
        <v>Sheep</v>
      </c>
      <c r="H2287" s="113" t="str">
        <f>IFERROR(__xludf.DUMMYFUNCTION("TRIM(REGEXREPLACE(D2287, ""[0-9]+[a-f]?\."", """"))"),"Mouton")</f>
        <v>Mouton</v>
      </c>
      <c r="I2287" s="113" t="str">
        <f>IFERROR(__xludf.DUMMYFUNCTION("TRIM(REGEXREPLACE(E2287, ""[0-9]+[a-f]?\."", """"))"),"Rago")</f>
        <v>Rago</v>
      </c>
      <c r="J2287" s="113" t="str">
        <f t="shared" si="283"/>
        <v>432. Sheep</v>
      </c>
      <c r="K2287" s="113" t="str">
        <f t="shared" si="284"/>
        <v>432. Mouton</v>
      </c>
      <c r="L2287" s="113" t="str">
        <f t="shared" si="285"/>
        <v>432. Rago</v>
      </c>
    </row>
    <row r="2288">
      <c r="A2288" s="114" t="s">
        <v>680</v>
      </c>
      <c r="B2288" s="165" t="s">
        <v>5178</v>
      </c>
      <c r="C2288" s="76" t="s">
        <v>3836</v>
      </c>
      <c r="D2288" s="76" t="s">
        <v>3838</v>
      </c>
      <c r="E2288" s="76" t="s">
        <v>3839</v>
      </c>
      <c r="F2288" s="110">
        <v>433.0</v>
      </c>
      <c r="G2288" s="113" t="str">
        <f>IFERROR(__xludf.DUMMYFUNCTION("TRIM(REGEXREPLACE(C2288, ""[0-9]+[a-f]?\."", """"))"),"Goat")</f>
        <v>Goat</v>
      </c>
      <c r="H2288" s="113" t="str">
        <f>IFERROR(__xludf.DUMMYFUNCTION("TRIM(REGEXREPLACE(D2288, ""[0-9]+[a-f]?\."", """"))"),"Chèvre")</f>
        <v>Chèvre</v>
      </c>
      <c r="I2288" s="113" t="str">
        <f>IFERROR(__xludf.DUMMYFUNCTION("TRIM(REGEXREPLACE(E2288, ""[0-9]+[a-f]?\."", """"))"),"Akuya")</f>
        <v>Akuya</v>
      </c>
      <c r="J2288" s="113" t="str">
        <f t="shared" si="283"/>
        <v>433. Goat</v>
      </c>
      <c r="K2288" s="113" t="str">
        <f t="shared" si="284"/>
        <v>433. Chèvre</v>
      </c>
      <c r="L2288" s="113" t="str">
        <f t="shared" si="285"/>
        <v>433. Akuya</v>
      </c>
    </row>
    <row r="2289">
      <c r="A2289" s="114" t="s">
        <v>680</v>
      </c>
      <c r="B2289" s="165" t="s">
        <v>5182</v>
      </c>
      <c r="C2289" s="76" t="s">
        <v>3841</v>
      </c>
      <c r="D2289" s="76" t="s">
        <v>3842</v>
      </c>
      <c r="E2289" s="76" t="s">
        <v>3843</v>
      </c>
      <c r="F2289" s="110">
        <v>434.0</v>
      </c>
      <c r="G2289" s="113" t="str">
        <f>IFERROR(__xludf.DUMMYFUNCTION("TRIM(REGEXREPLACE(C2289, ""[0-9]+[a-f]?\."", """"))"),"Poultry")</f>
        <v>Poultry</v>
      </c>
      <c r="H2289" s="113" t="str">
        <f>IFERROR(__xludf.DUMMYFUNCTION("TRIM(REGEXREPLACE(D2289, ""[0-9]+[a-f]?\."", """"))"),"Volaille")</f>
        <v>Volaille</v>
      </c>
      <c r="I2289" s="113" t="str">
        <f>IFERROR(__xludf.DUMMYFUNCTION("TRIM(REGEXREPLACE(E2289, ""[0-9]+[a-f]?\."", """"))"),"Kaji")</f>
        <v>Kaji</v>
      </c>
      <c r="J2289" s="113" t="str">
        <f t="shared" si="283"/>
        <v>434. Poultry</v>
      </c>
      <c r="K2289" s="113" t="str">
        <f t="shared" si="284"/>
        <v>434. Volaille</v>
      </c>
      <c r="L2289" s="113" t="str">
        <f t="shared" si="285"/>
        <v>434. Kaji</v>
      </c>
    </row>
    <row r="2290" hidden="1">
      <c r="A2290" s="150" t="s">
        <v>343</v>
      </c>
      <c r="B2290" s="81" t="s">
        <v>5164</v>
      </c>
      <c r="C2290" s="83"/>
      <c r="D2290" s="83"/>
      <c r="E2290" s="83"/>
    </row>
    <row r="2291" hidden="1">
      <c r="A2291" s="150" t="s">
        <v>343</v>
      </c>
      <c r="B2291" s="83" t="s">
        <v>5139</v>
      </c>
      <c r="C2291" s="83"/>
      <c r="D2291" s="83"/>
      <c r="E2291" s="83"/>
    </row>
    <row r="2292" hidden="1">
      <c r="A2292" s="131" t="s">
        <v>150</v>
      </c>
      <c r="B2292" s="164" t="s">
        <v>5183</v>
      </c>
      <c r="C2292" s="133"/>
      <c r="D2292" s="133"/>
      <c r="E2292" s="133"/>
    </row>
    <row r="2293" hidden="1">
      <c r="A2293" s="80" t="s">
        <v>115</v>
      </c>
      <c r="B2293" s="81" t="s">
        <v>5184</v>
      </c>
      <c r="C2293" s="82"/>
      <c r="D2293" s="83"/>
      <c r="E2293" s="83"/>
    </row>
    <row r="2294" hidden="1">
      <c r="A2294" s="150" t="s">
        <v>343</v>
      </c>
      <c r="B2294" s="83" t="s">
        <v>4032</v>
      </c>
      <c r="C2294" s="83"/>
      <c r="D2294" s="84"/>
      <c r="E2294" s="84"/>
    </row>
    <row r="2295" hidden="1">
      <c r="A2295" s="150" t="s">
        <v>343</v>
      </c>
      <c r="B2295" s="150" t="s">
        <v>2986</v>
      </c>
      <c r="C2295" s="83" t="s">
        <v>2990</v>
      </c>
      <c r="D2295" s="84"/>
      <c r="E2295" s="84"/>
    </row>
    <row r="2296" hidden="1">
      <c r="A2296" s="80" t="s">
        <v>150</v>
      </c>
      <c r="B2296" s="81" t="s">
        <v>5185</v>
      </c>
      <c r="C2296" s="82"/>
      <c r="D2296" s="83"/>
      <c r="E2296" s="83"/>
    </row>
    <row r="2297" hidden="1">
      <c r="A2297" s="80" t="s">
        <v>115</v>
      </c>
      <c r="B2297" s="81" t="s">
        <v>5188</v>
      </c>
      <c r="C2297" s="82"/>
      <c r="D2297" s="83"/>
      <c r="E2297" s="83"/>
    </row>
    <row r="2298" hidden="1">
      <c r="A2298" s="75" t="s">
        <v>343</v>
      </c>
      <c r="B2298" s="75" t="s">
        <v>643</v>
      </c>
      <c r="C2298" s="46"/>
      <c r="D2298" s="45"/>
      <c r="E2298" s="45"/>
    </row>
    <row r="2299" hidden="1">
      <c r="A2299" s="45"/>
      <c r="B2299" s="45"/>
      <c r="C2299" s="46"/>
      <c r="D2299" s="45"/>
      <c r="E2299" s="45"/>
    </row>
    <row r="2300" hidden="1">
      <c r="A2300" s="97"/>
      <c r="B2300" s="97"/>
      <c r="C2300" s="204"/>
      <c r="D2300" s="97"/>
      <c r="E2300" s="97"/>
    </row>
    <row r="2301" hidden="1">
      <c r="A2301" s="84" t="s">
        <v>161</v>
      </c>
      <c r="B2301" s="86" t="s">
        <v>5192</v>
      </c>
      <c r="C2301" s="82" t="s">
        <v>5193</v>
      </c>
      <c r="D2301" s="84" t="s">
        <v>5194</v>
      </c>
      <c r="E2301" s="84" t="s">
        <v>5195</v>
      </c>
    </row>
    <row r="2302" hidden="1">
      <c r="A2302" s="80" t="s">
        <v>150</v>
      </c>
      <c r="B2302" s="81" t="s">
        <v>5196</v>
      </c>
      <c r="C2302" s="82"/>
      <c r="D2302" s="83"/>
      <c r="E2302" s="83"/>
    </row>
    <row r="2303">
      <c r="A2303" s="176" t="s">
        <v>44</v>
      </c>
      <c r="B2303" s="290" t="s">
        <v>5197</v>
      </c>
      <c r="C2303" s="76" t="s">
        <v>3887</v>
      </c>
      <c r="D2303" s="76" t="s">
        <v>3888</v>
      </c>
      <c r="E2303" s="76" t="s">
        <v>3890</v>
      </c>
      <c r="F2303" s="110">
        <v>435.0</v>
      </c>
      <c r="G2303" s="113" t="str">
        <f>IFERROR(__xludf.DUMMYFUNCTION("TRIM(REGEXREPLACE(C2303, ""[0-9]+[a-f]?\."", """"))"),"As I mentioned at the beginning of our interview, we would like to stay in touch with you.")</f>
        <v>As I mentioned at the beginning of our interview, we would like to stay in touch with you.</v>
      </c>
      <c r="H2303" s="113" t="str">
        <f>IFERROR(__xludf.DUMMYFUNCTION("TRIM(REGEXREPLACE(D2303, ""[0-9]+[a-f]?\."", """"))"),"Comme je l'ai mentionné au début de notre entretien, nous aimerions rester en contact avec vous.")</f>
        <v>Comme je l'ai mentionné au début de notre entretien, nous aimerions rester en contact avec vous.</v>
      </c>
      <c r="I2303" s="113" t="str">
        <f>IFERROR(__xludf.DUMMYFUNCTION("TRIM(REGEXREPLACE(E2303, ""[0-9]+[a-f]?\."", """"))"),"Kamar yadda na faɗa a farkon hirarmu, muna son mu ci gaba da tuntuɓar ku.")</f>
        <v>Kamar yadda na faɗa a farkon hirarmu, muna son mu ci gaba da tuntuɓar ku.</v>
      </c>
      <c r="J2303" s="113" t="str">
        <f t="shared" ref="J2303:J2315" si="286">F2303 &amp; ". " &amp;G2303</f>
        <v>435. As I mentioned at the beginning of our interview, we would like to stay in touch with you.</v>
      </c>
      <c r="K2303" s="113" t="str">
        <f t="shared" ref="K2303:K2315" si="287">F2303 &amp; ". " &amp;H2303</f>
        <v>435. Comme je l'ai mentionné au début de notre entretien, nous aimerions rester en contact avec vous.</v>
      </c>
      <c r="L2303" s="113" t="str">
        <f t="shared" ref="L2303:L2315" si="288">F2303 &amp; ". " &amp;I2303</f>
        <v>435. Kamar yadda na faɗa a farkon hirarmu, muna son mu ci gaba da tuntuɓar ku.</v>
      </c>
    </row>
    <row r="2304">
      <c r="A2304" s="182" t="s">
        <v>217</v>
      </c>
      <c r="B2304" s="183" t="s">
        <v>5202</v>
      </c>
      <c r="C2304" s="76" t="s">
        <v>3893</v>
      </c>
      <c r="D2304" s="76" t="s">
        <v>3894</v>
      </c>
      <c r="E2304" s="76" t="s">
        <v>3895</v>
      </c>
      <c r="F2304" s="110">
        <v>436.0</v>
      </c>
      <c r="G2304" s="113" t="str">
        <f>IFERROR(__xludf.DUMMYFUNCTION("TRIM(REGEXREPLACE(C2304, ""[0-9]+[a-f]?\."", """"))"),"What is the phone number where we can reach you?")</f>
        <v>What is the phone number where we can reach you?</v>
      </c>
      <c r="H2304" s="113" t="str">
        <f>IFERROR(__xludf.DUMMYFUNCTION("TRIM(REGEXREPLACE(D2304, ""[0-9]+[a-f]?\."", """"))"),"Quel est le numéro de téléphone auquel nous pouvons vous joindre?")</f>
        <v>Quel est le numéro de téléphone auquel nous pouvons vous joindre?</v>
      </c>
      <c r="I2304" s="113" t="str">
        <f>IFERROR(__xludf.DUMMYFUNCTION("TRIM(REGEXREPLACE(E2304, ""[0-9]+[a-f]?\."", """"))"),"Wace lambar waya ce zamu iya samun ku da ita?")</f>
        <v>Wace lambar waya ce zamu iya samun ku da ita?</v>
      </c>
      <c r="J2304" s="113" t="str">
        <f t="shared" si="286"/>
        <v>436. What is the phone number where we can reach you?</v>
      </c>
      <c r="K2304" s="113" t="str">
        <f t="shared" si="287"/>
        <v>436. Quel est le numéro de téléphone auquel nous pouvons vous joindre?</v>
      </c>
      <c r="L2304" s="113" t="str">
        <f t="shared" si="288"/>
        <v>436. Wace lambar waya ce zamu iya samun ku da ita?</v>
      </c>
    </row>
    <row r="2305">
      <c r="A2305" s="118" t="s">
        <v>541</v>
      </c>
      <c r="B2305" s="120" t="s">
        <v>5205</v>
      </c>
      <c r="C2305" s="76" t="s">
        <v>5206</v>
      </c>
      <c r="D2305" s="76" t="s">
        <v>5207</v>
      </c>
      <c r="E2305" s="76" t="s">
        <v>5208</v>
      </c>
      <c r="F2305" s="110">
        <v>437.0</v>
      </c>
      <c r="G2305" s="113" t="str">
        <f>IFERROR(__xludf.DUMMYFUNCTION("TRIM(REGEXREPLACE(C2305, ""[0-9]+[a-f]?\."", """"))"),"I am going to read back the phone number you just shared with me. Can you confirm this is your primary phone number? ${primary_phone}")</f>
        <v>I am going to read back the phone number you just shared with me. Can you confirm this is your primary phone number? ${primary_phone}</v>
      </c>
      <c r="H2305" s="113" t="str">
        <f>IFERROR(__xludf.DUMMYFUNCTION("TRIM(REGEXREPLACE(D2305,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2305" s="113" t="str">
        <f>IFERROR(__xludf.DUMMYFUNCTION("TRIM(REGEXREPLACE(E2305, ""[0-9]+[a-f]?\."", """"))"),"Zan sake karanta lambar wayar da kuka bani. Zaku iya tabbatar mini da wannan itace lambar wayarku ta farko? ${primary_phone}")</f>
        <v>Zan sake karanta lambar wayar da kuka bani. Zaku iya tabbatar mini da wannan itace lambar wayarku ta farko? ${primary_phone}</v>
      </c>
      <c r="J2305" s="113" t="str">
        <f t="shared" si="286"/>
        <v>437. I am going to read back the phone number you just shared with me. Can you confirm this is your primary phone number? ${primary_phone}</v>
      </c>
      <c r="K2305" s="113" t="str">
        <f t="shared" si="287"/>
        <v>437. Je vais relire le numéro de téléphone que vous venez de me donner. Pouvez-vous confirmer qu'il s'agit de votre numéro de téléphone principal ? ${primary_phone}</v>
      </c>
      <c r="L2305" s="113" t="str">
        <f t="shared" si="288"/>
        <v>437. Zan sake karanta lambar wayar da kuka bani. Zaku iya tabbatar mini da wannan itace lambar wayarku ta farko? ${primary_phone}</v>
      </c>
    </row>
    <row r="2306">
      <c r="A2306" s="176" t="s">
        <v>44</v>
      </c>
      <c r="B2306" s="290" t="s">
        <v>5209</v>
      </c>
      <c r="C2306" s="76" t="s">
        <v>5210</v>
      </c>
      <c r="D2306" s="76" t="s">
        <v>5211</v>
      </c>
      <c r="E2306" s="76" t="s">
        <v>5212</v>
      </c>
      <c r="F2306" s="110">
        <v>438.0</v>
      </c>
      <c r="G2306" s="113" t="str">
        <f>IFERROR(__xludf.DUMMYFUNCTION("TRIM(REGEXREPLACE(C2306, ""[0-9]+[a-f]?\."", """"))"),"Please go back and correct the number.")</f>
        <v>Please go back and correct the number.</v>
      </c>
      <c r="H2306" s="113" t="str">
        <f>IFERROR(__xludf.DUMMYFUNCTION("TRIM(REGEXREPLACE(D2306, ""[0-9]+[a-f]?\."", """"))"),"Veuillez revenir en arrière pour corriger le numéro.")</f>
        <v>Veuillez revenir en arrière pour corriger le numéro.</v>
      </c>
      <c r="I2306" s="113" t="str">
        <f>IFERROR(__xludf.DUMMYFUNCTION("TRIM(REGEXREPLACE(E2306, ""[0-9]+[a-f]?\."", """"))"),"ko za ka koma baya ka gyara lambar.")</f>
        <v>ko za ka koma baya ka gyara lambar.</v>
      </c>
      <c r="J2306" s="113" t="str">
        <f t="shared" si="286"/>
        <v>438. Please go back and correct the number.</v>
      </c>
      <c r="K2306" s="113" t="str">
        <f t="shared" si="287"/>
        <v>438. Veuillez revenir en arrière pour corriger le numéro.</v>
      </c>
      <c r="L2306" s="113" t="str">
        <f t="shared" si="288"/>
        <v>438. ko za ka koma baya ka gyara lambar.</v>
      </c>
    </row>
    <row r="2307">
      <c r="A2307" s="118" t="s">
        <v>5213</v>
      </c>
      <c r="B2307" s="120" t="s">
        <v>5214</v>
      </c>
      <c r="C2307" s="76" t="s">
        <v>5215</v>
      </c>
      <c r="D2307" s="76" t="s">
        <v>5217</v>
      </c>
      <c r="E2307" s="76" t="s">
        <v>5218</v>
      </c>
      <c r="F2307" s="110">
        <v>439.0</v>
      </c>
      <c r="G2307" s="113" t="str">
        <f>IFERROR(__xludf.DUMMYFUNCTION("TRIM(REGEXREPLACE(C2307, ""[0-9]+[a-f]?\."", """"))"),"I am going to call this phone number to confirm it is correct.")</f>
        <v>I am going to call this phone number to confirm it is correct.</v>
      </c>
      <c r="H2307" s="113" t="str">
        <f>IFERROR(__xludf.DUMMYFUNCTION("TRIM(REGEXREPLACE(D2307, ""[0-9]+[a-f]?\."", """"))"),"Je vais appeler ce numéro de téléphone pour confirmer qu'il est correct.")</f>
        <v>Je vais appeler ce numéro de téléphone pour confirmer qu'il est correct.</v>
      </c>
      <c r="I2307" s="113" t="str">
        <f>IFERROR(__xludf.DUMMYFUNCTION("TRIM(REGEXREPLACE(E2307, ""[0-9]+[a-f]?\."", """"))"),"Zan kirayi wannan lambar don tabbatar da cewa daidai ce.")</f>
        <v>Zan kirayi wannan lambar don tabbatar da cewa daidai ce.</v>
      </c>
      <c r="J2307" s="113" t="str">
        <f t="shared" si="286"/>
        <v>439. I am going to call this phone number to confirm it is correct.</v>
      </c>
      <c r="K2307" s="113" t="str">
        <f t="shared" si="287"/>
        <v>439. Je vais appeler ce numéro de téléphone pour confirmer qu'il est correct.</v>
      </c>
      <c r="L2307" s="113" t="str">
        <f t="shared" si="288"/>
        <v>439. Zan kirayi wannan lambar don tabbatar da cewa daidai ce.</v>
      </c>
    </row>
    <row r="2308">
      <c r="A2308" s="176" t="s">
        <v>44</v>
      </c>
      <c r="B2308" s="290" t="s">
        <v>5219</v>
      </c>
      <c r="C2308" s="76" t="s">
        <v>5220</v>
      </c>
      <c r="D2308" s="76" t="s">
        <v>5221</v>
      </c>
      <c r="E2308" s="76" t="s">
        <v>5222</v>
      </c>
      <c r="F2308" s="110">
        <v>440.0</v>
      </c>
      <c r="G2308" s="113" t="str">
        <f>IFERROR(__xludf.DUMMYFUNCTION("TRIM(REGEXREPLACE(C2308, ""[0-9]+[a-f]?\."", """"))"),"Please go back and enter a new phone number.")</f>
        <v>Please go back and enter a new phone number.</v>
      </c>
      <c r="H2308" s="113" t="str">
        <f>IFERROR(__xludf.DUMMYFUNCTION("TRIM(REGEXREPLACE(D2308, ""[0-9]+[a-f]?\."", """"))"),"Veuillez revenir en arrière pour entrer un nouveau numéro de téléphone.")</f>
        <v>Veuillez revenir en arrière pour entrer un nouveau numéro de téléphone.</v>
      </c>
      <c r="I2308" s="113" t="str">
        <f>IFERROR(__xludf.DUMMYFUNCTION("TRIM(REGEXREPLACE(E2308, ""[0-9]+[a-f]?\."", """"))"),"Ko za ka koma baya ka shigar da sabuwar lambar waya.")</f>
        <v>Ko za ka koma baya ka shigar da sabuwar lambar waya.</v>
      </c>
      <c r="J2308" s="113" t="str">
        <f t="shared" si="286"/>
        <v>440. Please go back and enter a new phone number.</v>
      </c>
      <c r="K2308" s="113" t="str">
        <f t="shared" si="287"/>
        <v>440. Veuillez revenir en arrière pour entrer un nouveau numéro de téléphone.</v>
      </c>
      <c r="L2308" s="113" t="str">
        <f t="shared" si="288"/>
        <v>440. Ko za ka koma baya ka shigar da sabuwar lambar waya.</v>
      </c>
    </row>
    <row r="2309">
      <c r="A2309" s="118" t="s">
        <v>541</v>
      </c>
      <c r="B2309" s="120" t="s">
        <v>5223</v>
      </c>
      <c r="C2309" s="76" t="s">
        <v>5224</v>
      </c>
      <c r="D2309" s="76" t="s">
        <v>5225</v>
      </c>
      <c r="E2309" s="76" t="s">
        <v>5226</v>
      </c>
      <c r="F2309" s="110">
        <v>441.0</v>
      </c>
      <c r="G2309" s="113" t="str">
        <f>IFERROR(__xludf.DUMMYFUNCTION("TRIM(REGEXREPLACE(C2309, ""[0-9]+[a-f]?\."", """"))"),"Do you have a Whatsapp account/ phone number you use for WhatsApp?")</f>
        <v>Do you have a Whatsapp account/ phone number you use for WhatsApp?</v>
      </c>
      <c r="H2309" s="113" t="str">
        <f>IFERROR(__xludf.DUMMYFUNCTION("TRIM(REGEXREPLACE(D2309, ""[0-9]+[a-f]?\."", """"))"),"Avez-vous un compte/numéro de téléphone Whatsapp que vous utilisez pour WhatsApp ?")</f>
        <v>Avez-vous un compte/numéro de téléphone Whatsapp que vous utilisez pour WhatsApp ?</v>
      </c>
      <c r="I2309" s="113" t="str">
        <f>IFERROR(__xludf.DUMMYFUNCTION("TRIM(REGEXREPLACE(E2309, ""[0-9]+[a-f]?\."", """"))"),"Kuna yin WhatsApp / lambar wayar da kuke amfani da ita ta WhatsApp ce?")</f>
        <v>Kuna yin WhatsApp / lambar wayar da kuke amfani da ita ta WhatsApp ce?</v>
      </c>
      <c r="J2309" s="113" t="str">
        <f t="shared" si="286"/>
        <v>441. Do you have a Whatsapp account/ phone number you use for WhatsApp?</v>
      </c>
      <c r="K2309" s="113" t="str">
        <f t="shared" si="287"/>
        <v>441. Avez-vous un compte/numéro de téléphone Whatsapp que vous utilisez pour WhatsApp ?</v>
      </c>
      <c r="L2309" s="113" t="str">
        <f t="shared" si="288"/>
        <v>441. Kuna yin WhatsApp / lambar wayar da kuke amfani da ita ta WhatsApp ce?</v>
      </c>
    </row>
    <row r="2310">
      <c r="A2310" s="118" t="s">
        <v>541</v>
      </c>
      <c r="B2310" s="120" t="s">
        <v>5227</v>
      </c>
      <c r="C2310" s="76" t="s">
        <v>5228</v>
      </c>
      <c r="D2310" s="76" t="s">
        <v>5229</v>
      </c>
      <c r="E2310" s="76" t="s">
        <v>5230</v>
      </c>
      <c r="F2310" s="110">
        <v>442.0</v>
      </c>
      <c r="G2310" s="113" t="str">
        <f>IFERROR(__xludf.DUMMYFUNCTION("TRIM(REGEXREPLACE(C2310, ""[0-9]+[a-f]?\."", """"))"),"Is this the phone number you use for whatsapp?")</f>
        <v>Is this the phone number you use for whatsapp?</v>
      </c>
      <c r="H2310" s="113" t="str">
        <f>IFERROR(__xludf.DUMMYFUNCTION("TRIM(REGEXREPLACE(D2310, ""[0-9]+[a-f]?\."", """"))"),"Est-ce le numéro de téléphone que vous utilisez pour WhatsApp ?")</f>
        <v>Est-ce le numéro de téléphone que vous utilisez pour WhatsApp ?</v>
      </c>
      <c r="I2310" s="113" t="str">
        <f>IFERROR(__xludf.DUMMYFUNCTION("TRIM(REGEXREPLACE(E2310, ""[0-9]+[a-f]?\."", """"))"),"Wannan ita ce lambar wayar da kuke amfani da ita don yin whatsapp?")</f>
        <v>Wannan ita ce lambar wayar da kuke amfani da ita don yin whatsapp?</v>
      </c>
      <c r="J2310" s="113" t="str">
        <f t="shared" si="286"/>
        <v>442. Is this the phone number you use for whatsapp?</v>
      </c>
      <c r="K2310" s="113" t="str">
        <f t="shared" si="287"/>
        <v>442. Est-ce le numéro de téléphone que vous utilisez pour WhatsApp ?</v>
      </c>
      <c r="L2310" s="113" t="str">
        <f t="shared" si="288"/>
        <v>442. Wannan ita ce lambar wayar da kuke amfani da ita don yin whatsapp?</v>
      </c>
    </row>
    <row r="2311">
      <c r="A2311" s="182" t="s">
        <v>217</v>
      </c>
      <c r="B2311" s="183" t="s">
        <v>5232</v>
      </c>
      <c r="C2311" s="76" t="s">
        <v>5233</v>
      </c>
      <c r="D2311" s="76" t="s">
        <v>5234</v>
      </c>
      <c r="E2311" s="76" t="s">
        <v>5235</v>
      </c>
      <c r="F2311" s="110">
        <v>443.0</v>
      </c>
      <c r="G2311" s="113" t="str">
        <f>IFERROR(__xludf.DUMMYFUNCTION("TRIM(REGEXREPLACE(C2311, ""[0-9]+[a-f]?\."", """"))"),"Please tell me the phone number you use for Whatsapp")</f>
        <v>Please tell me the phone number you use for Whatsapp</v>
      </c>
      <c r="H2311" s="113" t="str">
        <f>IFERROR(__xludf.DUMMYFUNCTION("TRIM(REGEXREPLACE(D2311, ""[0-9]+[a-f]?\."", """"))"),"Veuillez me dire le numéro de téléphone que vous utilisez pour Whatsapp")</f>
        <v>Veuillez me dire le numéro de téléphone que vous utilisez pour Whatsapp</v>
      </c>
      <c r="I2311" s="113" t="str">
        <f>IFERROR(__xludf.DUMMYFUNCTION("TRIM(REGEXREPLACE(E2311, ""[0-9]+[a-f]?\."", """"))"),"Don Allah ku gaya mini lambar wayar da kuke amfani da ita don yin Whatsapp")</f>
        <v>Don Allah ku gaya mini lambar wayar da kuke amfani da ita don yin Whatsapp</v>
      </c>
      <c r="J2311" s="113" t="str">
        <f t="shared" si="286"/>
        <v>443. Please tell me the phone number you use for Whatsapp</v>
      </c>
      <c r="K2311" s="113" t="str">
        <f t="shared" si="287"/>
        <v>443. Veuillez me dire le numéro de téléphone que vous utilisez pour Whatsapp</v>
      </c>
      <c r="L2311" s="113" t="str">
        <f t="shared" si="288"/>
        <v>443. Don Allah ku gaya mini lambar wayar da kuke amfani da ita don yin Whatsapp</v>
      </c>
    </row>
    <row r="2312">
      <c r="A2312" s="118" t="s">
        <v>541</v>
      </c>
      <c r="B2312" s="120" t="s">
        <v>5236</v>
      </c>
      <c r="C2312" s="76" t="s">
        <v>3944</v>
      </c>
      <c r="D2312" s="76" t="s">
        <v>3945</v>
      </c>
      <c r="E2312" s="76" t="s">
        <v>3946</v>
      </c>
      <c r="F2312" s="110">
        <v>444.0</v>
      </c>
      <c r="G2312" s="113" t="str">
        <f>IFERROR(__xludf.DUMMYFUNCTION("TRIM(REGEXREPLACE(C2312,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2312" s="113" t="str">
        <f>IFERROR(__xludf.DUMMYFUNCTION("TRIM(REGEXREPLACE(D2312,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2312" s="113" t="str">
        <f>IFERROR(__xludf.DUMMYFUNCTION("TRIM(REGEXREPLACE(E2312,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2312" s="113" t="str">
        <f t="shared" si="286"/>
        <v>444. I am going read back the phone number you just shared with me as your Whatsapp number. Is this the phone number you use for whatsapp? ${phone_whatsapp_number}</v>
      </c>
      <c r="K2312" s="113" t="str">
        <f t="shared" si="287"/>
        <v>444. Je vais relire le numéro de téléphone que vous nous avez donné comme votre numéro Whatsapp. Est-ce le numéro de téléphone que vous utilisez pour WhatsApp ? ${phone_whatsapp_number}</v>
      </c>
      <c r="L2312" s="113" t="str">
        <f t="shared" si="288"/>
        <v>444. Zan sake karanta lambar wayar da kuka bani a zaman lambar Whatsapp dinku. Wannan shine lambar wayar da kuke amfani da ita don yin whatsapp? ${phone_whatsapp_number}</v>
      </c>
    </row>
    <row r="2313">
      <c r="A2313" s="176" t="s">
        <v>44</v>
      </c>
      <c r="B2313" s="290" t="s">
        <v>5237</v>
      </c>
      <c r="C2313" s="76" t="s">
        <v>3947</v>
      </c>
      <c r="D2313" s="76" t="s">
        <v>3948</v>
      </c>
      <c r="E2313" s="76" t="s">
        <v>3949</v>
      </c>
      <c r="F2313" s="110">
        <v>445.0</v>
      </c>
      <c r="G2313" s="113" t="str">
        <f>IFERROR(__xludf.DUMMYFUNCTION("TRIM(REGEXREPLACE(C2313, ""[0-9]+[a-f]?\."", """"))"),"Please go back and correct the number.")</f>
        <v>Please go back and correct the number.</v>
      </c>
      <c r="H2313" s="113" t="str">
        <f>IFERROR(__xludf.DUMMYFUNCTION("TRIM(REGEXREPLACE(D2313, ""[0-9]+[a-f]?\."", """"))"),"Veuillez revenir en arrière pour corriger le numéro.")</f>
        <v>Veuillez revenir en arrière pour corriger le numéro.</v>
      </c>
      <c r="I2313" s="113" t="str">
        <f>IFERROR(__xludf.DUMMYFUNCTION("TRIM(REGEXREPLACE(E2313, ""[0-9]+[a-f]?\."", """"))"),"Da fatan za ka koma baya ka gyara lambar.")</f>
        <v>Da fatan za ka koma baya ka gyara lambar.</v>
      </c>
      <c r="J2313" s="113" t="str">
        <f t="shared" si="286"/>
        <v>445. Please go back and correct the number.</v>
      </c>
      <c r="K2313" s="113" t="str">
        <f t="shared" si="287"/>
        <v>445. Veuillez revenir en arrière pour corriger le numéro.</v>
      </c>
      <c r="L2313" s="113" t="str">
        <f t="shared" si="288"/>
        <v>445. Da fatan za ka koma baya ka gyara lambar.</v>
      </c>
    </row>
    <row r="2314">
      <c r="A2314" s="118" t="s">
        <v>541</v>
      </c>
      <c r="B2314" s="120" t="s">
        <v>5239</v>
      </c>
      <c r="C2314" s="76" t="s">
        <v>3953</v>
      </c>
      <c r="D2314" s="76" t="s">
        <v>3955</v>
      </c>
      <c r="E2314" s="76" t="s">
        <v>3957</v>
      </c>
      <c r="F2314" s="110">
        <v>446.0</v>
      </c>
      <c r="G2314" s="113" t="str">
        <f>IFERROR(__xludf.DUMMYFUNCTION("TRIM(REGEXREPLACE(C2314, ""[0-9]+[a-f]?\."", """"))"),"Do you have other phone numbers that you use regularly (i.e. other phone carriers)?")</f>
        <v>Do you have other phone numbers that you use regularly (i.e. other phone carriers)?</v>
      </c>
      <c r="H2314" s="113" t="str">
        <f>IFERROR(__xludf.DUMMYFUNCTION("TRIM(REGEXREPLACE(D2314, ""[0-9]+[a-f]?\."", """"))"),"Avez-vous d'autres numéros de téléphone que vous utilisez régulièrement (c'est-à-dire d'autres opérateurs téléphoniques) ?")</f>
        <v>Avez-vous d'autres numéros de téléphone que vous utilisez régulièrement (c'est-à-dire d'autres opérateurs téléphoniques) ?</v>
      </c>
      <c r="I2314" s="113" t="str">
        <f>IFERROR(__xludf.DUMMYFUNCTION("TRIM(REGEXREPLACE(E2314, ""[0-9]+[a-f]?\."", """"))"),"Ko kuna da wasu lambobin waya waɗanda kuke amfani da su kai-akai (layin wasu gidan wayar salula)?")</f>
        <v>Ko kuna da wasu lambobin waya waɗanda kuke amfani da su kai-akai (layin wasu gidan wayar salula)?</v>
      </c>
      <c r="J2314" s="113" t="str">
        <f t="shared" si="286"/>
        <v>446. Do you have other phone numbers that you use regularly (i.e. other phone carriers)?</v>
      </c>
      <c r="K2314" s="113" t="str">
        <f t="shared" si="287"/>
        <v>446. Avez-vous d'autres numéros de téléphone que vous utilisez régulièrement (c'est-à-dire d'autres opérateurs téléphoniques) ?</v>
      </c>
      <c r="L2314" s="113" t="str">
        <f t="shared" si="288"/>
        <v>446. Ko kuna da wasu lambobin waya waɗanda kuke amfani da su kai-akai (layin wasu gidan wayar salula)?</v>
      </c>
    </row>
    <row r="2315">
      <c r="A2315" s="209" t="s">
        <v>238</v>
      </c>
      <c r="B2315" s="210" t="s">
        <v>5240</v>
      </c>
      <c r="C2315" s="76" t="s">
        <v>3959</v>
      </c>
      <c r="D2315" s="76" t="s">
        <v>3960</v>
      </c>
      <c r="E2315" s="76" t="s">
        <v>3961</v>
      </c>
      <c r="F2315" s="110">
        <v>447.0</v>
      </c>
      <c r="G2315" s="113" t="str">
        <f>IFERROR(__xludf.DUMMYFUNCTION("TRIM(REGEXREPLACE(C2315, ""[0-9]+[a-f]?\."", """"))"),"How many other additional phone numbers?")</f>
        <v>How many other additional phone numbers?</v>
      </c>
      <c r="H2315" s="113" t="str">
        <f>IFERROR(__xludf.DUMMYFUNCTION("TRIM(REGEXREPLACE(D2315, ""[0-9]+[a-f]?\."", """"))"),"Y-a t-il d'autres numéros de téléphone supplémentaires ?")</f>
        <v>Y-a t-il d'autres numéros de téléphone supplémentaires ?</v>
      </c>
      <c r="I2315" s="113" t="str">
        <f>IFERROR(__xludf.DUMMYFUNCTION("TRIM(REGEXREPLACE(E2315, ""[0-9]+[a-f]?\."", """"))"),"220 a. Ko akwai ƙarin wasu lambobin waya?")</f>
        <v>220 a. Ko akwai ƙarin wasu lambobin waya?</v>
      </c>
      <c r="J2315" s="113" t="str">
        <f t="shared" si="286"/>
        <v>447. How many other additional phone numbers?</v>
      </c>
      <c r="K2315" s="113" t="str">
        <f t="shared" si="287"/>
        <v>447. Y-a t-il d'autres numéros de téléphone supplémentaires ?</v>
      </c>
      <c r="L2315" s="113" t="str">
        <f t="shared" si="288"/>
        <v>447. 220 a. Ko akwai ƙarin wasu lambobin waya?</v>
      </c>
    </row>
    <row r="2316" hidden="1">
      <c r="A2316" s="205" t="s">
        <v>807</v>
      </c>
      <c r="B2316" s="207" t="s">
        <v>5241</v>
      </c>
      <c r="C2316" s="168" t="s">
        <v>5242</v>
      </c>
      <c r="D2316" s="205"/>
      <c r="E2316" s="205"/>
    </row>
    <row r="2317">
      <c r="A2317" s="182" t="s">
        <v>217</v>
      </c>
      <c r="B2317" s="183" t="s">
        <v>5243</v>
      </c>
      <c r="C2317" s="76" t="s">
        <v>3968</v>
      </c>
      <c r="D2317" s="76" t="s">
        <v>3969</v>
      </c>
      <c r="E2317" s="76" t="s">
        <v>3970</v>
      </c>
      <c r="F2317" s="110">
        <v>448.0</v>
      </c>
      <c r="G2317" s="113" t="str">
        <f>IFERROR(__xludf.DUMMYFUNCTION("TRIM(REGEXREPLACE(C2317, ""[0-9]+[a-f]?\."", """"))"),"What are these additional phone numbers?")</f>
        <v>What are these additional phone numbers?</v>
      </c>
      <c r="H2317" s="113" t="str">
        <f>IFERROR(__xludf.DUMMYFUNCTION("TRIM(REGEXREPLACE(D2317, ""[0-9]+[a-f]?\."", """"))"),"Quels sont les numéros de téléphone supplémentaires ?")</f>
        <v>Quels sont les numéros de téléphone supplémentaires ?</v>
      </c>
      <c r="I2317" s="113" t="str">
        <f>IFERROR(__xludf.DUMMYFUNCTION("TRIM(REGEXREPLACE(E2317, ""[0-9]+[a-f]?\."", """"))"),"Waɗannene ƙarin lambobin wayan?")</f>
        <v>Waɗannene ƙarin lambobin wayan?</v>
      </c>
      <c r="J2317" s="113" t="str">
        <f>F2317 &amp; ". " &amp;G2317</f>
        <v>448. What are these additional phone numbers?</v>
      </c>
      <c r="K2317" s="113" t="str">
        <f>F2317 &amp; ". " &amp;H2317</f>
        <v>448. Quels sont les numéros de téléphone supplémentaires ?</v>
      </c>
      <c r="L2317" s="113" t="str">
        <f>F2317 &amp; ". " &amp;I2317</f>
        <v>448. Waɗannene ƙarin lambobin wayan?</v>
      </c>
    </row>
    <row r="2318" hidden="1">
      <c r="A2318" s="205" t="s">
        <v>842</v>
      </c>
      <c r="B2318" s="205" t="s">
        <v>5241</v>
      </c>
      <c r="C2318" s="169" t="s">
        <v>5242</v>
      </c>
      <c r="D2318" s="205"/>
      <c r="E2318" s="205"/>
    </row>
    <row r="2319">
      <c r="A2319" s="118" t="s">
        <v>541</v>
      </c>
      <c r="B2319" s="120" t="s">
        <v>5245</v>
      </c>
      <c r="C2319" s="76" t="s">
        <v>5246</v>
      </c>
      <c r="D2319" s="76" t="s">
        <v>5247</v>
      </c>
      <c r="E2319" s="76" t="s">
        <v>5248</v>
      </c>
      <c r="F2319" s="110">
        <v>449.0</v>
      </c>
      <c r="G2319" s="113" t="str">
        <f>IFERROR(__xludf.DUMMYFUNCTION("TRIM(REGEXREPLACE(C2319,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2319" s="113" t="str">
        <f>IFERROR(__xludf.DUMMYFUNCTION("TRIM(REGEXREPLACE(D2319,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2319" s="113" t="str">
        <f>IFERROR(__xludf.DUMMYFUNCTION("TRIM(REGEXREPLACE(E2319,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2319" s="113" t="str">
        <f>F2319 &amp; ". " &amp;G2319</f>
        <v>449.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2319" s="113" t="str">
        <f>F2319 &amp; ". " &amp;H2319</f>
        <v>449.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2319" s="113" t="str">
        <f>F2319 &amp; ". " &amp;I2319</f>
        <v>449. Idan ba za mu iya samun ku ba, ko za ku iya ba mu suna da lambar wayar wani wanda ba na gidanku ba da za mu iya kira don neman lambar ku?
 Za mu kirayi mutumen ne kawai idan bamu sameku ba bayan kira biyu zuwa uku, hakan zai taimaka mana ci gaba da tuntuɓar ku.</v>
      </c>
    </row>
    <row r="2320" hidden="1">
      <c r="A2320" s="84" t="s">
        <v>161</v>
      </c>
      <c r="B2320" s="86" t="s">
        <v>5250</v>
      </c>
      <c r="C2320" s="82" t="s">
        <v>5251</v>
      </c>
      <c r="D2320" s="84"/>
      <c r="E2320" s="84"/>
    </row>
    <row r="2321">
      <c r="A2321" s="182" t="s">
        <v>217</v>
      </c>
      <c r="B2321" s="183" t="s">
        <v>5252</v>
      </c>
      <c r="C2321" s="76" t="s">
        <v>3987</v>
      </c>
      <c r="D2321" s="76" t="s">
        <v>3988</v>
      </c>
      <c r="E2321" s="76" t="s">
        <v>3989</v>
      </c>
      <c r="F2321" s="110">
        <v>450.0</v>
      </c>
      <c r="G2321" s="113" t="str">
        <f>IFERROR(__xludf.DUMMYFUNCTION("TRIM(REGEXREPLACE(C2321, ""[0-9]+[a-f]?\."", """"))"),"What is the last name of this person")</f>
        <v>What is the last name of this person</v>
      </c>
      <c r="H2321" s="113" t="str">
        <f>IFERROR(__xludf.DUMMYFUNCTION("TRIM(REGEXREPLACE(D2321, ""[0-9]+[a-f]?\."", """"))"),"Quel est le nom de cette personne")</f>
        <v>Quel est le nom de cette personne</v>
      </c>
      <c r="I2321" s="113" t="str">
        <f>IFERROR(__xludf.DUMMYFUNCTION("TRIM(REGEXREPLACE(E2321, ""[0-9]+[a-f]?\."", """"))"),"Menene sunan uban wannan mutumen?")</f>
        <v>Menene sunan uban wannan mutumen?</v>
      </c>
      <c r="J2321" s="113" t="str">
        <f t="shared" ref="J2321:J2322" si="289">F2321 &amp; ". " &amp;G2321</f>
        <v>450. What is the last name of this person</v>
      </c>
      <c r="K2321" s="113" t="str">
        <f t="shared" ref="K2321:K2322" si="290">F2321 &amp; ". " &amp;H2321</f>
        <v>450. Quel est le nom de cette personne</v>
      </c>
      <c r="L2321" s="113" t="str">
        <f t="shared" ref="L2321:L2322" si="291">F2321 &amp; ". " &amp;I2321</f>
        <v>450. Menene sunan uban wannan mutumen?</v>
      </c>
    </row>
    <row r="2322">
      <c r="A2322" s="182" t="s">
        <v>217</v>
      </c>
      <c r="B2322" s="183" t="s">
        <v>5253</v>
      </c>
      <c r="C2322" s="76" t="s">
        <v>3992</v>
      </c>
      <c r="D2322" s="76" t="s">
        <v>3993</v>
      </c>
      <c r="E2322" s="76" t="s">
        <v>3994</v>
      </c>
      <c r="F2322" s="110">
        <v>451.0</v>
      </c>
      <c r="G2322" s="113" t="str">
        <f>IFERROR(__xludf.DUMMYFUNCTION("TRIM(REGEXREPLACE(C2322, ""[0-9]+[a-f]?\."", """"))"),"What is the first name of this person")</f>
        <v>What is the first name of this person</v>
      </c>
      <c r="H2322" s="113" t="str">
        <f>IFERROR(__xludf.DUMMYFUNCTION("TRIM(REGEXREPLACE(D2322, ""[0-9]+[a-f]?\."", """"))"),"Quel est le prénom de cette personne")</f>
        <v>Quel est le prénom de cette personne</v>
      </c>
      <c r="I2322" s="113" t="str">
        <f>IFERROR(__xludf.DUMMYFUNCTION("TRIM(REGEXREPLACE(E2322, ""[0-9]+[a-f]?\."", """"))"),"Menene sunan wannan mutumen?")</f>
        <v>Menene sunan wannan mutumen?</v>
      </c>
      <c r="J2322" s="113" t="str">
        <f t="shared" si="289"/>
        <v>451. What is the first name of this person</v>
      </c>
      <c r="K2322" s="113" t="str">
        <f t="shared" si="290"/>
        <v>451. Quel est le prénom de cette personne</v>
      </c>
      <c r="L2322" s="113" t="str">
        <f t="shared" si="291"/>
        <v>451. Menene sunan wannan mutumen?</v>
      </c>
    </row>
    <row r="2323" hidden="1">
      <c r="A2323" s="84" t="s">
        <v>343</v>
      </c>
      <c r="B2323" s="84" t="s">
        <v>5250</v>
      </c>
      <c r="C2323" s="83" t="s">
        <v>5251</v>
      </c>
      <c r="D2323" s="84"/>
      <c r="E2323" s="84"/>
    </row>
    <row r="2324" hidden="1">
      <c r="A2324" s="134" t="s">
        <v>115</v>
      </c>
      <c r="B2324" s="149" t="s">
        <v>5254</v>
      </c>
      <c r="C2324" s="133"/>
      <c r="D2324" s="134"/>
      <c r="E2324" s="134"/>
    </row>
    <row r="2325">
      <c r="A2325" s="182" t="s">
        <v>217</v>
      </c>
      <c r="B2325" s="183" t="s">
        <v>5255</v>
      </c>
      <c r="C2325" s="76" t="s">
        <v>4004</v>
      </c>
      <c r="D2325" s="76" t="s">
        <v>4006</v>
      </c>
      <c r="E2325" s="76" t="s">
        <v>4007</v>
      </c>
      <c r="F2325" s="110">
        <v>452.0</v>
      </c>
      <c r="G2325" s="113" t="str">
        <f>IFERROR(__xludf.DUMMYFUNCTION("TRIM(REGEXREPLACE(C2325, ""[0-9]+[a-f]?\."", """"))"),"What is their phone number?")</f>
        <v>What is their phone number?</v>
      </c>
      <c r="H2325" s="113" t="str">
        <f>IFERROR(__xludf.DUMMYFUNCTION("TRIM(REGEXREPLACE(D2325, ""[0-9]+[a-f]?\."", """"))"),"Quel est leur numéro de téléphone?")</f>
        <v>Quel est leur numéro de téléphone?</v>
      </c>
      <c r="I2325" s="113" t="str">
        <f>IFERROR(__xludf.DUMMYFUNCTION("TRIM(REGEXREPLACE(E2325, ""[0-9]+[a-f]?\."", """"))"),"Menene lambar wayarsu?")</f>
        <v>Menene lambar wayarsu?</v>
      </c>
      <c r="J2325" s="113" t="str">
        <f t="shared" ref="J2325:J2331" si="292">F2325 &amp; ". " &amp;G2325</f>
        <v>452. What is their phone number?</v>
      </c>
      <c r="K2325" s="113" t="str">
        <f t="shared" ref="K2325:K2331" si="293">F2325 &amp; ". " &amp;H2325</f>
        <v>452. Quel est leur numéro de téléphone?</v>
      </c>
      <c r="L2325" s="113" t="str">
        <f t="shared" ref="L2325:L2331" si="294">F2325 &amp; ". " &amp;I2325</f>
        <v>452. Menene lambar wayarsu?</v>
      </c>
    </row>
    <row r="2326">
      <c r="A2326" s="118" t="s">
        <v>2338</v>
      </c>
      <c r="B2326" s="120" t="s">
        <v>5256</v>
      </c>
      <c r="C2326" s="76" t="s">
        <v>4010</v>
      </c>
      <c r="D2326" s="76" t="s">
        <v>4011</v>
      </c>
      <c r="E2326" s="76" t="s">
        <v>4012</v>
      </c>
      <c r="F2326" s="110">
        <v>453.0</v>
      </c>
      <c r="G2326" s="113" t="str">
        <f>IFERROR(__xludf.DUMMYFUNCTION("TRIM(REGEXREPLACE(C2326, ""[0-9]+[a-f]?\."", """"))"),"What is ${secondary_name1}'s relationship to you?")</f>
        <v>What is ${secondary_name1}'s relationship to you?</v>
      </c>
      <c r="H2326" s="113" t="str">
        <f>IFERROR(__xludf.DUMMYFUNCTION("TRIM(REGEXREPLACE(D2326, ""[0-9]+[a-f]?\."", """"))"),"Quelle est la relation entre ${secondary_name1} et vous ?")</f>
        <v>Quelle est la relation entre ${secondary_name1} et vous ?</v>
      </c>
      <c r="I2326" s="113" t="str">
        <f>IFERROR(__xludf.DUMMYFUNCTION("TRIM(REGEXREPLACE(E2326, ""[0-9]+[a-f]?\."", """"))"),"Menene alaƙar ku da ${secondary_name1} ?")</f>
        <v>Menene alaƙar ku da ${secondary_name1} ?</v>
      </c>
      <c r="J2326" s="113" t="str">
        <f t="shared" si="292"/>
        <v>453. What is ${secondary_name1}'s relationship to you?</v>
      </c>
      <c r="K2326" s="113" t="str">
        <f t="shared" si="293"/>
        <v>453. Quelle est la relation entre ${secondary_name1} et vous ?</v>
      </c>
      <c r="L2326" s="113" t="str">
        <f t="shared" si="294"/>
        <v>453. Menene alaƙar ku da ${secondary_name1} ?</v>
      </c>
    </row>
    <row r="2327">
      <c r="A2327" s="118" t="s">
        <v>541</v>
      </c>
      <c r="B2327" s="120" t="s">
        <v>5259</v>
      </c>
      <c r="C2327" s="76" t="s">
        <v>5260</v>
      </c>
      <c r="D2327" s="76" t="s">
        <v>5261</v>
      </c>
      <c r="E2327" s="76" t="s">
        <v>5262</v>
      </c>
      <c r="F2327" s="110">
        <v>454.0</v>
      </c>
      <c r="G2327" s="113" t="str">
        <f>IFERROR(__xludf.DUMMYFUNCTION("TRIM(REGEXREPLACE(C2327, ""[0-9]+[a-f]?\."", """"))"),"Just to confirm, is this the number? 
 ${secondary_name1}
 ${secondary_phone1}")</f>
        <v>Just to confirm, is this the number? 
 ${secondary_name1}
 ${secondary_phone1}</v>
      </c>
      <c r="H2327" s="113" t="str">
        <f>IFERROR(__xludf.DUMMYFUNCTION("TRIM(REGEXREPLACE(D2327, ""[0-9]+[a-f]?\."", """"))"),"Juste pour confirmer, est-ce bien le numéro ?
 ${secondary_name1}
 ${secondary_phone1}")</f>
        <v>Juste pour confirmer, est-ce bien le numéro ?
 ${secondary_name1}
 ${secondary_phone1}</v>
      </c>
      <c r="I2327" s="113" t="str">
        <f>IFERROR(__xludf.DUMMYFUNCTION("TRIM(REGEXREPLACE(E2327, ""[0-9]+[a-f]?\."", """"))"),"Don tabbatarwa kawai, da wannan itace lambar?
 ${secondary_name1}
 ${secondary_phone1}")</f>
        <v>Don tabbatarwa kawai, da wannan itace lambar?
 ${secondary_name1}
 ${secondary_phone1}</v>
      </c>
      <c r="J2327" s="113" t="str">
        <f t="shared" si="292"/>
        <v>454. Just to confirm, is this the number? 
 ${secondary_name1}
 ${secondary_phone1}</v>
      </c>
      <c r="K2327" s="113" t="str">
        <f t="shared" si="293"/>
        <v>454. Juste pour confirmer, est-ce bien le numéro ?
 ${secondary_name1}
 ${secondary_phone1}</v>
      </c>
      <c r="L2327" s="113" t="str">
        <f t="shared" si="294"/>
        <v>454. Don tabbatarwa kawai, da wannan itace lambar?
 ${secondary_name1}
 ${secondary_phone1}</v>
      </c>
    </row>
    <row r="2328">
      <c r="A2328" s="176" t="s">
        <v>44</v>
      </c>
      <c r="B2328" s="290" t="s">
        <v>5263</v>
      </c>
      <c r="C2328" s="76" t="s">
        <v>4022</v>
      </c>
      <c r="D2328" s="76" t="s">
        <v>4023</v>
      </c>
      <c r="E2328" s="76" t="s">
        <v>4024</v>
      </c>
      <c r="F2328" s="110">
        <v>455.0</v>
      </c>
      <c r="G2328" s="113" t="str">
        <f>IFERROR(__xludf.DUMMYFUNCTION("TRIM(REGEXREPLACE(C2328, ""[0-9]+[a-f]?\."", """"))"),"Please go back and correct the name and phone number.")</f>
        <v>Please go back and correct the name and phone number.</v>
      </c>
      <c r="H2328" s="113" t="str">
        <f>IFERROR(__xludf.DUMMYFUNCTION("TRIM(REGEXREPLACE(D2328, ""[0-9]+[a-f]?\."", """"))"),"Veuillez revenir en arrière et corriger le nom et le numéro de téléphone.")</f>
        <v>Veuillez revenir en arrière et corriger le nom et le numéro de téléphone.</v>
      </c>
      <c r="I2328" s="113" t="str">
        <f>IFERROR(__xludf.DUMMYFUNCTION("TRIM(REGEXREPLACE(E2328, ""[0-9]+[a-f]?\."", """"))"),"Da fatan za ka koma baya don ka gyara suna da lambar waya.")</f>
        <v>Da fatan za ka koma baya don ka gyara suna da lambar waya.</v>
      </c>
      <c r="J2328" s="113" t="str">
        <f t="shared" si="292"/>
        <v>455. Please go back and correct the name and phone number.</v>
      </c>
      <c r="K2328" s="113" t="str">
        <f t="shared" si="293"/>
        <v>455. Veuillez revenir en arrière et corriger le nom et le numéro de téléphone.</v>
      </c>
      <c r="L2328" s="113" t="str">
        <f t="shared" si="294"/>
        <v>455. Da fatan za ka koma baya don ka gyara suna da lambar waya.</v>
      </c>
    </row>
    <row r="2329">
      <c r="A2329" s="118" t="s">
        <v>5213</v>
      </c>
      <c r="B2329" s="120" t="s">
        <v>5264</v>
      </c>
      <c r="C2329" s="76" t="s">
        <v>4026</v>
      </c>
      <c r="D2329" s="76" t="s">
        <v>4027</v>
      </c>
      <c r="E2329" s="76" t="s">
        <v>4028</v>
      </c>
      <c r="F2329" s="110">
        <v>456.0</v>
      </c>
      <c r="G2329" s="113" t="str">
        <f>IFERROR(__xludf.DUMMYFUNCTION("TRIM(REGEXREPLACE(C2329, ""[0-9]+[a-f]?\."", """"))"),"I am going to call this phone number to confirm it is correct. [Enumerator: Did the phone ring?]")</f>
        <v>I am going to call this phone number to confirm it is correct. [Enumerator: Did the phone ring?]</v>
      </c>
      <c r="H2329" s="113" t="str">
        <f>IFERROR(__xludf.DUMMYFUNCTION("TRIM(REGEXREPLACE(D2329, ""[0-9]+[a-f]?\."", """"))"),"Je vais appeler ce numéro de téléphone pour confirmer qu'il est correct. [Enquêteur : Le téléphone a-t-il sonné ?]")</f>
        <v>Je vais appeler ce numéro de téléphone pour confirmer qu'il est correct. [Enquêteur : Le téléphone a-t-il sonné ?]</v>
      </c>
      <c r="I2329" s="113" t="str">
        <f>IFERROR(__xludf.DUMMYFUNCTION("TRIM(REGEXREPLACE(E2329, ""[0-9]+[a-f]?\."", """"))"),"Zan kirayi wannan lambar wayar don tabbatar da daidai ce. [Ɗan bincike: Wayar ta yi ƙara?]")</f>
        <v>Zan kirayi wannan lambar wayar don tabbatar da daidai ce. [Ɗan bincike: Wayar ta yi ƙara?]</v>
      </c>
      <c r="J2329" s="113" t="str">
        <f t="shared" si="292"/>
        <v>456. I am going to call this phone number to confirm it is correct. [Enumerator: Did the phone ring?]</v>
      </c>
      <c r="K2329" s="113" t="str">
        <f t="shared" si="293"/>
        <v>456. Je vais appeler ce numéro de téléphone pour confirmer qu'il est correct. [Enquêteur : Le téléphone a-t-il sonné ?]</v>
      </c>
      <c r="L2329" s="113" t="str">
        <f t="shared" si="294"/>
        <v>456. Zan kirayi wannan lambar wayar don tabbatar da daidai ce. [Ɗan bincike: Wayar ta yi ƙara?]</v>
      </c>
    </row>
    <row r="2330">
      <c r="A2330" s="176" t="s">
        <v>44</v>
      </c>
      <c r="B2330" s="290" t="s">
        <v>5265</v>
      </c>
      <c r="C2330" s="76" t="s">
        <v>4029</v>
      </c>
      <c r="D2330" s="76" t="s">
        <v>4030</v>
      </c>
      <c r="E2330" s="76" t="s">
        <v>4031</v>
      </c>
      <c r="F2330" s="110">
        <v>457.0</v>
      </c>
      <c r="G2330" s="113" t="str">
        <f>IFERROR(__xludf.DUMMYFUNCTION("TRIM(REGEXREPLACE(C2330, ""[0-9]+[a-f]?\."", """"))"),"Please go back and enter a new phone number.")</f>
        <v>Please go back and enter a new phone number.</v>
      </c>
      <c r="H2330" s="113" t="str">
        <f>IFERROR(__xludf.DUMMYFUNCTION("TRIM(REGEXREPLACE(D2330, ""[0-9]+[a-f]?\."", """"))"),"Veuillez ressaisir le numéro")</f>
        <v>Veuillez ressaisir le numéro</v>
      </c>
      <c r="I2330" s="113" t="str">
        <f>IFERROR(__xludf.DUMMYFUNCTION("TRIM(REGEXREPLACE(E2330, ""[0-9]+[a-f]?\."", """"))"),"Da fatan zaku rubuta lambar")</f>
        <v>Da fatan zaku rubuta lambar</v>
      </c>
      <c r="J2330" s="113" t="str">
        <f t="shared" si="292"/>
        <v>457. Please go back and enter a new phone number.</v>
      </c>
      <c r="K2330" s="113" t="str">
        <f t="shared" si="293"/>
        <v>457. Veuillez ressaisir le numéro</v>
      </c>
      <c r="L2330" s="113" t="str">
        <f t="shared" si="294"/>
        <v>457. Da fatan zaku rubuta lambar</v>
      </c>
    </row>
    <row r="2331">
      <c r="A2331" s="118" t="s">
        <v>541</v>
      </c>
      <c r="B2331" s="120" t="s">
        <v>5266</v>
      </c>
      <c r="C2331" s="76" t="s">
        <v>4035</v>
      </c>
      <c r="D2331" s="76" t="s">
        <v>4036</v>
      </c>
      <c r="E2331" s="76" t="s">
        <v>4039</v>
      </c>
      <c r="F2331" s="110">
        <v>458.0</v>
      </c>
      <c r="G2331" s="113" t="str">
        <f>IFERROR(__xludf.DUMMYFUNCTION("TRIM(REGEXREPLACE(C2331,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2331" s="113" t="str">
        <f>IFERROR(__xludf.DUMMYFUNCTION("TRIM(REGEXREPLACE(D2331,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2331" s="113" t="str">
        <f>IFERROR(__xludf.DUMMYFUNCTION("TRIM(REGEXREPLACE(E2331,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2331" s="113" t="str">
        <f t="shared" si="292"/>
        <v>458.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2331" s="113" t="str">
        <f t="shared" si="293"/>
        <v>458.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2331" s="113" t="str">
        <f t="shared" si="294"/>
        <v>458.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2332" hidden="1">
      <c r="A2332" s="84" t="s">
        <v>161</v>
      </c>
      <c r="B2332" s="86" t="s">
        <v>5267</v>
      </c>
      <c r="C2332" s="82" t="s">
        <v>5268</v>
      </c>
      <c r="D2332" s="84"/>
      <c r="E2332" s="84"/>
    </row>
    <row r="2333">
      <c r="A2333" s="182" t="s">
        <v>217</v>
      </c>
      <c r="B2333" s="183" t="s">
        <v>5270</v>
      </c>
      <c r="C2333" s="76" t="s">
        <v>5271</v>
      </c>
      <c r="D2333" s="76" t="s">
        <v>5272</v>
      </c>
      <c r="E2333" s="76" t="s">
        <v>5273</v>
      </c>
      <c r="F2333" s="110">
        <v>459.0</v>
      </c>
      <c r="G2333" s="113" t="str">
        <f>IFERROR(__xludf.DUMMYFUNCTION("TRIM(REGEXREPLACE(C2333, ""[0-9]+[a-f]?\."", """"))"),"What is the last name of this person")</f>
        <v>What is the last name of this person</v>
      </c>
      <c r="H2333" s="113" t="str">
        <f>IFERROR(__xludf.DUMMYFUNCTION("TRIM(REGEXREPLACE(D2333, ""[0-9]+[a-f]?\."", """"))"),"Quel est le nom de cette personne?")</f>
        <v>Quel est le nom de cette personne?</v>
      </c>
      <c r="I2333" s="113" t="str">
        <f>IFERROR(__xludf.DUMMYFUNCTION("TRIM(REGEXREPLACE(E2333, ""[0-9]+[a-f]?\."", """"))"),"Menene sunan uban wannan mutumen?")</f>
        <v>Menene sunan uban wannan mutumen?</v>
      </c>
      <c r="J2333" s="113" t="str">
        <f t="shared" ref="J2333:J2334" si="295">F2333 &amp; ". " &amp;G2333</f>
        <v>459. What is the last name of this person</v>
      </c>
      <c r="K2333" s="113" t="str">
        <f t="shared" ref="K2333:K2334" si="296">F2333 &amp; ". " &amp;H2333</f>
        <v>459. Quel est le nom de cette personne?</v>
      </c>
      <c r="L2333" s="113" t="str">
        <f t="shared" ref="L2333:L2334" si="297">F2333 &amp; ". " &amp;I2333</f>
        <v>459. Menene sunan uban wannan mutumen?</v>
      </c>
    </row>
    <row r="2334">
      <c r="A2334" s="182" t="s">
        <v>217</v>
      </c>
      <c r="B2334" s="183" t="s">
        <v>5274</v>
      </c>
      <c r="C2334" s="76" t="s">
        <v>5275</v>
      </c>
      <c r="D2334" s="76" t="s">
        <v>5276</v>
      </c>
      <c r="E2334" s="76" t="s">
        <v>5277</v>
      </c>
      <c r="F2334" s="110">
        <v>460.0</v>
      </c>
      <c r="G2334" s="113" t="str">
        <f>IFERROR(__xludf.DUMMYFUNCTION("TRIM(REGEXREPLACE(C2334, ""[0-9]+[a-f]?\."", """"))"),"What is the first name of this person")</f>
        <v>What is the first name of this person</v>
      </c>
      <c r="H2334" s="113" t="str">
        <f>IFERROR(__xludf.DUMMYFUNCTION("TRIM(REGEXREPLACE(D2334, ""[0-9]+[a-f]?\."", """"))"),"Quel est le prénom de cette personne?")</f>
        <v>Quel est le prénom de cette personne?</v>
      </c>
      <c r="I2334" s="113" t="str">
        <f>IFERROR(__xludf.DUMMYFUNCTION("TRIM(REGEXREPLACE(E2334, ""[0-9]+[a-f]?\."", """"))"),"Menene sunan wannan mutumen?")</f>
        <v>Menene sunan wannan mutumen?</v>
      </c>
      <c r="J2334" s="113" t="str">
        <f t="shared" si="295"/>
        <v>460. What is the first name of this person</v>
      </c>
      <c r="K2334" s="113" t="str">
        <f t="shared" si="296"/>
        <v>460. Quel est le prénom de cette personne?</v>
      </c>
      <c r="L2334" s="113" t="str">
        <f t="shared" si="297"/>
        <v>460. Menene sunan wannan mutumen?</v>
      </c>
    </row>
    <row r="2335" hidden="1">
      <c r="A2335" s="84" t="s">
        <v>343</v>
      </c>
      <c r="B2335" s="84" t="s">
        <v>5267</v>
      </c>
      <c r="C2335" s="83" t="s">
        <v>5268</v>
      </c>
      <c r="D2335" s="84"/>
      <c r="E2335" s="84"/>
    </row>
    <row r="2336" hidden="1">
      <c r="A2336" s="134" t="s">
        <v>115</v>
      </c>
      <c r="B2336" s="149" t="s">
        <v>5279</v>
      </c>
      <c r="C2336" s="133"/>
      <c r="D2336" s="134"/>
      <c r="E2336" s="134"/>
    </row>
    <row r="2337">
      <c r="A2337" s="182" t="s">
        <v>217</v>
      </c>
      <c r="B2337" s="183" t="s">
        <v>5280</v>
      </c>
      <c r="C2337" s="76" t="s">
        <v>5281</v>
      </c>
      <c r="D2337" s="76" t="s">
        <v>5282</v>
      </c>
      <c r="E2337" s="76" t="s">
        <v>5283</v>
      </c>
      <c r="F2337" s="110">
        <v>461.0</v>
      </c>
      <c r="G2337" s="113" t="str">
        <f>IFERROR(__xludf.DUMMYFUNCTION("TRIM(REGEXREPLACE(C2337, ""[0-9]+[a-f]?\."", """"))"),"What is their phone number?")</f>
        <v>What is their phone number?</v>
      </c>
      <c r="H2337" s="113" t="str">
        <f>IFERROR(__xludf.DUMMYFUNCTION("TRIM(REGEXREPLACE(D2337, ""[0-9]+[a-f]?\."", """"))"),"Quel est leur numéro de téléphone?")</f>
        <v>Quel est leur numéro de téléphone?</v>
      </c>
      <c r="I2337" s="113" t="str">
        <f>IFERROR(__xludf.DUMMYFUNCTION("TRIM(REGEXREPLACE(E2337, ""[0-9]+[a-f]?\."", """"))"),"Menene lambar wayarsu?")</f>
        <v>Menene lambar wayarsu?</v>
      </c>
      <c r="J2337" s="113" t="str">
        <f t="shared" ref="J2337:J2342" si="298">F2337 &amp; ". " &amp;G2337</f>
        <v>461. What is their phone number?</v>
      </c>
      <c r="K2337" s="113" t="str">
        <f t="shared" ref="K2337:K2342" si="299">F2337 &amp; ". " &amp;H2337</f>
        <v>461. Quel est leur numéro de téléphone?</v>
      </c>
      <c r="L2337" s="113" t="str">
        <f t="shared" ref="L2337:L2342" si="300">F2337 &amp; ". " &amp;I2337</f>
        <v>461. Menene lambar wayarsu?</v>
      </c>
    </row>
    <row r="2338">
      <c r="A2338" s="118" t="s">
        <v>2338</v>
      </c>
      <c r="B2338" s="120" t="s">
        <v>5289</v>
      </c>
      <c r="C2338" s="76" t="s">
        <v>5290</v>
      </c>
      <c r="D2338" s="76" t="s">
        <v>5291</v>
      </c>
      <c r="E2338" s="76" t="s">
        <v>5292</v>
      </c>
      <c r="F2338" s="110">
        <v>462.0</v>
      </c>
      <c r="G2338" s="113" t="str">
        <f>IFERROR(__xludf.DUMMYFUNCTION("TRIM(REGEXREPLACE(C2338, ""[0-9]+[a-f]?\."", """"))"),"What is ${secondary_name2}'s relationship to you?")</f>
        <v>What is ${secondary_name2}'s relationship to you?</v>
      </c>
      <c r="H2338" s="113" t="str">
        <f>IFERROR(__xludf.DUMMYFUNCTION("TRIM(REGEXREPLACE(D2338, ""[0-9]+[a-f]?\."", """"))"),"Quelle est la relation entre ${secondary_name2} et vous ?")</f>
        <v>Quelle est la relation entre ${secondary_name2} et vous ?</v>
      </c>
      <c r="I2338" s="113" t="str">
        <f>IFERROR(__xludf.DUMMYFUNCTION("TRIM(REGEXREPLACE(E2338, ""[0-9]+[a-f]?\."", """"))"),"Menene alaƙar ku da ${secondary_name2} ?")</f>
        <v>Menene alaƙar ku da ${secondary_name2} ?</v>
      </c>
      <c r="J2338" s="113" t="str">
        <f t="shared" si="298"/>
        <v>462. What is ${secondary_name2}'s relationship to you?</v>
      </c>
      <c r="K2338" s="113" t="str">
        <f t="shared" si="299"/>
        <v>462. Quelle est la relation entre ${secondary_name2} et vous ?</v>
      </c>
      <c r="L2338" s="113" t="str">
        <f t="shared" si="300"/>
        <v>462. Menene alaƙar ku da ${secondary_name2} ?</v>
      </c>
    </row>
    <row r="2339">
      <c r="A2339" s="118" t="s">
        <v>541</v>
      </c>
      <c r="B2339" s="120" t="s">
        <v>5293</v>
      </c>
      <c r="C2339" s="76" t="s">
        <v>5294</v>
      </c>
      <c r="D2339" s="76" t="s">
        <v>5295</v>
      </c>
      <c r="E2339" s="76" t="s">
        <v>5296</v>
      </c>
      <c r="F2339" s="110">
        <v>463.0</v>
      </c>
      <c r="G2339" s="113" t="str">
        <f>IFERROR(__xludf.DUMMYFUNCTION("TRIM(REGEXREPLACE(C2339, ""[0-9]+[a-f]?\."", """"))"),"Just to confirm, is this the number? 
 ${secondary_name2}
 ${secondary_phone2}")</f>
        <v>Just to confirm, is this the number? 
 ${secondary_name2}
 ${secondary_phone2}</v>
      </c>
      <c r="H2339" s="113" t="str">
        <f>IFERROR(__xludf.DUMMYFUNCTION("TRIM(REGEXREPLACE(D2339, ""[0-9]+[a-f]?\."", """"))"),"Juste pour confirmer, est-ce bien le numéro ?
 ${secondary_name2}
 ${secondary_phone2}")</f>
        <v>Juste pour confirmer, est-ce bien le numéro ?
 ${secondary_name2}
 ${secondary_phone2}</v>
      </c>
      <c r="I2339" s="113" t="str">
        <f>IFERROR(__xludf.DUMMYFUNCTION("TRIM(REGEXREPLACE(E2339, ""[0-9]+[a-f]?\."", """"))"),"Don tabbatar kawai, da wannan itace lambar?
 ${secondary_name2}
 ${secondary_phone2}")</f>
        <v>Don tabbatar kawai, da wannan itace lambar?
 ${secondary_name2}
 ${secondary_phone2}</v>
      </c>
      <c r="J2339" s="113" t="str">
        <f t="shared" si="298"/>
        <v>463. Just to confirm, is this the number? 
 ${secondary_name2}
 ${secondary_phone2}</v>
      </c>
      <c r="K2339" s="113" t="str">
        <f t="shared" si="299"/>
        <v>463. Juste pour confirmer, est-ce bien le numéro ?
 ${secondary_name2}
 ${secondary_phone2}</v>
      </c>
      <c r="L2339" s="113" t="str">
        <f t="shared" si="300"/>
        <v>463. Don tabbatar kawai, da wannan itace lambar?
 ${secondary_name2}
 ${secondary_phone2}</v>
      </c>
    </row>
    <row r="2340">
      <c r="A2340" s="176" t="s">
        <v>44</v>
      </c>
      <c r="B2340" s="290" t="s">
        <v>5297</v>
      </c>
      <c r="C2340" s="76" t="s">
        <v>4088</v>
      </c>
      <c r="D2340" s="76" t="s">
        <v>4089</v>
      </c>
      <c r="E2340" s="76" t="s">
        <v>4090</v>
      </c>
      <c r="F2340" s="110">
        <v>464.0</v>
      </c>
      <c r="G2340" s="113" t="str">
        <f>IFERROR(__xludf.DUMMYFUNCTION("TRIM(REGEXREPLACE(C2340, ""[0-9]+[a-f]?\."", """"))"),"Please go back and correct the name and phone number.")</f>
        <v>Please go back and correct the name and phone number.</v>
      </c>
      <c r="H2340" s="113" t="str">
        <f>IFERROR(__xludf.DUMMYFUNCTION("TRIM(REGEXREPLACE(D2340, ""[0-9]+[a-f]?\."", """"))"),"Veuillez revenir en arrière et corriger le nom et le numéro de téléphone.")</f>
        <v>Veuillez revenir en arrière et corriger le nom et le numéro de téléphone.</v>
      </c>
      <c r="I2340" s="113" t="str">
        <f>IFERROR(__xludf.DUMMYFUNCTION("TRIM(REGEXREPLACE(E2340, ""[0-9]+[a-f]?\."", """"))"),"Da fatan za ka koma baya ka gyara suna da lambar waya.")</f>
        <v>Da fatan za ka koma baya ka gyara suna da lambar waya.</v>
      </c>
      <c r="J2340" s="113" t="str">
        <f t="shared" si="298"/>
        <v>464. Please go back and correct the name and phone number.</v>
      </c>
      <c r="K2340" s="113" t="str">
        <f t="shared" si="299"/>
        <v>464. Veuillez revenir en arrière et corriger le nom et le numéro de téléphone.</v>
      </c>
      <c r="L2340" s="113" t="str">
        <f t="shared" si="300"/>
        <v>464. Da fatan za ka koma baya ka gyara suna da lambar waya.</v>
      </c>
    </row>
    <row r="2341">
      <c r="A2341" s="118" t="s">
        <v>5213</v>
      </c>
      <c r="B2341" s="120" t="s">
        <v>5299</v>
      </c>
      <c r="C2341" s="76" t="s">
        <v>4095</v>
      </c>
      <c r="D2341" s="76" t="s">
        <v>4096</v>
      </c>
      <c r="E2341" s="76" t="s">
        <v>4098</v>
      </c>
      <c r="F2341" s="110">
        <v>465.0</v>
      </c>
      <c r="G2341" s="113" t="str">
        <f>IFERROR(__xludf.DUMMYFUNCTION("TRIM(REGEXREPLACE(C2341, ""[0-9]+[a-f]?\."", """"))"),"I am going to call this phone number to confirm it is correct. [Enumerator: Did the phone ring?]")</f>
        <v>I am going to call this phone number to confirm it is correct. [Enumerator: Did the phone ring?]</v>
      </c>
      <c r="H2341" s="113" t="str">
        <f>IFERROR(__xludf.DUMMYFUNCTION("TRIM(REGEXREPLACE(D2341, ""[0-9]+[a-f]?\."", """"))"),"Je vais appeler ce numéro de téléphone pour confirmer qu'il est correct. [Enquêteur : Le téléphone a-t-il sonné ?]")</f>
        <v>Je vais appeler ce numéro de téléphone pour confirmer qu'il est correct. [Enquêteur : Le téléphone a-t-il sonné ?]</v>
      </c>
      <c r="I2341" s="113" t="str">
        <f>IFERROR(__xludf.DUMMYFUNCTION("TRIM(REGEXREPLACE(E2341, ""[0-9]+[a-f]?\."", """"))"),"Zan kirayi wannan lambar wayar don tabbatar da daidai ce. [Ɗan bincike: Wayar ta yi ƙara?]")</f>
        <v>Zan kirayi wannan lambar wayar don tabbatar da daidai ce. [Ɗan bincike: Wayar ta yi ƙara?]</v>
      </c>
      <c r="J2341" s="113" t="str">
        <f t="shared" si="298"/>
        <v>465. I am going to call this phone number to confirm it is correct. [Enumerator: Did the phone ring?]</v>
      </c>
      <c r="K2341" s="113" t="str">
        <f t="shared" si="299"/>
        <v>465. Je vais appeler ce numéro de téléphone pour confirmer qu'il est correct. [Enquêteur : Le téléphone a-t-il sonné ?]</v>
      </c>
      <c r="L2341" s="113" t="str">
        <f t="shared" si="300"/>
        <v>465. Zan kirayi wannan lambar wayar don tabbatar da daidai ce. [Ɗan bincike: Wayar ta yi ƙara?]</v>
      </c>
    </row>
    <row r="2342">
      <c r="A2342" s="176" t="s">
        <v>44</v>
      </c>
      <c r="B2342" s="290" t="s">
        <v>5300</v>
      </c>
      <c r="C2342" s="76" t="s">
        <v>4106</v>
      </c>
      <c r="D2342" s="76" t="s">
        <v>4107</v>
      </c>
      <c r="E2342" s="76" t="s">
        <v>5301</v>
      </c>
      <c r="F2342" s="110">
        <v>466.0</v>
      </c>
      <c r="G2342" s="113" t="str">
        <f>IFERROR(__xludf.DUMMYFUNCTION("TRIM(REGEXREPLACE(C2342, ""[0-9]+[a-f]?\."", """"))"),"Please go back and enter a new phone number.")</f>
        <v>Please go back and enter a new phone number.</v>
      </c>
      <c r="H2342" s="113" t="str">
        <f>IFERROR(__xludf.DUMMYFUNCTION("TRIM(REGEXREPLACE(D2342, ""[0-9]+[a-f]?\."", """"))"),"Veuillez ressaisir le numéro")</f>
        <v>Veuillez ressaisir le numéro</v>
      </c>
      <c r="I2342" s="113" t="str">
        <f>IFERROR(__xludf.DUMMYFUNCTION("TRIM(REGEXREPLACE(E2342, ""[0-9]+[a-f]?\."", """"))"),"Da fatan zaku rubuta lambar")</f>
        <v>Da fatan zaku rubuta lambar</v>
      </c>
      <c r="J2342" s="113" t="str">
        <f t="shared" si="298"/>
        <v>466. Please go back and enter a new phone number.</v>
      </c>
      <c r="K2342" s="113" t="str">
        <f t="shared" si="299"/>
        <v>466. Veuillez ressaisir le numéro</v>
      </c>
      <c r="L2342" s="113" t="str">
        <f t="shared" si="300"/>
        <v>466. Da fatan zaku rubuta lambar</v>
      </c>
    </row>
    <row r="2343" hidden="1">
      <c r="A2343" s="84" t="s">
        <v>343</v>
      </c>
      <c r="B2343" s="84" t="s">
        <v>5192</v>
      </c>
      <c r="C2343" s="83" t="s">
        <v>5193</v>
      </c>
      <c r="D2343" s="84" t="s">
        <v>5194</v>
      </c>
      <c r="E2343" s="84" t="s">
        <v>5195</v>
      </c>
    </row>
    <row r="2344" hidden="1">
      <c r="A2344" s="97"/>
      <c r="B2344" s="97"/>
      <c r="C2344" s="204"/>
      <c r="D2344" s="97"/>
      <c r="E2344" s="97"/>
    </row>
    <row r="2345" hidden="1">
      <c r="A2345" s="84" t="s">
        <v>161</v>
      </c>
      <c r="B2345" s="86" t="s">
        <v>5305</v>
      </c>
      <c r="C2345" s="82" t="s">
        <v>5307</v>
      </c>
      <c r="D2345" s="84" t="s">
        <v>5308</v>
      </c>
      <c r="E2345" s="84" t="s">
        <v>5309</v>
      </c>
    </row>
    <row r="2346">
      <c r="A2346" s="118" t="s">
        <v>5310</v>
      </c>
      <c r="B2346" s="120" t="s">
        <v>5311</v>
      </c>
      <c r="C2346" s="76" t="s">
        <v>5312</v>
      </c>
      <c r="D2346" s="76" t="s">
        <v>5313</v>
      </c>
      <c r="E2346" s="76" t="s">
        <v>5314</v>
      </c>
      <c r="F2346" s="110">
        <v>467.0</v>
      </c>
      <c r="G2346" s="113" t="str">
        <f>IFERROR(__xludf.DUMMYFUNCTION("TRIM(REGEXREPLACE(C2346, ""[0-9]+[a-f]?\."", """"))"),"How interested was the resppondent")</f>
        <v>How interested was the resppondent</v>
      </c>
      <c r="H2346" s="113" t="str">
        <f>IFERROR(__xludf.DUMMYFUNCTION("TRIM(REGEXREPLACE(D2346, ""[0-9]+[a-f]?\."", """"))"),"Dans quelle mesure le répondant était-il intéressé")</f>
        <v>Dans quelle mesure le répondant était-il intéressé</v>
      </c>
      <c r="I2346" s="113" t="str">
        <f>IFERROR(__xludf.DUMMYFUNCTION("TRIM(REGEXREPLACE(E2346, ""[0-9]+[a-f]?\."", """"))"),"Yaya kake ganin maida hankalin mai bada amsa yake")</f>
        <v>Yaya kake ganin maida hankalin mai bada amsa yake</v>
      </c>
      <c r="J2346" s="113" t="str">
        <f t="shared" ref="J2346:J2350" si="301">F2346 &amp; ". " &amp;G2346</f>
        <v>467. How interested was the resppondent</v>
      </c>
      <c r="K2346" s="113" t="str">
        <f t="shared" ref="K2346:K2350" si="302">F2346 &amp; ". " &amp;H2346</f>
        <v>467. Dans quelle mesure le répondant était-il intéressé</v>
      </c>
      <c r="L2346" s="113" t="str">
        <f t="shared" ref="L2346:L2350" si="303">F2346 &amp; ". " &amp;I2346</f>
        <v>467. Yaya kake ganin maida hankalin mai bada amsa yake</v>
      </c>
    </row>
    <row r="2347">
      <c r="A2347" s="118" t="s">
        <v>5319</v>
      </c>
      <c r="B2347" s="120" t="s">
        <v>5320</v>
      </c>
      <c r="C2347" s="76" t="s">
        <v>5321</v>
      </c>
      <c r="D2347" s="76" t="s">
        <v>5322</v>
      </c>
      <c r="E2347" s="76" t="s">
        <v>5323</v>
      </c>
      <c r="F2347" s="110">
        <v>468.0</v>
      </c>
      <c r="G2347" s="113" t="str">
        <f>IFERROR(__xludf.DUMMYFUNCTION("TRIM(REGEXREPLACE(C2347, ""[0-9]+[a-f]?\."", """"))"),"How impatient was the respondent?")</f>
        <v>How impatient was the respondent?</v>
      </c>
      <c r="H2347" s="113" t="str">
        <f>IFERROR(__xludf.DUMMYFUNCTION("TRIM(REGEXREPLACE(D2347, ""[0-9]+[a-f]?\."", """"))"),"À quel point le répondant était-il impatient ?")</f>
        <v>À quel point le répondant était-il impatient ?</v>
      </c>
      <c r="I2347" s="113" t="str">
        <f>IFERROR(__xludf.DUMMYFUNCTION("TRIM(REGEXREPLACE(E2347, ""[0-9]+[a-f]?\."", """"))"),"Yaya kake ganin rashin haƙurin mai bada amsa?")</f>
        <v>Yaya kake ganin rashin haƙurin mai bada amsa?</v>
      </c>
      <c r="J2347" s="113" t="str">
        <f t="shared" si="301"/>
        <v>468. How impatient was the respondent?</v>
      </c>
      <c r="K2347" s="113" t="str">
        <f t="shared" si="302"/>
        <v>468. À quel point le répondant était-il impatient ?</v>
      </c>
      <c r="L2347" s="113" t="str">
        <f t="shared" si="303"/>
        <v>468. Yaya kake ganin rashin haƙurin mai bada amsa?</v>
      </c>
    </row>
    <row r="2348">
      <c r="A2348" s="118" t="s">
        <v>5324</v>
      </c>
      <c r="B2348" s="120" t="s">
        <v>5325</v>
      </c>
      <c r="C2348" s="76" t="s">
        <v>4132</v>
      </c>
      <c r="D2348" s="76" t="s">
        <v>4133</v>
      </c>
      <c r="E2348" s="76" t="s">
        <v>4134</v>
      </c>
      <c r="F2348" s="110">
        <v>469.0</v>
      </c>
      <c r="G2348" s="113" t="str">
        <f>IFERROR(__xludf.DUMMYFUNCTION("TRIM(REGEXREPLACE(C2348, ""[0-9]+[a-f]?\."", """"))"),"How well did the respondent understand the questions?")</f>
        <v>How well did the respondent understand the questions?</v>
      </c>
      <c r="H2348" s="113" t="str">
        <f>IFERROR(__xludf.DUMMYFUNCTION("TRIM(REGEXREPLACE(D2348, ""[0-9]+[a-f]?\."", """"))"),"Dans quelle mesure le répondant a-t-il compris les questions ?")</f>
        <v>Dans quelle mesure le répondant a-t-il compris les questions ?</v>
      </c>
      <c r="I2348" s="113" t="str">
        <f>IFERROR(__xludf.DUMMYFUNCTION("TRIM(REGEXREPLACE(E2348, ""[0-9]+[a-f]?\."", """"))"),"Yaya kake ganin mai bada amsa ya fahimci tambayoyin?")</f>
        <v>Yaya kake ganin mai bada amsa ya fahimci tambayoyin?</v>
      </c>
      <c r="J2348" s="113" t="str">
        <f t="shared" si="301"/>
        <v>469. How well did the respondent understand the questions?</v>
      </c>
      <c r="K2348" s="113" t="str">
        <f t="shared" si="302"/>
        <v>469. Dans quelle mesure le répondant a-t-il compris les questions ?</v>
      </c>
      <c r="L2348" s="113" t="str">
        <f t="shared" si="303"/>
        <v>469. Yaya kake ganin mai bada amsa ya fahimci tambayoyin?</v>
      </c>
    </row>
    <row r="2349">
      <c r="A2349" s="118" t="s">
        <v>5330</v>
      </c>
      <c r="B2349" s="120" t="s">
        <v>5331</v>
      </c>
      <c r="C2349" s="76" t="s">
        <v>4136</v>
      </c>
      <c r="D2349" s="76" t="s">
        <v>4137</v>
      </c>
      <c r="E2349" s="76" t="s">
        <v>4138</v>
      </c>
      <c r="F2349" s="110">
        <v>470.0</v>
      </c>
      <c r="G2349" s="113" t="str">
        <f>IFERROR(__xludf.DUMMYFUNCTION("TRIM(REGEXREPLACE(C2349, ""[0-9]+[a-f]?\."", """"))"),"Was the interview conducted in the presence of other people?")</f>
        <v>Was the interview conducted in the presence of other people?</v>
      </c>
      <c r="H2349" s="113" t="str">
        <f>IFERROR(__xludf.DUMMYFUNCTION("TRIM(REGEXREPLACE(D2349, ""[0-9]+[a-f]?\."", """"))"),"L'entretien a-t-il été réalisé en présence d'autres personnes ?")</f>
        <v>L'entretien a-t-il été réalisé en présence d'autres personnes ?</v>
      </c>
      <c r="I2349" s="113" t="str">
        <f>IFERROR(__xludf.DUMMYFUNCTION("TRIM(REGEXREPLACE(E2349, ""[0-9]+[a-f]?\."", """"))"),"Ko an yi hirar ne a gaban wasu mutane?")</f>
        <v>Ko an yi hirar ne a gaban wasu mutane?</v>
      </c>
      <c r="J2349" s="113" t="str">
        <f t="shared" si="301"/>
        <v>470. Was the interview conducted in the presence of other people?</v>
      </c>
      <c r="K2349" s="113" t="str">
        <f t="shared" si="302"/>
        <v>470. L'entretien a-t-il été réalisé en présence d'autres personnes ?</v>
      </c>
      <c r="L2349" s="113" t="str">
        <f t="shared" si="303"/>
        <v>470. Ko an yi hirar ne a gaban wasu mutane?</v>
      </c>
    </row>
    <row r="2350">
      <c r="A2350" s="182" t="s">
        <v>217</v>
      </c>
      <c r="B2350" s="183" t="s">
        <v>5332</v>
      </c>
      <c r="C2350" s="76" t="s">
        <v>4143</v>
      </c>
      <c r="D2350" s="76" t="s">
        <v>4145</v>
      </c>
      <c r="E2350" s="76" t="s">
        <v>5333</v>
      </c>
      <c r="F2350" s="110">
        <v>471.0</v>
      </c>
      <c r="G2350" s="113" t="str">
        <f>IFERROR(__xludf.DUMMYFUNCTION("TRIM(REGEXREPLACE(C2350, ""[0-9]+[a-f]?\."", """"))"),"Enumerator: Record any comments on the survey")</f>
        <v>Enumerator: Record any comments on the survey</v>
      </c>
      <c r="H2350" s="113" t="str">
        <f>IFERROR(__xludf.DUMMYFUNCTION("TRIM(REGEXREPLACE(D2350, ""[0-9]+[a-f]?\."", """"))"),"Enquêteur : Veuillez noter vos commentaires si vous en avez")</f>
        <v>Enquêteur : Veuillez noter vos commentaires si vous en avez</v>
      </c>
      <c r="I2350" s="113" t="str">
        <f>IFERROR(__xludf.DUMMYFUNCTION("TRIM(REGEXREPLACE(E2350, ""[0-9]+[a-f]?\."", """"))"),"Ɗan bincike: Yi rikodin duk wani sharhi akan binciken")</f>
        <v>Ɗan bincike: Yi rikodin duk wani sharhi akan binciken</v>
      </c>
      <c r="J2350" s="113" t="str">
        <f t="shared" si="301"/>
        <v>471. Enumerator: Record any comments on the survey</v>
      </c>
      <c r="K2350" s="113" t="str">
        <f t="shared" si="302"/>
        <v>471. Enquêteur : Veuillez noter vos commentaires si vous en avez</v>
      </c>
      <c r="L2350" s="113" t="str">
        <f t="shared" si="303"/>
        <v>471. Ɗan bincike: Yi rikodin duk wani sharhi akan binciken</v>
      </c>
    </row>
    <row r="2351" hidden="1">
      <c r="A2351" s="292" t="s">
        <v>647</v>
      </c>
      <c r="B2351" s="293" t="s">
        <v>5334</v>
      </c>
      <c r="C2351" s="294" t="s">
        <v>5335</v>
      </c>
      <c r="D2351" s="292" t="s">
        <v>5336</v>
      </c>
      <c r="E2351" s="292" t="s">
        <v>5337</v>
      </c>
    </row>
    <row r="2352" hidden="1">
      <c r="A2352" s="80" t="s">
        <v>150</v>
      </c>
      <c r="B2352" s="81" t="s">
        <v>5338</v>
      </c>
      <c r="C2352" s="82"/>
      <c r="D2352" s="83"/>
      <c r="E2352" s="83"/>
    </row>
    <row r="2353" hidden="1">
      <c r="A2353" s="75" t="s">
        <v>115</v>
      </c>
      <c r="B2353" s="75" t="s">
        <v>5339</v>
      </c>
      <c r="C2353" s="76"/>
      <c r="D2353" s="45"/>
      <c r="E2353" s="45"/>
    </row>
    <row r="2354" hidden="1">
      <c r="A2354" s="84" t="s">
        <v>343</v>
      </c>
      <c r="B2354" s="84" t="s">
        <v>5305</v>
      </c>
      <c r="C2354" s="83" t="s">
        <v>5307</v>
      </c>
      <c r="D2354" s="84" t="s">
        <v>5308</v>
      </c>
      <c r="E2354" s="84" t="s">
        <v>5340</v>
      </c>
    </row>
    <row r="2355" hidden="1">
      <c r="A2355" s="97"/>
      <c r="B2355" s="97"/>
      <c r="C2355" s="204"/>
      <c r="D2355" s="97"/>
      <c r="E2355" s="97"/>
    </row>
    <row r="2356" hidden="1">
      <c r="A2356" s="84" t="s">
        <v>343</v>
      </c>
      <c r="B2356" s="84" t="s">
        <v>636</v>
      </c>
      <c r="C2356" s="83"/>
      <c r="D2356" s="84"/>
      <c r="E2356" s="84"/>
    </row>
    <row r="2357">
      <c r="A2357" s="176" t="s">
        <v>44</v>
      </c>
      <c r="B2357" s="290" t="s">
        <v>5341</v>
      </c>
      <c r="C2357" s="76" t="s">
        <v>4153</v>
      </c>
      <c r="D2357" s="76" t="s">
        <v>4154</v>
      </c>
      <c r="E2357" s="76" t="s">
        <v>4155</v>
      </c>
      <c r="F2357" s="110">
        <v>472.0</v>
      </c>
      <c r="G2357" s="113" t="str">
        <f>IFERROR(__xludf.DUMMYFUNCTION("TRIM(REGEXREPLACE(C2357, ""[0-9]+[a-f]?\."", """"))"),"That is the end of the survey. Thank you for your time.")</f>
        <v>That is the end of the survey. Thank you for your time.</v>
      </c>
      <c r="H2357" s="113" t="str">
        <f>IFERROR(__xludf.DUMMYFUNCTION("TRIM(REGEXREPLACE(D2357, ""[0-9]+[a-f]?\."", """"))"),"C'est la fin de l'enquête. Merci pour votre temps.")</f>
        <v>C'est la fin de l'enquête. Merci pour votre temps.</v>
      </c>
      <c r="I2357" s="113" t="str">
        <f>IFERROR(__xludf.DUMMYFUNCTION("TRIM(REGEXREPLACE(E2357, ""[0-9]+[a-f]?\."", """"))"),"Karshen tambayoyin kenan. Na gode da lokacin da kuka bani.")</f>
        <v>Karshen tambayoyin kenan. Na gode da lokacin da kuka bani.</v>
      </c>
      <c r="J2357" s="113" t="str">
        <f>F2357 &amp; ". " &amp;G2357</f>
        <v>472. That is the end of the survey. Thank you for your time.</v>
      </c>
      <c r="K2357" s="113" t="str">
        <f>F2357 &amp; ". " &amp;H2357</f>
        <v>472. C'est la fin de l'enquête. Merci pour votre temps.</v>
      </c>
      <c r="L2357" s="113" t="str">
        <f>F2357 &amp; ". " &amp;I2357</f>
        <v>472. Karshen tambayoyin kenan. Na gode da lokacin da kuka bani.</v>
      </c>
    </row>
    <row r="2358" hidden="1">
      <c r="A2358" s="75" t="s">
        <v>343</v>
      </c>
      <c r="B2358" s="75" t="s">
        <v>533</v>
      </c>
      <c r="C2358" s="204"/>
      <c r="D2358" s="97"/>
      <c r="E2358" s="97"/>
    </row>
    <row r="2359" hidden="1">
      <c r="A2359" s="141"/>
      <c r="B2359" s="141"/>
      <c r="C2359" s="141"/>
      <c r="D2359" s="141"/>
      <c r="E2359" s="141"/>
    </row>
    <row r="2360" hidden="1">
      <c r="A2360" s="141"/>
      <c r="B2360" s="141"/>
      <c r="C2360" s="141"/>
      <c r="D2360" s="141"/>
      <c r="E2360" s="141"/>
    </row>
    <row r="2361" hidden="1">
      <c r="A2361" s="141"/>
      <c r="B2361" s="141"/>
      <c r="C2361" s="141"/>
      <c r="D2361" s="141"/>
      <c r="E2361" s="141"/>
    </row>
    <row r="2362" hidden="1">
      <c r="A2362" s="141"/>
      <c r="B2362" s="141"/>
      <c r="C2362" s="141"/>
      <c r="D2362" s="141"/>
      <c r="E2362" s="141"/>
    </row>
    <row r="2363" hidden="1">
      <c r="A2363" s="141"/>
      <c r="B2363" s="141"/>
      <c r="C2363" s="141"/>
      <c r="D2363" s="141"/>
      <c r="E2363" s="141"/>
    </row>
    <row r="2364" hidden="1">
      <c r="A2364" s="141"/>
      <c r="B2364" s="141"/>
      <c r="C2364" s="141"/>
      <c r="D2364" s="141"/>
      <c r="E2364" s="141"/>
    </row>
    <row r="2365" hidden="1">
      <c r="A2365" s="141"/>
      <c r="B2365" s="141"/>
      <c r="C2365" s="141"/>
      <c r="D2365" s="141"/>
      <c r="E2365" s="141"/>
    </row>
    <row r="2366" hidden="1">
      <c r="A2366" s="141"/>
      <c r="B2366" s="141"/>
      <c r="C2366" s="141"/>
      <c r="D2366" s="141"/>
      <c r="E2366" s="141"/>
    </row>
    <row r="2367" hidden="1">
      <c r="A2367" s="45"/>
      <c r="B2367" s="45"/>
      <c r="C2367" s="46"/>
      <c r="D2367" s="45"/>
      <c r="E2367" s="45"/>
    </row>
    <row r="2368" hidden="1">
      <c r="A2368" s="45"/>
      <c r="B2368" s="45"/>
      <c r="C2368" s="46"/>
      <c r="D2368" s="45"/>
      <c r="E2368" s="45"/>
    </row>
    <row r="2369" hidden="1">
      <c r="A2369" s="45"/>
      <c r="B2369" s="45"/>
      <c r="C2369" s="46"/>
      <c r="D2369" s="45"/>
      <c r="E2369" s="45"/>
    </row>
    <row r="2370" hidden="1">
      <c r="A2370" s="45"/>
      <c r="B2370" s="45"/>
      <c r="C2370" s="46"/>
      <c r="D2370" s="45"/>
      <c r="E2370" s="45"/>
    </row>
    <row r="2371" hidden="1">
      <c r="A2371" s="45"/>
      <c r="B2371" s="45"/>
      <c r="C2371" s="46"/>
      <c r="D2371" s="45"/>
      <c r="E2371" s="45"/>
    </row>
    <row r="2372" hidden="1">
      <c r="A2372" s="45"/>
      <c r="B2372" s="45"/>
      <c r="C2372" s="46"/>
      <c r="D2372" s="45"/>
      <c r="E2372" s="45"/>
    </row>
    <row r="2373" hidden="1">
      <c r="A2373" s="45"/>
      <c r="B2373" s="45"/>
      <c r="C2373" s="46"/>
      <c r="D2373" s="45"/>
      <c r="E2373" s="45"/>
    </row>
    <row r="2374" hidden="1">
      <c r="A2374" s="45"/>
      <c r="B2374" s="45"/>
      <c r="C2374" s="46"/>
      <c r="D2374" s="45"/>
      <c r="E2374" s="45"/>
    </row>
    <row r="2375" hidden="1">
      <c r="A2375" s="45"/>
      <c r="B2375" s="45"/>
      <c r="C2375" s="46"/>
      <c r="D2375" s="45"/>
      <c r="E2375" s="45"/>
    </row>
    <row r="2376" hidden="1">
      <c r="A2376" s="45"/>
      <c r="B2376" s="45"/>
      <c r="C2376" s="46"/>
      <c r="D2376" s="45"/>
      <c r="E2376" s="45"/>
    </row>
    <row r="2377" hidden="1">
      <c r="A2377" s="45"/>
      <c r="B2377" s="45"/>
      <c r="C2377" s="46"/>
      <c r="D2377" s="45"/>
      <c r="E2377" s="45"/>
    </row>
    <row r="2378" hidden="1">
      <c r="A2378" s="45"/>
      <c r="B2378" s="45"/>
      <c r="C2378" s="46"/>
      <c r="D2378" s="45"/>
      <c r="E2378" s="45"/>
    </row>
    <row r="2379" hidden="1">
      <c r="A2379" s="45"/>
      <c r="B2379" s="45"/>
      <c r="C2379" s="46"/>
      <c r="D2379" s="45"/>
      <c r="E2379" s="45"/>
    </row>
    <row r="2380" hidden="1">
      <c r="A2380" s="45"/>
      <c r="B2380" s="45"/>
      <c r="C2380" s="46"/>
      <c r="D2380" s="45"/>
      <c r="E2380" s="45"/>
    </row>
    <row r="2381" hidden="1">
      <c r="A2381" s="45"/>
      <c r="B2381" s="45"/>
      <c r="C2381" s="46"/>
      <c r="D2381" s="45"/>
      <c r="E2381" s="45"/>
    </row>
    <row r="2382" hidden="1">
      <c r="A2382" s="45"/>
      <c r="B2382" s="45"/>
      <c r="C2382" s="46"/>
      <c r="D2382" s="45"/>
      <c r="E2382" s="45"/>
    </row>
    <row r="2383" hidden="1">
      <c r="A2383" s="45"/>
      <c r="B2383" s="45"/>
      <c r="C2383" s="46"/>
      <c r="D2383" s="45"/>
      <c r="E2383" s="45"/>
    </row>
    <row r="2384" hidden="1">
      <c r="A2384" s="45"/>
      <c r="B2384" s="45"/>
      <c r="C2384" s="46"/>
      <c r="D2384" s="45"/>
      <c r="E2384" s="45"/>
    </row>
    <row r="2385" hidden="1">
      <c r="A2385" s="45"/>
      <c r="B2385" s="45"/>
      <c r="C2385" s="46"/>
      <c r="D2385" s="45"/>
      <c r="E2385" s="45"/>
    </row>
    <row r="2386" hidden="1">
      <c r="A2386" s="45"/>
      <c r="B2386" s="45"/>
      <c r="C2386" s="46"/>
      <c r="D2386" s="45"/>
      <c r="E2386" s="45"/>
    </row>
    <row r="2387" hidden="1">
      <c r="A2387" s="45"/>
      <c r="B2387" s="45"/>
      <c r="C2387" s="46"/>
      <c r="D2387" s="45"/>
      <c r="E2387" s="45"/>
    </row>
    <row r="2388" hidden="1">
      <c r="A2388" s="45"/>
      <c r="B2388" s="45"/>
      <c r="C2388" s="46"/>
      <c r="D2388" s="45"/>
      <c r="E2388" s="45"/>
    </row>
    <row r="2389" hidden="1">
      <c r="A2389" s="45"/>
      <c r="B2389" s="45"/>
      <c r="C2389" s="46"/>
      <c r="D2389" s="45"/>
      <c r="E2389" s="45"/>
    </row>
    <row r="2390" hidden="1">
      <c r="A2390" s="45"/>
      <c r="B2390" s="45"/>
      <c r="C2390" s="46"/>
      <c r="D2390" s="45"/>
      <c r="E2390" s="45"/>
    </row>
    <row r="2391" hidden="1">
      <c r="A2391" s="45"/>
      <c r="B2391" s="45"/>
      <c r="C2391" s="46"/>
      <c r="D2391" s="45"/>
      <c r="E2391" s="45"/>
    </row>
    <row r="2392" hidden="1">
      <c r="A2392" s="45"/>
      <c r="B2392" s="45"/>
      <c r="C2392" s="46"/>
      <c r="D2392" s="45"/>
      <c r="E2392" s="45"/>
    </row>
    <row r="2393" hidden="1">
      <c r="A2393" s="45"/>
      <c r="B2393" s="45"/>
      <c r="C2393" s="46"/>
      <c r="D2393" s="45"/>
      <c r="E2393" s="45"/>
    </row>
    <row r="2394" hidden="1">
      <c r="A2394" s="45"/>
      <c r="B2394" s="45"/>
      <c r="C2394" s="46"/>
      <c r="D2394" s="45"/>
      <c r="E2394" s="45"/>
    </row>
    <row r="2395" hidden="1">
      <c r="A2395" s="45"/>
      <c r="B2395" s="45"/>
      <c r="C2395" s="46"/>
      <c r="D2395" s="45"/>
      <c r="E2395" s="45"/>
    </row>
    <row r="2396" hidden="1">
      <c r="A2396" s="45"/>
      <c r="B2396" s="45"/>
      <c r="C2396" s="46"/>
      <c r="D2396" s="45"/>
      <c r="E2396" s="45"/>
    </row>
    <row r="2397" hidden="1">
      <c r="A2397" s="45"/>
      <c r="B2397" s="45"/>
      <c r="C2397" s="46"/>
      <c r="D2397" s="45"/>
      <c r="E2397" s="45"/>
    </row>
    <row r="2398" hidden="1">
      <c r="A2398" s="45"/>
      <c r="B2398" s="45"/>
      <c r="C2398" s="46"/>
      <c r="D2398" s="45"/>
      <c r="E2398" s="45"/>
    </row>
    <row r="2399" hidden="1">
      <c r="A2399" s="45"/>
      <c r="B2399" s="45"/>
      <c r="C2399" s="46"/>
      <c r="D2399" s="45"/>
      <c r="E2399" s="45"/>
    </row>
    <row r="2400" hidden="1">
      <c r="A2400" s="45"/>
      <c r="B2400" s="45"/>
      <c r="C2400" s="46"/>
      <c r="D2400" s="45"/>
      <c r="E2400" s="45"/>
    </row>
    <row r="2401" hidden="1">
      <c r="A2401" s="45"/>
      <c r="B2401" s="45"/>
      <c r="C2401" s="46"/>
      <c r="D2401" s="45"/>
      <c r="E2401" s="45"/>
    </row>
    <row r="2402" hidden="1">
      <c r="A2402" s="45"/>
      <c r="B2402" s="45"/>
      <c r="C2402" s="46"/>
      <c r="D2402" s="45"/>
      <c r="E2402" s="45"/>
    </row>
    <row r="2403" hidden="1">
      <c r="A2403" s="45"/>
      <c r="B2403" s="45"/>
      <c r="C2403" s="46"/>
      <c r="D2403" s="45"/>
      <c r="E2403" s="45"/>
    </row>
    <row r="2404" hidden="1">
      <c r="A2404" s="45"/>
      <c r="B2404" s="45"/>
      <c r="C2404" s="46"/>
      <c r="D2404" s="45"/>
      <c r="E2404" s="45"/>
    </row>
    <row r="2405" hidden="1">
      <c r="A2405" s="45"/>
      <c r="B2405" s="45"/>
      <c r="C2405" s="46"/>
      <c r="D2405" s="45"/>
      <c r="E2405" s="45"/>
    </row>
    <row r="2406" hidden="1">
      <c r="A2406" s="45"/>
      <c r="B2406" s="45"/>
      <c r="C2406" s="46"/>
      <c r="D2406" s="45"/>
      <c r="E2406" s="45"/>
    </row>
    <row r="2407" hidden="1">
      <c r="A2407" s="45"/>
      <c r="B2407" s="45"/>
      <c r="C2407" s="46"/>
      <c r="D2407" s="45"/>
      <c r="E2407" s="45"/>
    </row>
    <row r="2408" hidden="1">
      <c r="A2408" s="45"/>
      <c r="B2408" s="45"/>
      <c r="C2408" s="46"/>
      <c r="D2408" s="45"/>
      <c r="E2408" s="45"/>
    </row>
    <row r="2409" hidden="1">
      <c r="A2409" s="45"/>
      <c r="B2409" s="45"/>
      <c r="C2409" s="46"/>
      <c r="D2409" s="45"/>
      <c r="E2409" s="45"/>
    </row>
    <row r="2410" hidden="1">
      <c r="A2410" s="45"/>
      <c r="B2410" s="45"/>
      <c r="C2410" s="46"/>
      <c r="D2410" s="45"/>
      <c r="E2410" s="45"/>
    </row>
    <row r="2411" hidden="1">
      <c r="A2411" s="45"/>
      <c r="B2411" s="45"/>
      <c r="C2411" s="46"/>
      <c r="D2411" s="45"/>
      <c r="E2411" s="45"/>
    </row>
    <row r="2412" hidden="1">
      <c r="A2412" s="45"/>
      <c r="B2412" s="45"/>
      <c r="C2412" s="46"/>
      <c r="D2412" s="45"/>
      <c r="E2412" s="45"/>
    </row>
    <row r="2413" hidden="1">
      <c r="A2413" s="45"/>
      <c r="B2413" s="45"/>
      <c r="C2413" s="46"/>
      <c r="D2413" s="45"/>
      <c r="E2413" s="45"/>
    </row>
    <row r="2414" hidden="1">
      <c r="A2414" s="45"/>
      <c r="B2414" s="45"/>
      <c r="C2414" s="46"/>
      <c r="D2414" s="45"/>
      <c r="E2414" s="45"/>
    </row>
    <row r="2415" hidden="1">
      <c r="A2415" s="45"/>
      <c r="B2415" s="45"/>
      <c r="C2415" s="46"/>
      <c r="D2415" s="45"/>
      <c r="E2415" s="45"/>
    </row>
    <row r="2416" hidden="1">
      <c r="A2416" s="45"/>
      <c r="B2416" s="45"/>
      <c r="C2416" s="46"/>
      <c r="D2416" s="45"/>
      <c r="E2416" s="45"/>
    </row>
    <row r="2417" hidden="1">
      <c r="A2417" s="45"/>
      <c r="B2417" s="45"/>
      <c r="C2417" s="46"/>
      <c r="D2417" s="45"/>
      <c r="E2417" s="45"/>
    </row>
    <row r="2418" hidden="1">
      <c r="A2418" s="45"/>
      <c r="B2418" s="45"/>
      <c r="C2418" s="46"/>
      <c r="D2418" s="45"/>
      <c r="E2418" s="45"/>
    </row>
    <row r="2419" hidden="1">
      <c r="A2419" s="45"/>
      <c r="B2419" s="45"/>
      <c r="C2419" s="46"/>
      <c r="D2419" s="45"/>
      <c r="E2419" s="45"/>
    </row>
    <row r="2420" hidden="1">
      <c r="A2420" s="45"/>
      <c r="B2420" s="45"/>
      <c r="C2420" s="46"/>
      <c r="D2420" s="45"/>
      <c r="E2420" s="45"/>
    </row>
    <row r="2421" hidden="1">
      <c r="A2421" s="45"/>
      <c r="B2421" s="45"/>
      <c r="C2421" s="46"/>
      <c r="D2421" s="45"/>
      <c r="E2421" s="45"/>
    </row>
    <row r="2422" hidden="1">
      <c r="A2422" s="45"/>
      <c r="B2422" s="45"/>
      <c r="C2422" s="46"/>
      <c r="D2422" s="45"/>
      <c r="E2422" s="45"/>
    </row>
    <row r="2423" hidden="1">
      <c r="A2423" s="45"/>
      <c r="B2423" s="45"/>
      <c r="C2423" s="46"/>
      <c r="D2423" s="45"/>
      <c r="E2423" s="45"/>
    </row>
    <row r="2424" hidden="1">
      <c r="A2424" s="45"/>
      <c r="B2424" s="45"/>
      <c r="C2424" s="46"/>
      <c r="D2424" s="45"/>
      <c r="E2424" s="45"/>
    </row>
    <row r="2425" hidden="1">
      <c r="A2425" s="45"/>
      <c r="B2425" s="45"/>
      <c r="C2425" s="46"/>
      <c r="D2425" s="45"/>
      <c r="E2425" s="45"/>
    </row>
    <row r="2426" hidden="1">
      <c r="A2426" s="45"/>
      <c r="B2426" s="45"/>
      <c r="C2426" s="46"/>
      <c r="D2426" s="45"/>
      <c r="E2426" s="45"/>
    </row>
    <row r="2427" hidden="1">
      <c r="A2427" s="45"/>
      <c r="B2427" s="45"/>
      <c r="C2427" s="46"/>
      <c r="D2427" s="45"/>
      <c r="E2427" s="45"/>
    </row>
    <row r="2428" hidden="1">
      <c r="A2428" s="45"/>
      <c r="B2428" s="45"/>
      <c r="C2428" s="46"/>
      <c r="D2428" s="45"/>
      <c r="E2428" s="45"/>
    </row>
    <row r="2429" hidden="1">
      <c r="A2429" s="45"/>
      <c r="B2429" s="45"/>
      <c r="C2429" s="46"/>
      <c r="D2429" s="45"/>
      <c r="E2429" s="45"/>
    </row>
    <row r="2430" hidden="1">
      <c r="A2430" s="45"/>
      <c r="B2430" s="45"/>
      <c r="C2430" s="46"/>
      <c r="D2430" s="45"/>
      <c r="E2430" s="45"/>
    </row>
    <row r="2431" hidden="1">
      <c r="A2431" s="45"/>
      <c r="B2431" s="45"/>
      <c r="C2431" s="46"/>
      <c r="D2431" s="45"/>
      <c r="E2431" s="45"/>
    </row>
    <row r="2432" hidden="1">
      <c r="A2432" s="45"/>
      <c r="B2432" s="45"/>
      <c r="C2432" s="46"/>
      <c r="D2432" s="45"/>
      <c r="E2432" s="45"/>
    </row>
    <row r="2433" hidden="1">
      <c r="A2433" s="45"/>
      <c r="B2433" s="45"/>
      <c r="C2433" s="46"/>
      <c r="D2433" s="45"/>
      <c r="E2433" s="45"/>
    </row>
    <row r="2434" hidden="1">
      <c r="A2434" s="45"/>
      <c r="B2434" s="45"/>
      <c r="C2434" s="46"/>
      <c r="D2434" s="45"/>
      <c r="E2434" s="45"/>
    </row>
    <row r="2435" hidden="1">
      <c r="A2435" s="45"/>
      <c r="B2435" s="45"/>
      <c r="C2435" s="46"/>
      <c r="D2435" s="45"/>
      <c r="E2435" s="45"/>
    </row>
    <row r="2436" hidden="1">
      <c r="A2436" s="45"/>
      <c r="B2436" s="45"/>
      <c r="C2436" s="46"/>
      <c r="D2436" s="45"/>
      <c r="E2436" s="45"/>
    </row>
    <row r="2437" hidden="1">
      <c r="A2437" s="45"/>
      <c r="B2437" s="45"/>
      <c r="C2437" s="46"/>
      <c r="D2437" s="45"/>
      <c r="E2437" s="45"/>
    </row>
    <row r="2438" hidden="1">
      <c r="A2438" s="45"/>
      <c r="B2438" s="45"/>
      <c r="C2438" s="46"/>
      <c r="D2438" s="45"/>
      <c r="E2438" s="45"/>
    </row>
    <row r="2439" hidden="1">
      <c r="A2439" s="45"/>
      <c r="B2439" s="45"/>
      <c r="C2439" s="46"/>
      <c r="D2439" s="45"/>
      <c r="E2439" s="45"/>
    </row>
    <row r="2440" hidden="1">
      <c r="A2440" s="45"/>
      <c r="B2440" s="45"/>
      <c r="C2440" s="46"/>
      <c r="D2440" s="45"/>
      <c r="E2440" s="45"/>
    </row>
    <row r="2441" hidden="1">
      <c r="A2441" s="45"/>
      <c r="B2441" s="45"/>
      <c r="C2441" s="46"/>
      <c r="D2441" s="45"/>
      <c r="E2441" s="45"/>
    </row>
    <row r="2442" hidden="1">
      <c r="A2442" s="45"/>
      <c r="B2442" s="45"/>
      <c r="C2442" s="46"/>
      <c r="D2442" s="45"/>
      <c r="E2442" s="45"/>
    </row>
    <row r="2443" hidden="1">
      <c r="A2443" s="45"/>
      <c r="B2443" s="45"/>
      <c r="C2443" s="46"/>
      <c r="D2443" s="45"/>
      <c r="E2443" s="45"/>
    </row>
    <row r="2444" hidden="1">
      <c r="A2444" s="45"/>
      <c r="B2444" s="45"/>
      <c r="C2444" s="46"/>
      <c r="D2444" s="45"/>
      <c r="E2444" s="45"/>
    </row>
    <row r="2445" hidden="1">
      <c r="A2445" s="45"/>
      <c r="B2445" s="45"/>
      <c r="C2445" s="46"/>
      <c r="D2445" s="45"/>
      <c r="E2445" s="45"/>
    </row>
    <row r="2446" hidden="1">
      <c r="A2446" s="45"/>
      <c r="B2446" s="45"/>
      <c r="C2446" s="46"/>
      <c r="D2446" s="45"/>
      <c r="E2446" s="45"/>
    </row>
    <row r="2447" hidden="1">
      <c r="A2447" s="45"/>
      <c r="B2447" s="45"/>
      <c r="C2447" s="46"/>
      <c r="D2447" s="45"/>
      <c r="E2447" s="45"/>
    </row>
    <row r="2448" hidden="1">
      <c r="A2448" s="45"/>
      <c r="B2448" s="45"/>
      <c r="C2448" s="46"/>
      <c r="D2448" s="45"/>
      <c r="E2448" s="45"/>
    </row>
    <row r="2449" hidden="1">
      <c r="A2449" s="45"/>
      <c r="B2449" s="45"/>
      <c r="C2449" s="46"/>
      <c r="D2449" s="45"/>
      <c r="E2449" s="45"/>
    </row>
    <row r="2450" hidden="1">
      <c r="A2450" s="45"/>
      <c r="B2450" s="45"/>
      <c r="C2450" s="46"/>
      <c r="D2450" s="45"/>
      <c r="E2450" s="45"/>
    </row>
    <row r="2451" hidden="1">
      <c r="A2451" s="45"/>
      <c r="B2451" s="45"/>
      <c r="C2451" s="46"/>
      <c r="D2451" s="45"/>
      <c r="E2451" s="45"/>
    </row>
    <row r="2452" hidden="1">
      <c r="A2452" s="45"/>
      <c r="B2452" s="45"/>
      <c r="C2452" s="46"/>
      <c r="D2452" s="45"/>
      <c r="E2452" s="45"/>
    </row>
    <row r="2453" hidden="1">
      <c r="A2453" s="45"/>
      <c r="B2453" s="45"/>
      <c r="C2453" s="46"/>
      <c r="D2453" s="45"/>
      <c r="E2453" s="45"/>
    </row>
    <row r="2454" hidden="1">
      <c r="A2454" s="45"/>
      <c r="B2454" s="45"/>
      <c r="C2454" s="46"/>
      <c r="D2454" s="45"/>
      <c r="E2454" s="45"/>
    </row>
    <row r="2455" hidden="1">
      <c r="A2455" s="45"/>
      <c r="B2455" s="45"/>
      <c r="C2455" s="46"/>
      <c r="D2455" s="45"/>
      <c r="E2455" s="45"/>
    </row>
    <row r="2456" hidden="1">
      <c r="A2456" s="45"/>
      <c r="B2456" s="45"/>
      <c r="C2456" s="46"/>
      <c r="D2456" s="45"/>
      <c r="E2456" s="45"/>
    </row>
    <row r="2457" hidden="1">
      <c r="A2457" s="45"/>
      <c r="B2457" s="45"/>
      <c r="C2457" s="46"/>
      <c r="D2457" s="45"/>
      <c r="E2457" s="45"/>
    </row>
    <row r="2458" hidden="1">
      <c r="A2458" s="45"/>
      <c r="B2458" s="45"/>
      <c r="C2458" s="46"/>
      <c r="D2458" s="45"/>
      <c r="E2458" s="45"/>
    </row>
    <row r="2459" hidden="1">
      <c r="A2459" s="45"/>
      <c r="B2459" s="45"/>
      <c r="C2459" s="46"/>
      <c r="D2459" s="45"/>
      <c r="E2459" s="45"/>
    </row>
    <row r="2460" hidden="1">
      <c r="A2460" s="45"/>
      <c r="B2460" s="45"/>
      <c r="C2460" s="46"/>
      <c r="D2460" s="45"/>
      <c r="E2460" s="45"/>
    </row>
    <row r="2461" hidden="1">
      <c r="A2461" s="45"/>
      <c r="B2461" s="45"/>
      <c r="C2461" s="46"/>
      <c r="D2461" s="45"/>
      <c r="E2461" s="45"/>
    </row>
    <row r="2462" hidden="1">
      <c r="A2462" s="45"/>
      <c r="B2462" s="45"/>
      <c r="C2462" s="46"/>
      <c r="D2462" s="45"/>
      <c r="E2462" s="45"/>
    </row>
    <row r="2463" hidden="1">
      <c r="A2463" s="45"/>
      <c r="B2463" s="45"/>
      <c r="C2463" s="46"/>
      <c r="D2463" s="45"/>
      <c r="E2463" s="45"/>
    </row>
    <row r="2464" hidden="1">
      <c r="A2464" s="45"/>
      <c r="B2464" s="45"/>
      <c r="C2464" s="46"/>
      <c r="D2464" s="45"/>
      <c r="E2464" s="45"/>
    </row>
    <row r="2465" hidden="1">
      <c r="A2465" s="45"/>
      <c r="B2465" s="45"/>
      <c r="C2465" s="46"/>
      <c r="D2465" s="45"/>
      <c r="E2465" s="45"/>
    </row>
    <row r="2466" hidden="1">
      <c r="A2466" s="45"/>
      <c r="B2466" s="45"/>
      <c r="C2466" s="46"/>
      <c r="D2466" s="45"/>
      <c r="E2466" s="45"/>
    </row>
    <row r="2467" hidden="1">
      <c r="A2467" s="45"/>
      <c r="B2467" s="45"/>
      <c r="C2467" s="46"/>
      <c r="D2467" s="45"/>
      <c r="E2467" s="45"/>
    </row>
    <row r="2468" hidden="1">
      <c r="A2468" s="45"/>
      <c r="B2468" s="45"/>
      <c r="C2468" s="46"/>
      <c r="D2468" s="45"/>
      <c r="E2468" s="45"/>
    </row>
    <row r="2469" hidden="1">
      <c r="A2469" s="45"/>
      <c r="B2469" s="45"/>
      <c r="C2469" s="46"/>
      <c r="D2469" s="45"/>
      <c r="E2469" s="45"/>
    </row>
    <row r="2470" hidden="1">
      <c r="A2470" s="45"/>
      <c r="B2470" s="45"/>
      <c r="C2470" s="46"/>
      <c r="D2470" s="45"/>
      <c r="E2470" s="45"/>
    </row>
    <row r="2471" hidden="1">
      <c r="A2471" s="45"/>
      <c r="B2471" s="45"/>
      <c r="C2471" s="46"/>
      <c r="D2471" s="45"/>
      <c r="E2471" s="45"/>
    </row>
    <row r="2472" hidden="1">
      <c r="A2472" s="45"/>
      <c r="B2472" s="45"/>
      <c r="C2472" s="46"/>
      <c r="D2472" s="45"/>
      <c r="E2472" s="45"/>
    </row>
    <row r="2473" hidden="1">
      <c r="A2473" s="45"/>
      <c r="B2473" s="45"/>
      <c r="C2473" s="46"/>
      <c r="D2473" s="45"/>
      <c r="E2473" s="45"/>
    </row>
    <row r="2474" hidden="1">
      <c r="A2474" s="45"/>
      <c r="B2474" s="45"/>
      <c r="C2474" s="46"/>
      <c r="D2474" s="45"/>
      <c r="E2474" s="45"/>
    </row>
    <row r="2475" hidden="1">
      <c r="A2475" s="45"/>
      <c r="B2475" s="45"/>
      <c r="C2475" s="46"/>
      <c r="D2475" s="45"/>
      <c r="E2475" s="45"/>
    </row>
    <row r="2476" hidden="1">
      <c r="A2476" s="45"/>
      <c r="B2476" s="45"/>
      <c r="C2476" s="46"/>
      <c r="D2476" s="45"/>
      <c r="E2476" s="45"/>
    </row>
    <row r="2477" hidden="1">
      <c r="A2477" s="45"/>
      <c r="B2477" s="45"/>
      <c r="C2477" s="46"/>
      <c r="D2477" s="45"/>
      <c r="E2477" s="45"/>
    </row>
    <row r="2478" hidden="1">
      <c r="A2478" s="45"/>
      <c r="B2478" s="45"/>
      <c r="C2478" s="46"/>
      <c r="D2478" s="45"/>
      <c r="E2478" s="45"/>
    </row>
    <row r="2479" hidden="1">
      <c r="A2479" s="45"/>
      <c r="B2479" s="45"/>
      <c r="C2479" s="46"/>
      <c r="D2479" s="45"/>
      <c r="E2479" s="45"/>
    </row>
    <row r="2480" hidden="1">
      <c r="A2480" s="45"/>
      <c r="B2480" s="45"/>
      <c r="C2480" s="46"/>
      <c r="D2480" s="45"/>
      <c r="E2480" s="45"/>
    </row>
    <row r="2481" hidden="1">
      <c r="A2481" s="45"/>
      <c r="B2481" s="45"/>
      <c r="C2481" s="46"/>
      <c r="D2481" s="45"/>
      <c r="E2481" s="45"/>
    </row>
    <row r="2482" hidden="1">
      <c r="A2482" s="45"/>
      <c r="B2482" s="45"/>
      <c r="C2482" s="46"/>
      <c r="D2482" s="45"/>
      <c r="E2482" s="45"/>
    </row>
    <row r="2483" hidden="1">
      <c r="A2483" s="45"/>
      <c r="B2483" s="45"/>
      <c r="C2483" s="46"/>
      <c r="D2483" s="45"/>
      <c r="E2483" s="45"/>
    </row>
    <row r="2484" hidden="1">
      <c r="A2484" s="45"/>
      <c r="B2484" s="45"/>
      <c r="C2484" s="46"/>
      <c r="D2484" s="45"/>
      <c r="E2484" s="45"/>
    </row>
    <row r="2485" hidden="1">
      <c r="A2485" s="45"/>
      <c r="B2485" s="45"/>
      <c r="C2485" s="46"/>
      <c r="D2485" s="45"/>
      <c r="E2485" s="45"/>
    </row>
    <row r="2486" hidden="1">
      <c r="A2486" s="45"/>
      <c r="B2486" s="45"/>
      <c r="C2486" s="46"/>
      <c r="D2486" s="45"/>
      <c r="E2486" s="45"/>
    </row>
    <row r="2487" hidden="1">
      <c r="A2487" s="45"/>
      <c r="B2487" s="45"/>
      <c r="C2487" s="46"/>
      <c r="D2487" s="45"/>
      <c r="E2487" s="45"/>
    </row>
    <row r="2488" hidden="1">
      <c r="A2488" s="45"/>
      <c r="B2488" s="45"/>
      <c r="C2488" s="46"/>
      <c r="D2488" s="45"/>
      <c r="E2488" s="45"/>
    </row>
    <row r="2489" hidden="1">
      <c r="A2489" s="45"/>
      <c r="B2489" s="45"/>
      <c r="C2489" s="46"/>
      <c r="D2489" s="45"/>
      <c r="E2489" s="45"/>
    </row>
    <row r="2490" hidden="1">
      <c r="A2490" s="45"/>
      <c r="B2490" s="45"/>
      <c r="C2490" s="46"/>
      <c r="D2490" s="45"/>
      <c r="E2490" s="45"/>
    </row>
    <row r="2491" hidden="1">
      <c r="A2491" s="45"/>
      <c r="B2491" s="45"/>
      <c r="C2491" s="46"/>
      <c r="D2491" s="45"/>
      <c r="E2491" s="45"/>
    </row>
    <row r="2492" hidden="1">
      <c r="A2492" s="45"/>
      <c r="B2492" s="45"/>
      <c r="C2492" s="46"/>
      <c r="D2492" s="45"/>
      <c r="E2492" s="45"/>
    </row>
    <row r="2493" hidden="1">
      <c r="A2493" s="45"/>
      <c r="B2493" s="45"/>
      <c r="C2493" s="46"/>
      <c r="D2493" s="45"/>
      <c r="E2493" s="45"/>
    </row>
    <row r="2494" hidden="1">
      <c r="A2494" s="45"/>
      <c r="B2494" s="45"/>
      <c r="C2494" s="46"/>
      <c r="D2494" s="45"/>
      <c r="E2494" s="45"/>
    </row>
    <row r="2495" hidden="1">
      <c r="A2495" s="45"/>
      <c r="B2495" s="45"/>
      <c r="C2495" s="46"/>
      <c r="D2495" s="45"/>
      <c r="E2495" s="45"/>
    </row>
    <row r="2496" hidden="1">
      <c r="A2496" s="45"/>
      <c r="B2496" s="45"/>
      <c r="C2496" s="46"/>
      <c r="D2496" s="45"/>
      <c r="E2496" s="45"/>
    </row>
    <row r="2497" hidden="1">
      <c r="A2497" s="45"/>
      <c r="B2497" s="45"/>
      <c r="C2497" s="46"/>
      <c r="D2497" s="45"/>
      <c r="E2497" s="45"/>
    </row>
    <row r="2498" hidden="1">
      <c r="A2498" s="45"/>
      <c r="B2498" s="45"/>
      <c r="C2498" s="46"/>
      <c r="D2498" s="45"/>
      <c r="E2498" s="45"/>
    </row>
    <row r="2499" hidden="1">
      <c r="A2499" s="45"/>
      <c r="B2499" s="45"/>
      <c r="C2499" s="46"/>
      <c r="D2499" s="45"/>
      <c r="E2499" s="45"/>
    </row>
    <row r="2500" hidden="1">
      <c r="A2500" s="45"/>
      <c r="B2500" s="45"/>
      <c r="C2500" s="46"/>
      <c r="D2500" s="45"/>
      <c r="E2500" s="45"/>
    </row>
    <row r="2501" hidden="1">
      <c r="A2501" s="45"/>
      <c r="B2501" s="45"/>
      <c r="C2501" s="46"/>
      <c r="D2501" s="45"/>
      <c r="E2501" s="45"/>
    </row>
    <row r="2502" hidden="1">
      <c r="A2502" s="45"/>
      <c r="B2502" s="45"/>
      <c r="C2502" s="46"/>
      <c r="D2502" s="45"/>
      <c r="E2502" s="45"/>
    </row>
    <row r="2503" hidden="1">
      <c r="A2503" s="45"/>
      <c r="B2503" s="45"/>
      <c r="C2503" s="46"/>
      <c r="D2503" s="45"/>
      <c r="E2503" s="45"/>
    </row>
    <row r="2504" hidden="1">
      <c r="A2504" s="45"/>
      <c r="B2504" s="45"/>
      <c r="C2504" s="46"/>
      <c r="D2504" s="45"/>
      <c r="E2504" s="45"/>
    </row>
    <row r="2505" hidden="1">
      <c r="A2505" s="45"/>
      <c r="B2505" s="45"/>
      <c r="C2505" s="46"/>
      <c r="D2505" s="45"/>
      <c r="E2505" s="45"/>
    </row>
    <row r="2506" hidden="1">
      <c r="A2506" s="45"/>
      <c r="B2506" s="45"/>
      <c r="C2506" s="46"/>
      <c r="D2506" s="45"/>
      <c r="E2506" s="45"/>
    </row>
    <row r="2507" hidden="1">
      <c r="A2507" s="45"/>
      <c r="B2507" s="45"/>
      <c r="C2507" s="46"/>
      <c r="D2507" s="45"/>
      <c r="E2507" s="45"/>
    </row>
    <row r="2508" hidden="1">
      <c r="A2508" s="45"/>
      <c r="B2508" s="45"/>
      <c r="C2508" s="46"/>
      <c r="D2508" s="45"/>
      <c r="E2508" s="45"/>
    </row>
    <row r="2509" hidden="1">
      <c r="A2509" s="45"/>
      <c r="B2509" s="45"/>
      <c r="C2509" s="46"/>
      <c r="D2509" s="45"/>
      <c r="E2509" s="45"/>
    </row>
    <row r="2510" hidden="1">
      <c r="A2510" s="45"/>
      <c r="B2510" s="45"/>
      <c r="C2510" s="46"/>
      <c r="D2510" s="45"/>
      <c r="E2510" s="45"/>
    </row>
    <row r="2511" hidden="1">
      <c r="A2511" s="45"/>
      <c r="B2511" s="45"/>
      <c r="C2511" s="46"/>
      <c r="D2511" s="45"/>
      <c r="E2511" s="45"/>
    </row>
    <row r="2512" hidden="1">
      <c r="A2512" s="45"/>
      <c r="B2512" s="45"/>
      <c r="C2512" s="46"/>
      <c r="D2512" s="45"/>
      <c r="E2512" s="45"/>
    </row>
    <row r="2513" hidden="1">
      <c r="A2513" s="45"/>
      <c r="B2513" s="45"/>
      <c r="C2513" s="46"/>
      <c r="D2513" s="45"/>
      <c r="E2513" s="45"/>
    </row>
    <row r="2514" hidden="1">
      <c r="A2514" s="45"/>
      <c r="B2514" s="45"/>
      <c r="C2514" s="46"/>
      <c r="D2514" s="45"/>
      <c r="E2514" s="45"/>
    </row>
    <row r="2515" hidden="1">
      <c r="A2515" s="45"/>
      <c r="B2515" s="45"/>
      <c r="C2515" s="46"/>
      <c r="D2515" s="45"/>
      <c r="E2515" s="45"/>
    </row>
    <row r="2516" hidden="1">
      <c r="A2516" s="45"/>
      <c r="B2516" s="45"/>
      <c r="C2516" s="46"/>
      <c r="D2516" s="45"/>
      <c r="E2516" s="45"/>
    </row>
    <row r="2517" hidden="1">
      <c r="A2517" s="45"/>
      <c r="B2517" s="45"/>
      <c r="C2517" s="46"/>
      <c r="D2517" s="45"/>
      <c r="E2517" s="45"/>
    </row>
    <row r="2518" hidden="1">
      <c r="A2518" s="45"/>
      <c r="B2518" s="45"/>
      <c r="C2518" s="46"/>
      <c r="D2518" s="45"/>
      <c r="E2518" s="45"/>
    </row>
    <row r="2519" hidden="1">
      <c r="A2519" s="45"/>
      <c r="B2519" s="45"/>
      <c r="C2519" s="46"/>
      <c r="D2519" s="45"/>
      <c r="E2519" s="45"/>
    </row>
    <row r="2520" hidden="1">
      <c r="A2520" s="45"/>
      <c r="B2520" s="45"/>
      <c r="C2520" s="46"/>
      <c r="D2520" s="45"/>
      <c r="E2520" s="45"/>
    </row>
    <row r="2521" hidden="1">
      <c r="A2521" s="45"/>
      <c r="B2521" s="45"/>
      <c r="C2521" s="46"/>
      <c r="D2521" s="45"/>
      <c r="E2521" s="45"/>
    </row>
    <row r="2522" hidden="1">
      <c r="A2522" s="45"/>
      <c r="B2522" s="45"/>
      <c r="C2522" s="46"/>
      <c r="D2522" s="45"/>
      <c r="E2522" s="45"/>
    </row>
    <row r="2523" hidden="1">
      <c r="A2523" s="45"/>
      <c r="B2523" s="45"/>
      <c r="C2523" s="46"/>
      <c r="D2523" s="45"/>
      <c r="E2523" s="45"/>
    </row>
    <row r="2524" hidden="1">
      <c r="A2524" s="45"/>
      <c r="B2524" s="45"/>
      <c r="C2524" s="46"/>
      <c r="D2524" s="45"/>
      <c r="E2524" s="45"/>
    </row>
    <row r="2525" hidden="1">
      <c r="A2525" s="45"/>
      <c r="B2525" s="45"/>
      <c r="C2525" s="46"/>
      <c r="D2525" s="45"/>
      <c r="E2525" s="45"/>
    </row>
    <row r="2526" hidden="1">
      <c r="A2526" s="45"/>
      <c r="B2526" s="45"/>
      <c r="C2526" s="46"/>
      <c r="D2526" s="45"/>
      <c r="E2526" s="45"/>
    </row>
    <row r="2527" hidden="1">
      <c r="A2527" s="45"/>
      <c r="B2527" s="45"/>
      <c r="C2527" s="46"/>
      <c r="D2527" s="45"/>
      <c r="E2527" s="45"/>
    </row>
    <row r="2528" hidden="1">
      <c r="A2528" s="45"/>
      <c r="B2528" s="45"/>
      <c r="C2528" s="46"/>
      <c r="D2528" s="45"/>
      <c r="E2528" s="45"/>
    </row>
    <row r="2529" hidden="1">
      <c r="A2529" s="45"/>
      <c r="B2529" s="45"/>
      <c r="C2529" s="46"/>
      <c r="D2529" s="45"/>
      <c r="E2529" s="45"/>
    </row>
    <row r="2530" hidden="1">
      <c r="A2530" s="45"/>
      <c r="B2530" s="45"/>
      <c r="C2530" s="46"/>
      <c r="D2530" s="45"/>
      <c r="E2530" s="45"/>
    </row>
    <row r="2531" hidden="1">
      <c r="A2531" s="45"/>
      <c r="B2531" s="45"/>
      <c r="C2531" s="46"/>
      <c r="D2531" s="45"/>
      <c r="E2531" s="45"/>
    </row>
    <row r="2532" hidden="1">
      <c r="A2532" s="45"/>
      <c r="B2532" s="45"/>
      <c r="C2532" s="46"/>
      <c r="D2532" s="45"/>
      <c r="E2532" s="45"/>
    </row>
    <row r="2533" hidden="1">
      <c r="A2533" s="45"/>
      <c r="B2533" s="45"/>
      <c r="C2533" s="46"/>
      <c r="D2533" s="45"/>
      <c r="E2533" s="45"/>
    </row>
    <row r="2534" hidden="1">
      <c r="A2534" s="45"/>
      <c r="B2534" s="45"/>
      <c r="C2534" s="46"/>
      <c r="D2534" s="45"/>
      <c r="E2534" s="45"/>
    </row>
    <row r="2535" hidden="1">
      <c r="A2535" s="45"/>
      <c r="B2535" s="45"/>
      <c r="C2535" s="46"/>
      <c r="D2535" s="45"/>
      <c r="E2535" s="45"/>
    </row>
    <row r="2536" hidden="1">
      <c r="A2536" s="45"/>
      <c r="B2536" s="45"/>
      <c r="C2536" s="46"/>
      <c r="D2536" s="45"/>
      <c r="E2536" s="45"/>
    </row>
    <row r="2537" hidden="1">
      <c r="A2537" s="45"/>
      <c r="B2537" s="45"/>
      <c r="C2537" s="46"/>
      <c r="D2537" s="45"/>
      <c r="E2537" s="45"/>
    </row>
    <row r="2538" hidden="1">
      <c r="A2538" s="45"/>
      <c r="B2538" s="45"/>
      <c r="C2538" s="46"/>
      <c r="D2538" s="45"/>
      <c r="E2538" s="45"/>
    </row>
    <row r="2539" hidden="1">
      <c r="A2539" s="45"/>
      <c r="B2539" s="45"/>
      <c r="C2539" s="46"/>
      <c r="D2539" s="45"/>
      <c r="E2539" s="45"/>
    </row>
    <row r="2540" hidden="1">
      <c r="A2540" s="45"/>
      <c r="B2540" s="45"/>
      <c r="C2540" s="46"/>
      <c r="D2540" s="45"/>
      <c r="E2540" s="45"/>
    </row>
    <row r="2541" hidden="1">
      <c r="A2541" s="45"/>
      <c r="B2541" s="45"/>
      <c r="C2541" s="46"/>
      <c r="D2541" s="45"/>
      <c r="E2541" s="45"/>
    </row>
    <row r="2542" hidden="1">
      <c r="A2542" s="45"/>
      <c r="B2542" s="45"/>
      <c r="C2542" s="46"/>
      <c r="D2542" s="45"/>
      <c r="E2542" s="45"/>
    </row>
    <row r="2543" hidden="1">
      <c r="A2543" s="45"/>
      <c r="B2543" s="45"/>
      <c r="C2543" s="46"/>
      <c r="D2543" s="45"/>
      <c r="E2543" s="45"/>
    </row>
    <row r="2544" hidden="1">
      <c r="A2544" s="45"/>
      <c r="B2544" s="45"/>
      <c r="C2544" s="46"/>
      <c r="D2544" s="45"/>
      <c r="E2544" s="45"/>
    </row>
    <row r="2545" hidden="1">
      <c r="A2545" s="45"/>
      <c r="B2545" s="45"/>
      <c r="C2545" s="46"/>
      <c r="D2545" s="45"/>
      <c r="E2545" s="45"/>
    </row>
    <row r="2546" hidden="1">
      <c r="A2546" s="45"/>
      <c r="B2546" s="45"/>
      <c r="C2546" s="46"/>
      <c r="D2546" s="45"/>
      <c r="E2546" s="45"/>
    </row>
    <row r="2547" hidden="1">
      <c r="A2547" s="45"/>
      <c r="B2547" s="45"/>
      <c r="C2547" s="46"/>
      <c r="D2547" s="45"/>
      <c r="E2547" s="45"/>
    </row>
    <row r="2548" hidden="1">
      <c r="A2548" s="45"/>
      <c r="B2548" s="45"/>
      <c r="C2548" s="46"/>
      <c r="D2548" s="45"/>
      <c r="E2548" s="45"/>
    </row>
    <row r="2549" hidden="1">
      <c r="A2549" s="45"/>
      <c r="B2549" s="45"/>
      <c r="C2549" s="46"/>
      <c r="D2549" s="45"/>
      <c r="E2549" s="45"/>
    </row>
    <row r="2550" hidden="1">
      <c r="A2550" s="45"/>
      <c r="B2550" s="45"/>
      <c r="C2550" s="46"/>
      <c r="D2550" s="45"/>
      <c r="E2550" s="45"/>
    </row>
    <row r="2551" hidden="1">
      <c r="A2551" s="45"/>
      <c r="B2551" s="45"/>
      <c r="C2551" s="46"/>
      <c r="D2551" s="45"/>
      <c r="E2551" s="45"/>
    </row>
    <row r="2552" hidden="1">
      <c r="A2552" s="45"/>
      <c r="B2552" s="45"/>
      <c r="C2552" s="46"/>
      <c r="D2552" s="45"/>
      <c r="E2552" s="45"/>
    </row>
    <row r="2553" hidden="1">
      <c r="A2553" s="45"/>
      <c r="B2553" s="45"/>
      <c r="C2553" s="46"/>
      <c r="D2553" s="45"/>
      <c r="E2553" s="45"/>
    </row>
    <row r="2554" hidden="1">
      <c r="A2554" s="45"/>
      <c r="B2554" s="45"/>
      <c r="C2554" s="46"/>
      <c r="D2554" s="45"/>
      <c r="E2554" s="45"/>
    </row>
    <row r="2555" hidden="1">
      <c r="A2555" s="45"/>
      <c r="B2555" s="45"/>
      <c r="C2555" s="46"/>
      <c r="D2555" s="45"/>
      <c r="E2555" s="45"/>
    </row>
    <row r="2556" hidden="1">
      <c r="A2556" s="45"/>
      <c r="B2556" s="45"/>
      <c r="C2556" s="46"/>
      <c r="D2556" s="45"/>
      <c r="E2556" s="45"/>
    </row>
    <row r="2557" hidden="1">
      <c r="A2557" s="45"/>
      <c r="B2557" s="45"/>
      <c r="C2557" s="46"/>
      <c r="D2557" s="45"/>
      <c r="E2557" s="45"/>
    </row>
    <row r="2558" hidden="1">
      <c r="A2558" s="45"/>
      <c r="B2558" s="45"/>
      <c r="C2558" s="46"/>
      <c r="D2558" s="45"/>
      <c r="E2558" s="45"/>
    </row>
    <row r="2559" hidden="1">
      <c r="A2559" s="45"/>
      <c r="B2559" s="45"/>
      <c r="C2559" s="46"/>
      <c r="D2559" s="45"/>
      <c r="E2559" s="45"/>
    </row>
    <row r="2560" hidden="1">
      <c r="A2560" s="45"/>
      <c r="B2560" s="45"/>
      <c r="C2560" s="46"/>
      <c r="D2560" s="45"/>
      <c r="E2560" s="45"/>
    </row>
    <row r="2561" hidden="1">
      <c r="A2561" s="45"/>
      <c r="B2561" s="45"/>
      <c r="C2561" s="46"/>
      <c r="D2561" s="45"/>
      <c r="E2561" s="45"/>
    </row>
    <row r="2562" hidden="1">
      <c r="A2562" s="45"/>
      <c r="B2562" s="45"/>
      <c r="C2562" s="46"/>
      <c r="D2562" s="45"/>
      <c r="E2562" s="45"/>
    </row>
    <row r="2563" hidden="1">
      <c r="A2563" s="45"/>
      <c r="B2563" s="45"/>
      <c r="C2563" s="46"/>
      <c r="D2563" s="45"/>
      <c r="E2563" s="45"/>
    </row>
    <row r="2564" hidden="1">
      <c r="A2564" s="45"/>
      <c r="B2564" s="45"/>
      <c r="C2564" s="46"/>
      <c r="D2564" s="45"/>
      <c r="E2564" s="45"/>
    </row>
    <row r="2565" hidden="1">
      <c r="A2565" s="45"/>
      <c r="B2565" s="45"/>
      <c r="C2565" s="46"/>
      <c r="D2565" s="45"/>
      <c r="E2565" s="45"/>
    </row>
    <row r="2566" hidden="1">
      <c r="A2566" s="45"/>
      <c r="B2566" s="45"/>
      <c r="C2566" s="46"/>
      <c r="D2566" s="45"/>
      <c r="E2566" s="45"/>
    </row>
    <row r="2567" hidden="1">
      <c r="A2567" s="45"/>
      <c r="B2567" s="45"/>
      <c r="C2567" s="46"/>
      <c r="D2567" s="45"/>
      <c r="E2567" s="45"/>
    </row>
    <row r="2568" hidden="1">
      <c r="A2568" s="45"/>
      <c r="B2568" s="45"/>
      <c r="C2568" s="46"/>
      <c r="D2568" s="45"/>
      <c r="E2568" s="45"/>
    </row>
    <row r="2569" hidden="1">
      <c r="A2569" s="45"/>
      <c r="B2569" s="45"/>
      <c r="C2569" s="46"/>
      <c r="D2569" s="45"/>
      <c r="E2569" s="45"/>
    </row>
    <row r="2570" hidden="1">
      <c r="A2570" s="45"/>
      <c r="B2570" s="45"/>
      <c r="C2570" s="46"/>
      <c r="D2570" s="45"/>
      <c r="E2570" s="45"/>
    </row>
    <row r="2571" hidden="1">
      <c r="A2571" s="45"/>
      <c r="B2571" s="45"/>
      <c r="C2571" s="46"/>
      <c r="D2571" s="45"/>
      <c r="E2571" s="45"/>
    </row>
    <row r="2572" hidden="1">
      <c r="A2572" s="45"/>
      <c r="B2572" s="45"/>
      <c r="C2572" s="46"/>
      <c r="D2572" s="45"/>
      <c r="E2572" s="45"/>
    </row>
    <row r="2573" hidden="1">
      <c r="A2573" s="45"/>
      <c r="B2573" s="45"/>
      <c r="C2573" s="46"/>
      <c r="D2573" s="45"/>
      <c r="E2573" s="45"/>
    </row>
    <row r="2574" hidden="1">
      <c r="A2574" s="45"/>
      <c r="B2574" s="45"/>
      <c r="C2574" s="46"/>
      <c r="D2574" s="45"/>
      <c r="E2574" s="45"/>
    </row>
    <row r="2575" hidden="1">
      <c r="A2575" s="45"/>
      <c r="B2575" s="45"/>
      <c r="C2575" s="46"/>
      <c r="D2575" s="45"/>
      <c r="E2575" s="45"/>
    </row>
    <row r="2576" hidden="1">
      <c r="A2576" s="45"/>
      <c r="B2576" s="45"/>
      <c r="C2576" s="46"/>
      <c r="D2576" s="45"/>
      <c r="E2576" s="45"/>
    </row>
    <row r="2577" hidden="1">
      <c r="A2577" s="45"/>
      <c r="B2577" s="45"/>
      <c r="C2577" s="46"/>
      <c r="D2577" s="45"/>
      <c r="E2577" s="45"/>
    </row>
    <row r="2578" hidden="1">
      <c r="A2578" s="45"/>
      <c r="B2578" s="45"/>
      <c r="C2578" s="46"/>
      <c r="D2578" s="45"/>
      <c r="E2578" s="45"/>
    </row>
    <row r="2579" hidden="1">
      <c r="A2579" s="45"/>
      <c r="B2579" s="45"/>
      <c r="C2579" s="46"/>
      <c r="D2579" s="45"/>
      <c r="E2579" s="45"/>
    </row>
    <row r="2580" hidden="1">
      <c r="A2580" s="45"/>
      <c r="B2580" s="45"/>
      <c r="C2580" s="46"/>
      <c r="D2580" s="45"/>
      <c r="E2580" s="45"/>
    </row>
    <row r="2581" hidden="1">
      <c r="A2581" s="45"/>
      <c r="B2581" s="45"/>
      <c r="C2581" s="46"/>
      <c r="D2581" s="45"/>
      <c r="E2581" s="45"/>
    </row>
    <row r="2582" hidden="1">
      <c r="A2582" s="45"/>
      <c r="B2582" s="45"/>
      <c r="C2582" s="46"/>
      <c r="D2582" s="45"/>
      <c r="E2582" s="45"/>
    </row>
    <row r="2583" hidden="1">
      <c r="A2583" s="45"/>
      <c r="B2583" s="45"/>
      <c r="C2583" s="46"/>
      <c r="D2583" s="45"/>
      <c r="E2583" s="45"/>
    </row>
    <row r="2584" hidden="1">
      <c r="A2584" s="45"/>
      <c r="B2584" s="45"/>
      <c r="C2584" s="46"/>
      <c r="D2584" s="45"/>
      <c r="E2584" s="45"/>
    </row>
    <row r="2585" hidden="1">
      <c r="A2585" s="45"/>
      <c r="B2585" s="45"/>
      <c r="C2585" s="46"/>
      <c r="D2585" s="45"/>
      <c r="E2585" s="45"/>
    </row>
    <row r="2586" hidden="1">
      <c r="A2586" s="45"/>
      <c r="B2586" s="45"/>
      <c r="C2586" s="46"/>
      <c r="D2586" s="45"/>
      <c r="E2586" s="45"/>
    </row>
    <row r="2587" hidden="1">
      <c r="A2587" s="45"/>
      <c r="B2587" s="45"/>
      <c r="C2587" s="46"/>
      <c r="D2587" s="45"/>
      <c r="E2587" s="45"/>
    </row>
    <row r="2588" hidden="1">
      <c r="A2588" s="45"/>
      <c r="B2588" s="45"/>
      <c r="C2588" s="46"/>
      <c r="D2588" s="45"/>
      <c r="E2588" s="45"/>
    </row>
    <row r="2589" hidden="1">
      <c r="A2589" s="45"/>
      <c r="B2589" s="45"/>
      <c r="C2589" s="46"/>
      <c r="D2589" s="45"/>
      <c r="E2589" s="45"/>
    </row>
    <row r="2590" hidden="1">
      <c r="A2590" s="45"/>
      <c r="B2590" s="45"/>
      <c r="C2590" s="46"/>
      <c r="D2590" s="45"/>
      <c r="E2590" s="45"/>
    </row>
    <row r="2591" hidden="1">
      <c r="A2591" s="45"/>
      <c r="B2591" s="45"/>
      <c r="C2591" s="46"/>
      <c r="D2591" s="45"/>
      <c r="E2591" s="45"/>
    </row>
    <row r="2592" hidden="1">
      <c r="A2592" s="45"/>
      <c r="B2592" s="45"/>
      <c r="C2592" s="46"/>
      <c r="D2592" s="45"/>
      <c r="E2592" s="45"/>
    </row>
    <row r="2593" hidden="1">
      <c r="A2593" s="45"/>
      <c r="B2593" s="45"/>
      <c r="C2593" s="46"/>
      <c r="D2593" s="45"/>
      <c r="E2593" s="45"/>
    </row>
    <row r="2594" hidden="1">
      <c r="A2594" s="45"/>
      <c r="B2594" s="45"/>
      <c r="C2594" s="46"/>
      <c r="D2594" s="45"/>
      <c r="E2594" s="45"/>
    </row>
    <row r="2595" hidden="1">
      <c r="A2595" s="45"/>
      <c r="B2595" s="45"/>
      <c r="C2595" s="46"/>
      <c r="D2595" s="45"/>
      <c r="E2595" s="45"/>
    </row>
    <row r="2596" hidden="1">
      <c r="A2596" s="45"/>
      <c r="B2596" s="45"/>
      <c r="C2596" s="46"/>
      <c r="D2596" s="45"/>
      <c r="E2596" s="45"/>
    </row>
    <row r="2597" hidden="1">
      <c r="A2597" s="45"/>
      <c r="B2597" s="45"/>
      <c r="C2597" s="46"/>
      <c r="D2597" s="45"/>
      <c r="E2597" s="45"/>
    </row>
    <row r="2598" hidden="1">
      <c r="A2598" s="45"/>
      <c r="B2598" s="45"/>
      <c r="C2598" s="46"/>
      <c r="D2598" s="45"/>
      <c r="E2598" s="45"/>
    </row>
    <row r="2599" hidden="1">
      <c r="A2599" s="45"/>
      <c r="B2599" s="45"/>
      <c r="C2599" s="46"/>
      <c r="D2599" s="45"/>
      <c r="E2599" s="45"/>
    </row>
    <row r="2600" hidden="1">
      <c r="A2600" s="45"/>
      <c r="B2600" s="45"/>
      <c r="C2600" s="46"/>
      <c r="D2600" s="45"/>
      <c r="E2600" s="45"/>
    </row>
    <row r="2601" hidden="1">
      <c r="A2601" s="45"/>
      <c r="B2601" s="45"/>
      <c r="C2601" s="46"/>
      <c r="D2601" s="45"/>
      <c r="E2601" s="45"/>
    </row>
    <row r="2602" hidden="1">
      <c r="A2602" s="45"/>
      <c r="B2602" s="45"/>
      <c r="C2602" s="46"/>
      <c r="D2602" s="45"/>
      <c r="E2602" s="45"/>
    </row>
    <row r="2603" hidden="1">
      <c r="A2603" s="45"/>
      <c r="B2603" s="45"/>
      <c r="C2603" s="46"/>
      <c r="D2603" s="45"/>
      <c r="E2603" s="45"/>
    </row>
    <row r="2604" hidden="1">
      <c r="A2604" s="45"/>
      <c r="B2604" s="45"/>
      <c r="C2604" s="46"/>
      <c r="D2604" s="45"/>
      <c r="E2604" s="45"/>
    </row>
    <row r="2605" hidden="1">
      <c r="A2605" s="45"/>
      <c r="B2605" s="45"/>
      <c r="C2605" s="46"/>
      <c r="D2605" s="45"/>
      <c r="E2605" s="45"/>
    </row>
    <row r="2606" hidden="1">
      <c r="A2606" s="45"/>
      <c r="B2606" s="45"/>
      <c r="C2606" s="46"/>
      <c r="D2606" s="45"/>
      <c r="E2606" s="45"/>
    </row>
    <row r="2607" hidden="1">
      <c r="A2607" s="45"/>
      <c r="B2607" s="45"/>
      <c r="C2607" s="46"/>
      <c r="D2607" s="45"/>
      <c r="E2607" s="45"/>
    </row>
    <row r="2608" hidden="1">
      <c r="A2608" s="45"/>
      <c r="B2608" s="45"/>
      <c r="C2608" s="46"/>
      <c r="D2608" s="45"/>
      <c r="E2608" s="45"/>
    </row>
    <row r="2609" hidden="1">
      <c r="A2609" s="45"/>
      <c r="B2609" s="45"/>
      <c r="C2609" s="46"/>
      <c r="D2609" s="45"/>
      <c r="E2609" s="45"/>
    </row>
    <row r="2610" hidden="1">
      <c r="A2610" s="45"/>
      <c r="B2610" s="45"/>
      <c r="C2610" s="46"/>
      <c r="D2610" s="45"/>
      <c r="E2610" s="45"/>
    </row>
    <row r="2611" hidden="1">
      <c r="A2611" s="45"/>
      <c r="B2611" s="45"/>
      <c r="C2611" s="46"/>
      <c r="D2611" s="45"/>
      <c r="E2611" s="45"/>
    </row>
    <row r="2612" hidden="1">
      <c r="A2612" s="45"/>
      <c r="B2612" s="45"/>
      <c r="C2612" s="46"/>
      <c r="D2612" s="45"/>
      <c r="E2612" s="45"/>
    </row>
    <row r="2613" hidden="1">
      <c r="A2613" s="45"/>
      <c r="B2613" s="45"/>
      <c r="C2613" s="46"/>
      <c r="D2613" s="45"/>
      <c r="E2613" s="45"/>
    </row>
    <row r="2614" hidden="1">
      <c r="A2614" s="45"/>
      <c r="B2614" s="45"/>
      <c r="C2614" s="46"/>
      <c r="D2614" s="45"/>
      <c r="E2614" s="45"/>
    </row>
    <row r="2615" hidden="1">
      <c r="A2615" s="45"/>
      <c r="B2615" s="45"/>
      <c r="C2615" s="46"/>
      <c r="D2615" s="45"/>
      <c r="E2615" s="45"/>
    </row>
    <row r="2616" hidden="1">
      <c r="A2616" s="45"/>
      <c r="B2616" s="45"/>
      <c r="C2616" s="46"/>
      <c r="D2616" s="45"/>
      <c r="E2616" s="45"/>
    </row>
    <row r="2617" hidden="1">
      <c r="A2617" s="45"/>
      <c r="B2617" s="45"/>
      <c r="C2617" s="46"/>
      <c r="D2617" s="45"/>
      <c r="E2617" s="45"/>
    </row>
    <row r="2618" hidden="1">
      <c r="A2618" s="45"/>
      <c r="B2618" s="45"/>
      <c r="C2618" s="46"/>
      <c r="D2618" s="45"/>
      <c r="E2618" s="45"/>
    </row>
    <row r="2619" hidden="1">
      <c r="A2619" s="45"/>
      <c r="B2619" s="45"/>
      <c r="C2619" s="46"/>
      <c r="D2619" s="45"/>
      <c r="E2619" s="45"/>
    </row>
    <row r="2620" hidden="1">
      <c r="A2620" s="45"/>
      <c r="B2620" s="45"/>
      <c r="C2620" s="46"/>
      <c r="D2620" s="45"/>
      <c r="E2620" s="45"/>
    </row>
    <row r="2621" hidden="1">
      <c r="A2621" s="45"/>
      <c r="B2621" s="45"/>
      <c r="C2621" s="46"/>
      <c r="D2621" s="45"/>
      <c r="E2621" s="45"/>
    </row>
    <row r="2622" hidden="1">
      <c r="A2622" s="45"/>
      <c r="B2622" s="45"/>
      <c r="C2622" s="46"/>
      <c r="D2622" s="45"/>
      <c r="E2622" s="45"/>
    </row>
    <row r="2623" hidden="1">
      <c r="A2623" s="45"/>
      <c r="B2623" s="45"/>
      <c r="C2623" s="46"/>
      <c r="D2623" s="45"/>
      <c r="E2623" s="45"/>
    </row>
    <row r="2624" hidden="1">
      <c r="A2624" s="45"/>
      <c r="B2624" s="45"/>
      <c r="C2624" s="46"/>
      <c r="D2624" s="45"/>
      <c r="E2624" s="45"/>
    </row>
    <row r="2625" hidden="1">
      <c r="A2625" s="45"/>
      <c r="B2625" s="45"/>
      <c r="C2625" s="46"/>
      <c r="D2625" s="45"/>
      <c r="E2625" s="45"/>
    </row>
    <row r="2626" hidden="1">
      <c r="A2626" s="45"/>
      <c r="B2626" s="45"/>
      <c r="C2626" s="46"/>
      <c r="D2626" s="45"/>
      <c r="E2626" s="45"/>
    </row>
    <row r="2627" hidden="1">
      <c r="A2627" s="45"/>
      <c r="B2627" s="45"/>
      <c r="C2627" s="46"/>
      <c r="D2627" s="45"/>
      <c r="E2627" s="45"/>
    </row>
    <row r="2628" hidden="1">
      <c r="A2628" s="45"/>
      <c r="B2628" s="45"/>
      <c r="C2628" s="46"/>
      <c r="D2628" s="45"/>
      <c r="E2628" s="45"/>
    </row>
    <row r="2629" hidden="1">
      <c r="A2629" s="45"/>
      <c r="B2629" s="45"/>
      <c r="C2629" s="46"/>
      <c r="D2629" s="45"/>
      <c r="E2629" s="45"/>
    </row>
    <row r="2630" hidden="1">
      <c r="A2630" s="45"/>
      <c r="B2630" s="45"/>
      <c r="C2630" s="46"/>
      <c r="D2630" s="45"/>
      <c r="E2630" s="45"/>
    </row>
    <row r="2631" hidden="1">
      <c r="A2631" s="45"/>
      <c r="B2631" s="45"/>
      <c r="C2631" s="46"/>
      <c r="D2631" s="45"/>
      <c r="E2631" s="45"/>
    </row>
    <row r="2632" hidden="1">
      <c r="A2632" s="45"/>
      <c r="B2632" s="45"/>
      <c r="C2632" s="46"/>
      <c r="D2632" s="45"/>
      <c r="E2632" s="45"/>
    </row>
    <row r="2633" hidden="1">
      <c r="A2633" s="45"/>
      <c r="B2633" s="45"/>
      <c r="C2633" s="46"/>
      <c r="D2633" s="45"/>
      <c r="E2633" s="45"/>
    </row>
    <row r="2634" hidden="1">
      <c r="A2634" s="45"/>
      <c r="B2634" s="45"/>
      <c r="C2634" s="46"/>
      <c r="D2634" s="45"/>
      <c r="E2634" s="45"/>
    </row>
    <row r="2635" hidden="1">
      <c r="A2635" s="45"/>
      <c r="B2635" s="45"/>
      <c r="C2635" s="46"/>
      <c r="D2635" s="45"/>
      <c r="E2635" s="45"/>
    </row>
    <row r="2636" hidden="1">
      <c r="A2636" s="45"/>
      <c r="B2636" s="45"/>
      <c r="C2636" s="46"/>
      <c r="D2636" s="45"/>
      <c r="E2636" s="45"/>
    </row>
    <row r="2637" hidden="1">
      <c r="A2637" s="45"/>
      <c r="B2637" s="45"/>
      <c r="C2637" s="46"/>
      <c r="D2637" s="45"/>
      <c r="E2637" s="45"/>
    </row>
    <row r="2638" hidden="1">
      <c r="A2638" s="45"/>
      <c r="B2638" s="45"/>
      <c r="C2638" s="46"/>
      <c r="D2638" s="45"/>
      <c r="E2638" s="45"/>
    </row>
    <row r="2639" hidden="1">
      <c r="A2639" s="45"/>
      <c r="B2639" s="45"/>
      <c r="C2639" s="46"/>
      <c r="D2639" s="45"/>
      <c r="E2639" s="45"/>
    </row>
    <row r="2640" hidden="1">
      <c r="A2640" s="45"/>
      <c r="B2640" s="45"/>
      <c r="C2640" s="46"/>
      <c r="D2640" s="45"/>
      <c r="E2640" s="45"/>
    </row>
    <row r="2641" hidden="1">
      <c r="A2641" s="45"/>
      <c r="B2641" s="45"/>
      <c r="C2641" s="46"/>
      <c r="D2641" s="45"/>
      <c r="E2641" s="45"/>
    </row>
    <row r="2642" hidden="1">
      <c r="A2642" s="45"/>
      <c r="B2642" s="45"/>
      <c r="C2642" s="46"/>
      <c r="D2642" s="45"/>
      <c r="E2642" s="45"/>
    </row>
    <row r="2643" hidden="1">
      <c r="A2643" s="45"/>
      <c r="B2643" s="45"/>
      <c r="C2643" s="46"/>
      <c r="D2643" s="45"/>
      <c r="E2643" s="45"/>
    </row>
    <row r="2644" hidden="1">
      <c r="A2644" s="45"/>
      <c r="B2644" s="45"/>
      <c r="C2644" s="46"/>
      <c r="D2644" s="45"/>
      <c r="E2644" s="45"/>
    </row>
    <row r="2645" hidden="1">
      <c r="A2645" s="45"/>
      <c r="B2645" s="45"/>
      <c r="C2645" s="46"/>
      <c r="D2645" s="45"/>
      <c r="E2645" s="45"/>
    </row>
    <row r="2646" hidden="1">
      <c r="A2646" s="45"/>
      <c r="B2646" s="45"/>
      <c r="C2646" s="46"/>
      <c r="D2646" s="45"/>
      <c r="E2646" s="45"/>
    </row>
    <row r="2647" hidden="1">
      <c r="A2647" s="45"/>
      <c r="B2647" s="45"/>
      <c r="C2647" s="46"/>
      <c r="D2647" s="45"/>
      <c r="E2647" s="45"/>
    </row>
    <row r="2648" hidden="1">
      <c r="A2648" s="45"/>
      <c r="B2648" s="45"/>
      <c r="C2648" s="46"/>
      <c r="D2648" s="45"/>
      <c r="E2648" s="45"/>
    </row>
    <row r="2649" hidden="1">
      <c r="A2649" s="45"/>
      <c r="B2649" s="45"/>
      <c r="C2649" s="46"/>
      <c r="D2649" s="45"/>
      <c r="E2649" s="45"/>
    </row>
    <row r="2650" hidden="1">
      <c r="A2650" s="45"/>
      <c r="B2650" s="45"/>
      <c r="C2650" s="46"/>
      <c r="D2650" s="45"/>
      <c r="E2650" s="45"/>
    </row>
    <row r="2651" hidden="1">
      <c r="A2651" s="45"/>
      <c r="B2651" s="45"/>
      <c r="C2651" s="46"/>
      <c r="D2651" s="45"/>
      <c r="E2651" s="45"/>
    </row>
    <row r="2652" hidden="1">
      <c r="A2652" s="45"/>
      <c r="B2652" s="45"/>
      <c r="C2652" s="46"/>
      <c r="D2652" s="45"/>
      <c r="E2652" s="45"/>
    </row>
    <row r="2653" hidden="1">
      <c r="A2653" s="45"/>
      <c r="B2653" s="45"/>
      <c r="C2653" s="46"/>
      <c r="D2653" s="45"/>
      <c r="E2653" s="45"/>
    </row>
    <row r="2654" hidden="1">
      <c r="A2654" s="45"/>
      <c r="B2654" s="45"/>
      <c r="C2654" s="46"/>
      <c r="D2654" s="45"/>
      <c r="E2654" s="45"/>
    </row>
    <row r="2655" hidden="1">
      <c r="A2655" s="45"/>
      <c r="B2655" s="45"/>
      <c r="C2655" s="46"/>
      <c r="D2655" s="45"/>
      <c r="E2655" s="45"/>
    </row>
    <row r="2656" hidden="1">
      <c r="A2656" s="45"/>
      <c r="B2656" s="45"/>
      <c r="C2656" s="46"/>
      <c r="D2656" s="45"/>
      <c r="E2656" s="45"/>
    </row>
    <row r="2657" hidden="1">
      <c r="A2657" s="45"/>
      <c r="B2657" s="45"/>
      <c r="C2657" s="46"/>
      <c r="D2657" s="45"/>
      <c r="E2657" s="45"/>
    </row>
    <row r="2658" hidden="1">
      <c r="A2658" s="45"/>
      <c r="B2658" s="45"/>
      <c r="C2658" s="46"/>
      <c r="D2658" s="45"/>
      <c r="E2658" s="45"/>
    </row>
    <row r="2659" hidden="1">
      <c r="A2659" s="45"/>
      <c r="B2659" s="45"/>
      <c r="C2659" s="46"/>
      <c r="D2659" s="45"/>
      <c r="E2659" s="45"/>
    </row>
    <row r="2660" hidden="1">
      <c r="A2660" s="45"/>
      <c r="B2660" s="45"/>
      <c r="C2660" s="46"/>
      <c r="D2660" s="45"/>
      <c r="E2660" s="45"/>
    </row>
    <row r="2661" hidden="1">
      <c r="A2661" s="45"/>
      <c r="B2661" s="45"/>
      <c r="C2661" s="46"/>
      <c r="D2661" s="45"/>
      <c r="E2661" s="45"/>
    </row>
    <row r="2662" hidden="1">
      <c r="A2662" s="45"/>
      <c r="B2662" s="45"/>
      <c r="C2662" s="46"/>
      <c r="D2662" s="45"/>
      <c r="E2662" s="45"/>
    </row>
    <row r="2663" hidden="1">
      <c r="A2663" s="45"/>
      <c r="B2663" s="45"/>
      <c r="C2663" s="46"/>
      <c r="D2663" s="45"/>
      <c r="E2663" s="45"/>
    </row>
    <row r="2664" hidden="1">
      <c r="A2664" s="45"/>
      <c r="B2664" s="45"/>
      <c r="C2664" s="46"/>
      <c r="D2664" s="45"/>
      <c r="E2664" s="45"/>
    </row>
    <row r="2665" hidden="1">
      <c r="A2665" s="45"/>
      <c r="B2665" s="45"/>
      <c r="C2665" s="46"/>
      <c r="D2665" s="45"/>
      <c r="E2665" s="45"/>
    </row>
    <row r="2666" hidden="1">
      <c r="A2666" s="45"/>
      <c r="B2666" s="45"/>
      <c r="C2666" s="46"/>
      <c r="D2666" s="45"/>
      <c r="E2666" s="45"/>
    </row>
    <row r="2667" hidden="1">
      <c r="A2667" s="45"/>
      <c r="B2667" s="45"/>
      <c r="C2667" s="46"/>
      <c r="D2667" s="45"/>
      <c r="E2667" s="45"/>
    </row>
    <row r="2668" hidden="1">
      <c r="A2668" s="45"/>
      <c r="B2668" s="45"/>
      <c r="C2668" s="46"/>
      <c r="D2668" s="45"/>
      <c r="E2668" s="45"/>
    </row>
    <row r="2669" hidden="1">
      <c r="A2669" s="45"/>
      <c r="B2669" s="45"/>
      <c r="C2669" s="46"/>
      <c r="D2669" s="45"/>
      <c r="E2669" s="45"/>
    </row>
    <row r="2670" hidden="1">
      <c r="A2670" s="45"/>
      <c r="B2670" s="45"/>
      <c r="C2670" s="46"/>
      <c r="D2670" s="45"/>
      <c r="E2670" s="45"/>
    </row>
    <row r="2671" hidden="1">
      <c r="A2671" s="45"/>
      <c r="B2671" s="45"/>
      <c r="C2671" s="46"/>
      <c r="D2671" s="45"/>
      <c r="E2671" s="45"/>
    </row>
    <row r="2672" hidden="1">
      <c r="A2672" s="45"/>
      <c r="B2672" s="45"/>
      <c r="C2672" s="46"/>
      <c r="D2672" s="45"/>
      <c r="E2672" s="45"/>
    </row>
    <row r="2673" hidden="1">
      <c r="A2673" s="45"/>
      <c r="B2673" s="45"/>
      <c r="C2673" s="46"/>
      <c r="D2673" s="45"/>
      <c r="E2673" s="45"/>
    </row>
    <row r="2674" hidden="1">
      <c r="A2674" s="45"/>
      <c r="B2674" s="45"/>
      <c r="C2674" s="46"/>
      <c r="D2674" s="45"/>
      <c r="E2674" s="45"/>
    </row>
    <row r="2675" hidden="1">
      <c r="A2675" s="45"/>
      <c r="B2675" s="45"/>
      <c r="C2675" s="46"/>
      <c r="D2675" s="45"/>
      <c r="E2675" s="45"/>
    </row>
    <row r="2676" hidden="1">
      <c r="A2676" s="45"/>
      <c r="B2676" s="45"/>
      <c r="C2676" s="46"/>
      <c r="D2676" s="45"/>
      <c r="E2676" s="45"/>
    </row>
    <row r="2677" hidden="1">
      <c r="A2677" s="45"/>
      <c r="B2677" s="45"/>
      <c r="C2677" s="46"/>
      <c r="D2677" s="45"/>
      <c r="E2677" s="45"/>
    </row>
    <row r="2678" hidden="1">
      <c r="A2678" s="45"/>
      <c r="B2678" s="45"/>
      <c r="C2678" s="46"/>
      <c r="D2678" s="45"/>
      <c r="E2678" s="45"/>
    </row>
    <row r="2679" hidden="1">
      <c r="A2679" s="45"/>
      <c r="B2679" s="45"/>
      <c r="C2679" s="46"/>
      <c r="D2679" s="45"/>
      <c r="E2679" s="45"/>
    </row>
    <row r="2680" hidden="1">
      <c r="A2680" s="45"/>
      <c r="B2680" s="45"/>
      <c r="C2680" s="46"/>
      <c r="D2680" s="45"/>
      <c r="E2680" s="45"/>
    </row>
    <row r="2681" hidden="1">
      <c r="A2681" s="45"/>
      <c r="B2681" s="45"/>
      <c r="C2681" s="46"/>
      <c r="D2681" s="45"/>
      <c r="E2681" s="45"/>
    </row>
    <row r="2682" hidden="1">
      <c r="A2682" s="45"/>
      <c r="B2682" s="45"/>
      <c r="C2682" s="46"/>
      <c r="D2682" s="45"/>
      <c r="E2682" s="45"/>
    </row>
    <row r="2683" hidden="1">
      <c r="A2683" s="45"/>
      <c r="B2683" s="45"/>
      <c r="C2683" s="46"/>
      <c r="D2683" s="45"/>
      <c r="E2683" s="45"/>
    </row>
    <row r="2684" hidden="1">
      <c r="A2684" s="45"/>
      <c r="B2684" s="45"/>
      <c r="C2684" s="46"/>
      <c r="D2684" s="45"/>
      <c r="E2684" s="45"/>
    </row>
    <row r="2685" hidden="1">
      <c r="A2685" s="45"/>
      <c r="B2685" s="45"/>
      <c r="C2685" s="46"/>
      <c r="D2685" s="45"/>
      <c r="E2685" s="45"/>
    </row>
    <row r="2686" hidden="1">
      <c r="A2686" s="45"/>
      <c r="B2686" s="45"/>
      <c r="C2686" s="46"/>
      <c r="D2686" s="45"/>
      <c r="E2686" s="45"/>
    </row>
    <row r="2687" hidden="1">
      <c r="A2687" s="45"/>
      <c r="B2687" s="45"/>
      <c r="C2687" s="46"/>
      <c r="D2687" s="45"/>
      <c r="E2687" s="45"/>
    </row>
    <row r="2688" hidden="1">
      <c r="A2688" s="45"/>
      <c r="B2688" s="45"/>
      <c r="C2688" s="46"/>
      <c r="D2688" s="45"/>
      <c r="E2688" s="45"/>
    </row>
    <row r="2689" hidden="1">
      <c r="A2689" s="45"/>
      <c r="B2689" s="45"/>
      <c r="C2689" s="46"/>
      <c r="D2689" s="45"/>
      <c r="E2689" s="45"/>
    </row>
    <row r="2690" hidden="1">
      <c r="A2690" s="45"/>
      <c r="B2690" s="45"/>
      <c r="C2690" s="46"/>
      <c r="D2690" s="45"/>
      <c r="E2690" s="45"/>
    </row>
    <row r="2691" hidden="1">
      <c r="A2691" s="45"/>
      <c r="B2691" s="45"/>
      <c r="C2691" s="46"/>
      <c r="D2691" s="45"/>
      <c r="E2691" s="45"/>
    </row>
    <row r="2692" hidden="1">
      <c r="A2692" s="45"/>
      <c r="B2692" s="45"/>
      <c r="C2692" s="46"/>
      <c r="D2692" s="45"/>
      <c r="E2692" s="45"/>
    </row>
    <row r="2693" hidden="1">
      <c r="A2693" s="45"/>
      <c r="B2693" s="45"/>
      <c r="C2693" s="46"/>
      <c r="D2693" s="45"/>
      <c r="E2693" s="45"/>
    </row>
    <row r="2694" hidden="1">
      <c r="A2694" s="45"/>
      <c r="B2694" s="45"/>
      <c r="C2694" s="46"/>
      <c r="D2694" s="45"/>
      <c r="E2694" s="45"/>
    </row>
    <row r="2695" hidden="1">
      <c r="A2695" s="45"/>
      <c r="B2695" s="45"/>
      <c r="C2695" s="46"/>
      <c r="D2695" s="45"/>
      <c r="E2695" s="45"/>
    </row>
    <row r="2696" hidden="1">
      <c r="A2696" s="45"/>
      <c r="B2696" s="45"/>
      <c r="C2696" s="46"/>
      <c r="D2696" s="45"/>
      <c r="E2696" s="45"/>
    </row>
    <row r="2697" hidden="1">
      <c r="A2697" s="45"/>
      <c r="B2697" s="45"/>
      <c r="C2697" s="46"/>
      <c r="D2697" s="45"/>
      <c r="E2697" s="45"/>
    </row>
    <row r="2698" hidden="1">
      <c r="A2698" s="45"/>
      <c r="B2698" s="45"/>
      <c r="C2698" s="46"/>
      <c r="D2698" s="45"/>
      <c r="E2698" s="45"/>
    </row>
    <row r="2699" hidden="1">
      <c r="A2699" s="45"/>
      <c r="B2699" s="45"/>
      <c r="C2699" s="46"/>
      <c r="D2699" s="45"/>
      <c r="E2699" s="45"/>
    </row>
    <row r="2700" hidden="1">
      <c r="A2700" s="45"/>
      <c r="B2700" s="45"/>
      <c r="C2700" s="46"/>
      <c r="D2700" s="45"/>
      <c r="E2700" s="45"/>
    </row>
    <row r="2701" hidden="1">
      <c r="A2701" s="45"/>
      <c r="B2701" s="45"/>
      <c r="C2701" s="46"/>
      <c r="D2701" s="45"/>
      <c r="E2701" s="45"/>
    </row>
    <row r="2702" hidden="1">
      <c r="A2702" s="45"/>
      <c r="B2702" s="45"/>
      <c r="C2702" s="46"/>
      <c r="D2702" s="45"/>
      <c r="E2702" s="45"/>
    </row>
    <row r="2703" hidden="1">
      <c r="A2703" s="45"/>
      <c r="B2703" s="45"/>
      <c r="C2703" s="46"/>
      <c r="D2703" s="45"/>
      <c r="E2703" s="45"/>
    </row>
    <row r="2704" hidden="1">
      <c r="A2704" s="45"/>
      <c r="B2704" s="45"/>
      <c r="C2704" s="46"/>
      <c r="D2704" s="45"/>
      <c r="E2704" s="45"/>
    </row>
    <row r="2705" hidden="1">
      <c r="A2705" s="45"/>
      <c r="B2705" s="45"/>
      <c r="C2705" s="46"/>
      <c r="D2705" s="45"/>
      <c r="E2705" s="45"/>
    </row>
    <row r="2706" hidden="1">
      <c r="A2706" s="45"/>
      <c r="B2706" s="45"/>
      <c r="C2706" s="46"/>
      <c r="D2706" s="45"/>
      <c r="E2706" s="45"/>
    </row>
    <row r="2707" hidden="1">
      <c r="A2707" s="45"/>
      <c r="B2707" s="45"/>
      <c r="C2707" s="46"/>
      <c r="D2707" s="45"/>
      <c r="E2707" s="45"/>
    </row>
    <row r="2708" hidden="1">
      <c r="A2708" s="45"/>
      <c r="B2708" s="45"/>
      <c r="C2708" s="46"/>
      <c r="D2708" s="45"/>
      <c r="E2708" s="45"/>
    </row>
    <row r="2709" hidden="1">
      <c r="A2709" s="45"/>
      <c r="B2709" s="45"/>
      <c r="C2709" s="46"/>
      <c r="D2709" s="45"/>
      <c r="E2709" s="45"/>
    </row>
    <row r="2710" hidden="1">
      <c r="A2710" s="45"/>
      <c r="B2710" s="45"/>
      <c r="C2710" s="46"/>
      <c r="D2710" s="45"/>
      <c r="E2710" s="45"/>
    </row>
    <row r="2711" hidden="1">
      <c r="A2711" s="45"/>
      <c r="B2711" s="45"/>
      <c r="C2711" s="46"/>
      <c r="D2711" s="45"/>
      <c r="E2711" s="45"/>
    </row>
    <row r="2712" hidden="1">
      <c r="A2712" s="45"/>
      <c r="B2712" s="45"/>
      <c r="C2712" s="46"/>
      <c r="D2712" s="45"/>
      <c r="E2712" s="45"/>
    </row>
    <row r="2713" hidden="1">
      <c r="A2713" s="45"/>
      <c r="B2713" s="45"/>
      <c r="C2713" s="46"/>
      <c r="D2713" s="45"/>
      <c r="E2713" s="45"/>
    </row>
    <row r="2714" hidden="1">
      <c r="A2714" s="45"/>
      <c r="B2714" s="45"/>
      <c r="C2714" s="46"/>
      <c r="D2714" s="45"/>
      <c r="E2714" s="45"/>
    </row>
    <row r="2715" hidden="1">
      <c r="A2715" s="45"/>
      <c r="B2715" s="45"/>
      <c r="C2715" s="46"/>
      <c r="D2715" s="45"/>
      <c r="E2715" s="45"/>
    </row>
    <row r="2716" hidden="1">
      <c r="A2716" s="45"/>
      <c r="B2716" s="45"/>
      <c r="C2716" s="46"/>
      <c r="D2716" s="45"/>
      <c r="E2716" s="45"/>
    </row>
    <row r="2717" hidden="1">
      <c r="A2717" s="45"/>
      <c r="B2717" s="45"/>
      <c r="C2717" s="46"/>
      <c r="D2717" s="45"/>
      <c r="E2717" s="45"/>
    </row>
    <row r="2718" hidden="1">
      <c r="A2718" s="45"/>
      <c r="B2718" s="45"/>
      <c r="C2718" s="46"/>
      <c r="D2718" s="45"/>
      <c r="E2718" s="45"/>
    </row>
    <row r="2719" hidden="1">
      <c r="A2719" s="45"/>
      <c r="B2719" s="45"/>
      <c r="C2719" s="46"/>
      <c r="D2719" s="45"/>
      <c r="E2719" s="45"/>
    </row>
    <row r="2720" hidden="1">
      <c r="A2720" s="45"/>
      <c r="B2720" s="45"/>
      <c r="C2720" s="46"/>
      <c r="D2720" s="45"/>
      <c r="E2720" s="45"/>
    </row>
    <row r="2721" hidden="1">
      <c r="A2721" s="45"/>
      <c r="B2721" s="45"/>
      <c r="C2721" s="46"/>
      <c r="D2721" s="45"/>
      <c r="E2721" s="45"/>
    </row>
    <row r="2722" hidden="1">
      <c r="A2722" s="45"/>
      <c r="B2722" s="45"/>
      <c r="C2722" s="46"/>
      <c r="D2722" s="45"/>
      <c r="E2722" s="45"/>
    </row>
    <row r="2723" hidden="1">
      <c r="A2723" s="45"/>
      <c r="B2723" s="45"/>
      <c r="C2723" s="46"/>
      <c r="D2723" s="45"/>
      <c r="E2723" s="45"/>
    </row>
    <row r="2724" hidden="1">
      <c r="A2724" s="45"/>
      <c r="B2724" s="45"/>
      <c r="C2724" s="46"/>
      <c r="D2724" s="45"/>
      <c r="E2724" s="45"/>
    </row>
    <row r="2725" hidden="1">
      <c r="A2725" s="45"/>
      <c r="B2725" s="45"/>
      <c r="C2725" s="46"/>
      <c r="D2725" s="45"/>
      <c r="E2725" s="45"/>
    </row>
    <row r="2726" hidden="1">
      <c r="A2726" s="45"/>
      <c r="B2726" s="45"/>
      <c r="C2726" s="46"/>
      <c r="D2726" s="45"/>
      <c r="E2726" s="45"/>
    </row>
    <row r="2727" hidden="1">
      <c r="A2727" s="45"/>
      <c r="B2727" s="45"/>
      <c r="C2727" s="46"/>
      <c r="D2727" s="45"/>
      <c r="E2727" s="45"/>
    </row>
    <row r="2728" hidden="1">
      <c r="A2728" s="45"/>
      <c r="B2728" s="45"/>
      <c r="C2728" s="46"/>
      <c r="D2728" s="45"/>
      <c r="E2728" s="45"/>
    </row>
    <row r="2729" hidden="1">
      <c r="A2729" s="45"/>
      <c r="B2729" s="45"/>
      <c r="C2729" s="46"/>
      <c r="D2729" s="45"/>
      <c r="E2729" s="45"/>
    </row>
    <row r="2730" hidden="1">
      <c r="A2730" s="45"/>
      <c r="B2730" s="45"/>
      <c r="C2730" s="46"/>
      <c r="D2730" s="45"/>
      <c r="E2730" s="45"/>
    </row>
    <row r="2731" hidden="1">
      <c r="A2731" s="45"/>
      <c r="B2731" s="45"/>
      <c r="C2731" s="46"/>
      <c r="D2731" s="45"/>
      <c r="E2731" s="45"/>
    </row>
    <row r="2732" hidden="1">
      <c r="A2732" s="45"/>
      <c r="B2732" s="45"/>
      <c r="C2732" s="46"/>
      <c r="D2732" s="45"/>
      <c r="E2732" s="45"/>
    </row>
    <row r="2733" hidden="1">
      <c r="A2733" s="45"/>
      <c r="B2733" s="45"/>
      <c r="C2733" s="46"/>
      <c r="D2733" s="45"/>
      <c r="E2733" s="45"/>
    </row>
    <row r="2734" hidden="1">
      <c r="A2734" s="45"/>
      <c r="B2734" s="45"/>
      <c r="C2734" s="46"/>
      <c r="D2734" s="45"/>
      <c r="E2734" s="45"/>
    </row>
    <row r="2735" hidden="1">
      <c r="A2735" s="45"/>
      <c r="B2735" s="45"/>
      <c r="C2735" s="46"/>
      <c r="D2735" s="45"/>
      <c r="E2735" s="45"/>
    </row>
    <row r="2736" hidden="1">
      <c r="A2736" s="45"/>
      <c r="B2736" s="45"/>
      <c r="C2736" s="46"/>
      <c r="D2736" s="45"/>
      <c r="E2736" s="45"/>
    </row>
    <row r="2737" hidden="1">
      <c r="A2737" s="45"/>
      <c r="B2737" s="45"/>
      <c r="C2737" s="46"/>
      <c r="D2737" s="45"/>
      <c r="E2737" s="45"/>
    </row>
    <row r="2738" hidden="1">
      <c r="A2738" s="45"/>
      <c r="B2738" s="45"/>
      <c r="C2738" s="46"/>
      <c r="D2738" s="45"/>
      <c r="E2738" s="45"/>
    </row>
    <row r="2739" hidden="1">
      <c r="A2739" s="45"/>
      <c r="B2739" s="45"/>
      <c r="C2739" s="46"/>
      <c r="D2739" s="45"/>
      <c r="E2739" s="45"/>
    </row>
    <row r="2740" hidden="1">
      <c r="A2740" s="45"/>
      <c r="B2740" s="45"/>
      <c r="C2740" s="46"/>
      <c r="D2740" s="45"/>
      <c r="E2740" s="45"/>
    </row>
    <row r="2741" hidden="1">
      <c r="A2741" s="45"/>
      <c r="B2741" s="45"/>
      <c r="C2741" s="46"/>
      <c r="D2741" s="45"/>
      <c r="E2741" s="45"/>
    </row>
    <row r="2742" hidden="1">
      <c r="A2742" s="45"/>
      <c r="B2742" s="45"/>
      <c r="C2742" s="46"/>
      <c r="D2742" s="45"/>
      <c r="E2742" s="45"/>
    </row>
    <row r="2743" hidden="1">
      <c r="A2743" s="45"/>
      <c r="B2743" s="45"/>
      <c r="C2743" s="46"/>
      <c r="D2743" s="45"/>
      <c r="E2743" s="45"/>
    </row>
    <row r="2744" hidden="1">
      <c r="A2744" s="45"/>
      <c r="B2744" s="45"/>
      <c r="C2744" s="46"/>
      <c r="D2744" s="45"/>
      <c r="E2744" s="45"/>
    </row>
    <row r="2745" hidden="1">
      <c r="A2745" s="45"/>
      <c r="B2745" s="45"/>
      <c r="C2745" s="46"/>
      <c r="D2745" s="45"/>
      <c r="E2745" s="45"/>
    </row>
    <row r="2746" hidden="1">
      <c r="A2746" s="45"/>
      <c r="B2746" s="45"/>
      <c r="C2746" s="46"/>
      <c r="D2746" s="45"/>
      <c r="E2746" s="45"/>
    </row>
    <row r="2747" hidden="1">
      <c r="A2747" s="45"/>
      <c r="B2747" s="45"/>
      <c r="C2747" s="46"/>
      <c r="D2747" s="45"/>
      <c r="E2747" s="45"/>
    </row>
    <row r="2748" hidden="1">
      <c r="A2748" s="45"/>
      <c r="B2748" s="45"/>
      <c r="C2748" s="46"/>
      <c r="D2748" s="45"/>
      <c r="E2748" s="45"/>
    </row>
    <row r="2749" hidden="1">
      <c r="A2749" s="45"/>
      <c r="B2749" s="45"/>
      <c r="C2749" s="46"/>
      <c r="D2749" s="45"/>
      <c r="E2749" s="45"/>
    </row>
    <row r="2750" hidden="1">
      <c r="A2750" s="45"/>
      <c r="B2750" s="45"/>
      <c r="C2750" s="46"/>
      <c r="D2750" s="45"/>
      <c r="E2750" s="45"/>
    </row>
    <row r="2751" hidden="1">
      <c r="A2751" s="45"/>
      <c r="B2751" s="45"/>
      <c r="C2751" s="46"/>
      <c r="D2751" s="45"/>
      <c r="E2751" s="45"/>
    </row>
    <row r="2752" hidden="1">
      <c r="A2752" s="45"/>
      <c r="B2752" s="45"/>
      <c r="C2752" s="46"/>
      <c r="D2752" s="45"/>
      <c r="E2752" s="45"/>
    </row>
    <row r="2753" hidden="1">
      <c r="A2753" s="45"/>
      <c r="B2753" s="45"/>
      <c r="C2753" s="46"/>
      <c r="D2753" s="45"/>
      <c r="E2753" s="45"/>
    </row>
    <row r="2754" hidden="1">
      <c r="A2754" s="45"/>
      <c r="B2754" s="45"/>
      <c r="C2754" s="46"/>
      <c r="D2754" s="45"/>
      <c r="E2754" s="45"/>
    </row>
    <row r="2755" hidden="1">
      <c r="A2755" s="45"/>
      <c r="B2755" s="45"/>
      <c r="C2755" s="46"/>
      <c r="D2755" s="45"/>
      <c r="E2755" s="45"/>
    </row>
    <row r="2756" hidden="1">
      <c r="A2756" s="45"/>
      <c r="B2756" s="45"/>
      <c r="C2756" s="46"/>
      <c r="D2756" s="45"/>
      <c r="E2756" s="45"/>
    </row>
    <row r="2757" hidden="1">
      <c r="A2757" s="45"/>
      <c r="B2757" s="45"/>
      <c r="C2757" s="46"/>
      <c r="D2757" s="45"/>
      <c r="E2757" s="45"/>
    </row>
    <row r="2758" hidden="1">
      <c r="A2758" s="45"/>
      <c r="B2758" s="45"/>
      <c r="C2758" s="46"/>
      <c r="D2758" s="45"/>
      <c r="E2758" s="45"/>
    </row>
    <row r="2759" hidden="1">
      <c r="A2759" s="45"/>
      <c r="B2759" s="45"/>
      <c r="C2759" s="46"/>
      <c r="D2759" s="45"/>
      <c r="E2759" s="45"/>
    </row>
    <row r="2760" hidden="1">
      <c r="A2760" s="45"/>
      <c r="B2760" s="45"/>
      <c r="C2760" s="46"/>
      <c r="D2760" s="45"/>
      <c r="E2760" s="45"/>
    </row>
    <row r="2761" hidden="1">
      <c r="A2761" s="45"/>
      <c r="B2761" s="45"/>
      <c r="C2761" s="46"/>
      <c r="D2761" s="45"/>
      <c r="E2761" s="45"/>
    </row>
    <row r="2762" hidden="1">
      <c r="A2762" s="45"/>
      <c r="B2762" s="45"/>
      <c r="C2762" s="46"/>
      <c r="D2762" s="45"/>
      <c r="E2762" s="45"/>
    </row>
    <row r="2763" hidden="1">
      <c r="A2763" s="45"/>
      <c r="B2763" s="45"/>
      <c r="C2763" s="46"/>
      <c r="D2763" s="45"/>
      <c r="E2763" s="45"/>
    </row>
    <row r="2764" hidden="1">
      <c r="A2764" s="45"/>
      <c r="B2764" s="45"/>
      <c r="C2764" s="46"/>
      <c r="D2764" s="45"/>
      <c r="E2764" s="45"/>
    </row>
    <row r="2765" hidden="1">
      <c r="A2765" s="45"/>
      <c r="B2765" s="45"/>
      <c r="C2765" s="46"/>
      <c r="D2765" s="45"/>
      <c r="E2765" s="45"/>
    </row>
    <row r="2766" hidden="1">
      <c r="A2766" s="45"/>
      <c r="B2766" s="45"/>
      <c r="C2766" s="46"/>
      <c r="D2766" s="45"/>
      <c r="E2766" s="45"/>
    </row>
    <row r="2767" hidden="1">
      <c r="A2767" s="45"/>
      <c r="B2767" s="45"/>
      <c r="C2767" s="46"/>
      <c r="D2767" s="45"/>
      <c r="E2767" s="45"/>
    </row>
    <row r="2768" hidden="1">
      <c r="A2768" s="45"/>
      <c r="B2768" s="45"/>
      <c r="C2768" s="46"/>
      <c r="D2768" s="45"/>
      <c r="E2768" s="45"/>
    </row>
    <row r="2769" hidden="1">
      <c r="A2769" s="45"/>
      <c r="B2769" s="45"/>
      <c r="C2769" s="46"/>
      <c r="D2769" s="45"/>
      <c r="E2769" s="45"/>
    </row>
    <row r="2770" hidden="1">
      <c r="A2770" s="45"/>
      <c r="B2770" s="45"/>
      <c r="C2770" s="46"/>
      <c r="D2770" s="45"/>
      <c r="E2770" s="45"/>
    </row>
    <row r="2771" hidden="1">
      <c r="A2771" s="45"/>
      <c r="B2771" s="45"/>
      <c r="C2771" s="46"/>
      <c r="D2771" s="45"/>
      <c r="E2771" s="45"/>
    </row>
    <row r="2772" hidden="1">
      <c r="A2772" s="45"/>
      <c r="B2772" s="45"/>
      <c r="C2772" s="46"/>
      <c r="D2772" s="45"/>
      <c r="E2772" s="45"/>
    </row>
    <row r="2773" hidden="1">
      <c r="A2773" s="45"/>
      <c r="B2773" s="45"/>
      <c r="C2773" s="46"/>
      <c r="D2773" s="45"/>
      <c r="E2773" s="45"/>
    </row>
    <row r="2774" hidden="1">
      <c r="A2774" s="45"/>
      <c r="B2774" s="45"/>
      <c r="C2774" s="46"/>
      <c r="D2774" s="45"/>
      <c r="E2774" s="45"/>
    </row>
    <row r="2775" hidden="1">
      <c r="A2775" s="45"/>
      <c r="B2775" s="45"/>
      <c r="C2775" s="46"/>
      <c r="D2775" s="45"/>
      <c r="E2775" s="45"/>
    </row>
    <row r="2776" hidden="1">
      <c r="A2776" s="45"/>
      <c r="B2776" s="45"/>
      <c r="C2776" s="46"/>
      <c r="D2776" s="45"/>
      <c r="E2776" s="45"/>
    </row>
    <row r="2777" hidden="1">
      <c r="A2777" s="45"/>
      <c r="B2777" s="45"/>
      <c r="C2777" s="46"/>
      <c r="D2777" s="45"/>
      <c r="E2777" s="45"/>
    </row>
    <row r="2778" hidden="1">
      <c r="A2778" s="45"/>
      <c r="B2778" s="45"/>
      <c r="C2778" s="46"/>
      <c r="D2778" s="45"/>
      <c r="E2778" s="45"/>
    </row>
    <row r="2779" hidden="1">
      <c r="A2779" s="45"/>
      <c r="B2779" s="45"/>
      <c r="C2779" s="46"/>
      <c r="D2779" s="45"/>
      <c r="E2779" s="45"/>
    </row>
    <row r="2780" hidden="1">
      <c r="A2780" s="45"/>
      <c r="B2780" s="45"/>
      <c r="C2780" s="46"/>
      <c r="D2780" s="45"/>
      <c r="E2780" s="45"/>
    </row>
    <row r="2781" hidden="1">
      <c r="A2781" s="45"/>
      <c r="B2781" s="45"/>
      <c r="C2781" s="46"/>
      <c r="D2781" s="45"/>
      <c r="E2781" s="45"/>
    </row>
    <row r="2782" hidden="1">
      <c r="A2782" s="45"/>
      <c r="B2782" s="45"/>
      <c r="C2782" s="46"/>
      <c r="D2782" s="45"/>
      <c r="E2782" s="45"/>
    </row>
    <row r="2783" hidden="1">
      <c r="A2783" s="45"/>
      <c r="B2783" s="45"/>
      <c r="C2783" s="46"/>
      <c r="D2783" s="45"/>
      <c r="E2783" s="45"/>
    </row>
    <row r="2784" hidden="1">
      <c r="A2784" s="45"/>
      <c r="B2784" s="45"/>
      <c r="C2784" s="46"/>
      <c r="D2784" s="45"/>
      <c r="E2784" s="45"/>
    </row>
    <row r="2785" hidden="1">
      <c r="A2785" s="45"/>
      <c r="B2785" s="45"/>
      <c r="C2785" s="46"/>
      <c r="D2785" s="45"/>
      <c r="E2785" s="45"/>
    </row>
    <row r="2786" hidden="1">
      <c r="A2786" s="45"/>
      <c r="B2786" s="45"/>
      <c r="C2786" s="46"/>
      <c r="D2786" s="45"/>
      <c r="E2786" s="45"/>
    </row>
    <row r="2787" hidden="1">
      <c r="A2787" s="45"/>
      <c r="B2787" s="45"/>
      <c r="C2787" s="46"/>
      <c r="D2787" s="45"/>
      <c r="E2787" s="45"/>
    </row>
    <row r="2788" hidden="1">
      <c r="A2788" s="45"/>
      <c r="B2788" s="45"/>
      <c r="C2788" s="46"/>
      <c r="D2788" s="45"/>
      <c r="E2788" s="45"/>
    </row>
    <row r="2789" hidden="1">
      <c r="A2789" s="45"/>
      <c r="B2789" s="45"/>
      <c r="C2789" s="46"/>
      <c r="D2789" s="45"/>
      <c r="E2789" s="45"/>
    </row>
    <row r="2790" hidden="1">
      <c r="A2790" s="45"/>
      <c r="B2790" s="45"/>
      <c r="C2790" s="46"/>
      <c r="D2790" s="45"/>
      <c r="E2790" s="45"/>
    </row>
    <row r="2791" hidden="1">
      <c r="A2791" s="45"/>
      <c r="B2791" s="45"/>
      <c r="C2791" s="46"/>
      <c r="D2791" s="45"/>
      <c r="E2791" s="45"/>
    </row>
    <row r="2792" hidden="1">
      <c r="A2792" s="45"/>
      <c r="B2792" s="45"/>
      <c r="C2792" s="46"/>
      <c r="D2792" s="45"/>
      <c r="E2792" s="45"/>
    </row>
    <row r="2793" hidden="1">
      <c r="A2793" s="45"/>
      <c r="B2793" s="45"/>
      <c r="C2793" s="46"/>
      <c r="D2793" s="45"/>
      <c r="E2793" s="45"/>
    </row>
    <row r="2794" hidden="1">
      <c r="A2794" s="45"/>
      <c r="B2794" s="45"/>
      <c r="C2794" s="46"/>
      <c r="D2794" s="45"/>
      <c r="E2794" s="45"/>
    </row>
    <row r="2795" hidden="1">
      <c r="A2795" s="45"/>
      <c r="B2795" s="45"/>
      <c r="C2795" s="46"/>
      <c r="D2795" s="45"/>
      <c r="E2795" s="45"/>
    </row>
    <row r="2796" hidden="1">
      <c r="A2796" s="45"/>
      <c r="B2796" s="45"/>
      <c r="C2796" s="46"/>
      <c r="D2796" s="45"/>
      <c r="E2796" s="45"/>
    </row>
    <row r="2797" hidden="1">
      <c r="A2797" s="45"/>
      <c r="B2797" s="45"/>
      <c r="C2797" s="46"/>
      <c r="D2797" s="45"/>
      <c r="E2797" s="45"/>
    </row>
    <row r="2798" hidden="1">
      <c r="A2798" s="45"/>
      <c r="B2798" s="45"/>
      <c r="C2798" s="46"/>
      <c r="D2798" s="45"/>
      <c r="E2798" s="45"/>
    </row>
    <row r="2799" hidden="1">
      <c r="A2799" s="45"/>
      <c r="B2799" s="45"/>
      <c r="C2799" s="46"/>
      <c r="D2799" s="45"/>
      <c r="E2799" s="45"/>
    </row>
    <row r="2800" hidden="1">
      <c r="A2800" s="45"/>
      <c r="B2800" s="45"/>
      <c r="C2800" s="46"/>
      <c r="D2800" s="45"/>
      <c r="E2800" s="45"/>
    </row>
    <row r="2801" hidden="1">
      <c r="A2801" s="45"/>
      <c r="B2801" s="45"/>
      <c r="C2801" s="46"/>
      <c r="D2801" s="45"/>
      <c r="E2801" s="45"/>
    </row>
    <row r="2802" hidden="1">
      <c r="A2802" s="45"/>
      <c r="B2802" s="45"/>
      <c r="C2802" s="46"/>
      <c r="D2802" s="45"/>
      <c r="E2802" s="45"/>
    </row>
    <row r="2803" hidden="1">
      <c r="A2803" s="45"/>
      <c r="B2803" s="45"/>
      <c r="C2803" s="46"/>
      <c r="D2803" s="45"/>
      <c r="E2803" s="45"/>
    </row>
    <row r="2804" hidden="1">
      <c r="A2804" s="45"/>
      <c r="B2804" s="45"/>
      <c r="C2804" s="46"/>
      <c r="D2804" s="45"/>
      <c r="E2804" s="45"/>
    </row>
    <row r="2805" hidden="1">
      <c r="A2805" s="45"/>
      <c r="B2805" s="45"/>
      <c r="C2805" s="46"/>
      <c r="D2805" s="45"/>
      <c r="E2805" s="45"/>
    </row>
    <row r="2806" hidden="1">
      <c r="A2806" s="45"/>
      <c r="B2806" s="45"/>
      <c r="C2806" s="46"/>
      <c r="D2806" s="45"/>
      <c r="E2806" s="45"/>
    </row>
    <row r="2807" hidden="1">
      <c r="A2807" s="45"/>
      <c r="B2807" s="45"/>
      <c r="C2807" s="46"/>
      <c r="D2807" s="45"/>
      <c r="E2807" s="45"/>
    </row>
    <row r="2808" hidden="1">
      <c r="A2808" s="45"/>
      <c r="B2808" s="45"/>
      <c r="C2808" s="46"/>
      <c r="D2808" s="45"/>
      <c r="E2808" s="45"/>
    </row>
    <row r="2809" hidden="1">
      <c r="A2809" s="45"/>
      <c r="B2809" s="45"/>
      <c r="C2809" s="46"/>
      <c r="D2809" s="45"/>
      <c r="E2809" s="45"/>
    </row>
    <row r="2810" hidden="1">
      <c r="A2810" s="45"/>
      <c r="B2810" s="45"/>
      <c r="C2810" s="46"/>
      <c r="D2810" s="45"/>
      <c r="E2810" s="45"/>
    </row>
    <row r="2811" hidden="1">
      <c r="A2811" s="45"/>
      <c r="B2811" s="45"/>
      <c r="C2811" s="46"/>
      <c r="D2811" s="45"/>
      <c r="E2811" s="45"/>
    </row>
    <row r="2812" hidden="1">
      <c r="A2812" s="45"/>
      <c r="B2812" s="45"/>
      <c r="C2812" s="46"/>
      <c r="D2812" s="45"/>
      <c r="E2812" s="45"/>
    </row>
    <row r="2813" hidden="1">
      <c r="A2813" s="45"/>
      <c r="B2813" s="45"/>
      <c r="C2813" s="46"/>
      <c r="D2813" s="45"/>
      <c r="E2813" s="45"/>
    </row>
    <row r="2814" hidden="1">
      <c r="A2814" s="45"/>
      <c r="B2814" s="45"/>
      <c r="C2814" s="46"/>
      <c r="D2814" s="45"/>
      <c r="E2814" s="45"/>
    </row>
    <row r="2815" hidden="1">
      <c r="A2815" s="45"/>
      <c r="B2815" s="45"/>
      <c r="C2815" s="46"/>
      <c r="D2815" s="45"/>
      <c r="E2815" s="45"/>
    </row>
    <row r="2816" hidden="1">
      <c r="A2816" s="45"/>
      <c r="B2816" s="45"/>
      <c r="C2816" s="46"/>
      <c r="D2816" s="45"/>
      <c r="E2816" s="45"/>
    </row>
    <row r="2817" hidden="1">
      <c r="A2817" s="45"/>
      <c r="B2817" s="45"/>
      <c r="C2817" s="46"/>
      <c r="D2817" s="45"/>
      <c r="E2817" s="45"/>
    </row>
    <row r="2818" hidden="1">
      <c r="A2818" s="45"/>
      <c r="B2818" s="45"/>
      <c r="C2818" s="46"/>
      <c r="D2818" s="45"/>
      <c r="E2818" s="45"/>
    </row>
    <row r="2819" hidden="1">
      <c r="A2819" s="45"/>
      <c r="B2819" s="45"/>
      <c r="C2819" s="46"/>
      <c r="D2819" s="45"/>
      <c r="E2819" s="45"/>
    </row>
    <row r="2820" hidden="1">
      <c r="A2820" s="45"/>
      <c r="B2820" s="45"/>
      <c r="C2820" s="46"/>
      <c r="D2820" s="45"/>
      <c r="E2820" s="45"/>
    </row>
    <row r="2821" hidden="1">
      <c r="A2821" s="45"/>
      <c r="B2821" s="45"/>
      <c r="C2821" s="46"/>
      <c r="D2821" s="45"/>
      <c r="E2821" s="45"/>
    </row>
    <row r="2822" hidden="1">
      <c r="A2822" s="45"/>
      <c r="B2822" s="45"/>
      <c r="C2822" s="46"/>
      <c r="D2822" s="45"/>
      <c r="E2822" s="45"/>
    </row>
    <row r="2823" hidden="1">
      <c r="A2823" s="45"/>
      <c r="B2823" s="45"/>
      <c r="C2823" s="46"/>
      <c r="D2823" s="45"/>
      <c r="E2823" s="45"/>
    </row>
    <row r="2824" hidden="1">
      <c r="A2824" s="45"/>
      <c r="B2824" s="45"/>
      <c r="C2824" s="46"/>
      <c r="D2824" s="45"/>
      <c r="E2824" s="45"/>
    </row>
    <row r="2825" hidden="1">
      <c r="A2825" s="45"/>
      <c r="B2825" s="45"/>
      <c r="C2825" s="46"/>
      <c r="D2825" s="45"/>
      <c r="E2825" s="45"/>
    </row>
    <row r="2826" hidden="1">
      <c r="A2826" s="45"/>
      <c r="B2826" s="45"/>
      <c r="C2826" s="46"/>
      <c r="D2826" s="45"/>
      <c r="E2826" s="45"/>
    </row>
    <row r="2827" hidden="1">
      <c r="A2827" s="45"/>
      <c r="B2827" s="45"/>
      <c r="C2827" s="46"/>
      <c r="D2827" s="45"/>
      <c r="E2827" s="45"/>
    </row>
    <row r="2828" hidden="1">
      <c r="A2828" s="45"/>
      <c r="B2828" s="45"/>
      <c r="C2828" s="46"/>
      <c r="D2828" s="45"/>
      <c r="E2828" s="45"/>
    </row>
    <row r="2829" hidden="1">
      <c r="A2829" s="45"/>
      <c r="B2829" s="45"/>
      <c r="C2829" s="46"/>
      <c r="D2829" s="45"/>
      <c r="E2829" s="45"/>
    </row>
    <row r="2830" hidden="1">
      <c r="A2830" s="45"/>
      <c r="B2830" s="45"/>
      <c r="C2830" s="46"/>
      <c r="D2830" s="45"/>
      <c r="E2830" s="45"/>
    </row>
    <row r="2831" hidden="1">
      <c r="A2831" s="45"/>
      <c r="B2831" s="45"/>
      <c r="C2831" s="46"/>
      <c r="D2831" s="45"/>
      <c r="E2831" s="45"/>
    </row>
    <row r="2832" hidden="1">
      <c r="A2832" s="45"/>
      <c r="B2832" s="45"/>
      <c r="C2832" s="46"/>
      <c r="D2832" s="45"/>
      <c r="E2832" s="45"/>
    </row>
    <row r="2833" hidden="1">
      <c r="A2833" s="45"/>
      <c r="B2833" s="45"/>
      <c r="C2833" s="46"/>
      <c r="D2833" s="45"/>
      <c r="E2833" s="45"/>
    </row>
    <row r="2834" hidden="1">
      <c r="A2834" s="45"/>
      <c r="B2834" s="45"/>
      <c r="C2834" s="46"/>
      <c r="D2834" s="45"/>
      <c r="E2834" s="45"/>
    </row>
    <row r="2835" hidden="1">
      <c r="A2835" s="45"/>
      <c r="B2835" s="45"/>
      <c r="C2835" s="46"/>
      <c r="D2835" s="45"/>
      <c r="E2835" s="45"/>
    </row>
    <row r="2836" hidden="1">
      <c r="A2836" s="45"/>
      <c r="B2836" s="45"/>
      <c r="C2836" s="46"/>
      <c r="D2836" s="45"/>
      <c r="E2836" s="45"/>
    </row>
  </sheetData>
  <autoFilter ref="$A$1:$A$2836">
    <filterColumn colId="0">
      <filters>
        <filter val="select_one agree_likert"/>
        <filter val="select_one towns"/>
        <filter val="select_one region"/>
        <filter val="integer"/>
        <filter val="select_multiple emergency"/>
        <filter val="select_one yesno"/>
        <filter val="select_one unit"/>
        <filter val="select_multiple cons_week"/>
        <filter val="select_one round"/>
        <filter val="select_one husbandwife"/>
        <filter val="select_one unavail_why"/>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one enum"/>
        <filter val="select_one yesnodk"/>
        <filter val="select_multiple cons_month"/>
        <filter val="select_one countries"/>
        <filter val="select_one education"/>
        <filter val="decimal"/>
        <filter val="select_one freq"/>
        <filter val="select_one resp"/>
        <filter val="note"/>
        <filter val="select_one worries"/>
        <filter val="select_one id"/>
        <filter val="select_one sex"/>
        <filter val="select_multiple changes"/>
        <filter val="select_one team"/>
        <filter val="select_one relation"/>
        <filter val="select_one commune"/>
        <filter val="select_multiple goods_transfer"/>
        <filter val="select_one schools"/>
        <filter val="select_one call"/>
        <filter val="select_one patient"/>
        <filter val="select_multiple illness"/>
        <filter val="select_multiple support"/>
        <filter val="select_multiple countries"/>
        <filter val="select_one contact_relation"/>
        <filter val="select_one health"/>
        <filter val="select_one whyno_in"/>
        <filter val="select_multiple region"/>
        <filter val="select_multiple livestock"/>
        <filter val="select_multiple savings"/>
        <filter val="select_one comprehension"/>
        <filter val="select_one activities"/>
      </filters>
    </filterColumn>
  </autoFilter>
  <conditionalFormatting sqref="B2001:C2836 D2001:E2357">
    <cfRule type="expression" dxfId="0" priority="1" stopIfTrue="1">
      <formula>$A2001="begin group"</formula>
    </cfRule>
  </conditionalFormatting>
  <conditionalFormatting sqref="B2001:C2836 D2001:E2357">
    <cfRule type="expression" dxfId="1" priority="2" stopIfTrue="1">
      <formula>$A2001="begin repeat"</formula>
    </cfRule>
  </conditionalFormatting>
  <conditionalFormatting sqref="B2001:E2836">
    <cfRule type="expression" dxfId="31" priority="3" stopIfTrue="1">
      <formula>$A2001="enumerator"</formula>
    </cfRule>
  </conditionalFormatting>
  <conditionalFormatting sqref="B2001:E2836">
    <cfRule type="expression" dxfId="2" priority="4" stopIfTrue="1">
      <formula>$A2001="text"</formula>
    </cfRule>
  </conditionalFormatting>
  <conditionalFormatting sqref="B2001:E2836">
    <cfRule type="expression" dxfId="3" priority="5" stopIfTrue="1">
      <formula>$A2001="integer"</formula>
    </cfRule>
  </conditionalFormatting>
  <conditionalFormatting sqref="B2001:E2836">
    <cfRule type="expression" dxfId="4" priority="6" stopIfTrue="1">
      <formula>$A2001="decimal"</formula>
    </cfRule>
  </conditionalFormatting>
  <conditionalFormatting sqref="B2001:C2836 D2001:E2357">
    <cfRule type="expression" dxfId="5" priority="7" stopIfTrue="1">
      <formula>OR(AND(LEFT($A2001, 16)="select_multiple ", LEN($A2001)&gt;16, NOT(ISNUMBER(SEARCH(" ", $A2001, 17)))), AND(LEFT($A2001, 11)="select_one ", LEN($A2001)&gt;11, NOT(ISNUMBER(SEARCH(" ", $A2001, 12)))))</formula>
    </cfRule>
  </conditionalFormatting>
  <conditionalFormatting sqref="B2001:B2836 C2128 C2296">
    <cfRule type="expression" dxfId="6" priority="8" stopIfTrue="1">
      <formula>OR($A2001="audio audit", $A2001="text audit", $A2001="speed violations count", $A2001="speed violations list", $A2001="speed violations audit")</formula>
    </cfRule>
  </conditionalFormatting>
  <conditionalFormatting sqref="B2001:C2836 D2001:E2357">
    <cfRule type="expression" dxfId="32" priority="9" stopIfTrue="1">
      <formula>$A2001="file"</formula>
    </cfRule>
  </conditionalFormatting>
  <conditionalFormatting sqref="B2001:C2836 D2001:E2357">
    <cfRule type="expression" dxfId="7" priority="10" stopIfTrue="1">
      <formula>$A2001="note"</formula>
    </cfRule>
  </conditionalFormatting>
  <conditionalFormatting sqref="B2001:C2836 D2001:E2357">
    <cfRule type="expression" dxfId="8" priority="11" stopIfTrue="1">
      <formula>$A2001="barcode"</formula>
    </cfRule>
  </conditionalFormatting>
  <conditionalFormatting sqref="B2001:C2836 D2001:E2357">
    <cfRule type="expression" dxfId="9" priority="12" stopIfTrue="1">
      <formula>OR($A2001="geopoint", $A2001="geoshape", $A2001="geotrace")</formula>
    </cfRule>
  </conditionalFormatting>
  <conditionalFormatting sqref="B2001:B2836 C2128 C2296">
    <cfRule type="expression" dxfId="10" priority="13" stopIfTrue="1">
      <formula>OR($A2001="calculate", $A2001="calculate_here")</formula>
    </cfRule>
  </conditionalFormatting>
  <conditionalFormatting sqref="B2001:C2836 D2001:E2357">
    <cfRule type="expression" dxfId="11" priority="14" stopIfTrue="1">
      <formula>OR($A2001="date", $A2001="datetime", $A2001="time")</formula>
    </cfRule>
  </conditionalFormatting>
  <conditionalFormatting sqref="B2001:C2836 D2001:E2357">
    <cfRule type="expression" dxfId="12" priority="15" stopIfTrue="1">
      <formula>$A2001="image"</formula>
    </cfRule>
  </conditionalFormatting>
  <conditionalFormatting sqref="B2001:C2836 D2001:E2357">
    <cfRule type="expression" dxfId="13" priority="16" stopIfTrue="1">
      <formula>OR($A2001="audio", $A2001="video")</formula>
    </cfRule>
  </conditionalFormatting>
  <conditionalFormatting sqref="B2001:E2836">
    <cfRule type="expression" dxfId="33" priority="17" stopIfTrue="1">
      <formula>$A2001="file"</formula>
    </cfRule>
  </conditionalFormatting>
  <conditionalFormatting sqref="B2001:E2836">
    <cfRule type="expression" dxfId="34" priority="18" stopIfTrue="1">
      <formula>$A2001="enumerator"</formula>
    </cfRule>
  </conditionalFormatting>
  <conditionalFormatting sqref="B2001:E2836">
    <cfRule type="expression" dxfId="35" priority="19" stopIfTrue="1">
      <formula>OR(AND(LEFT($A2001, 14)="sensor_stream ", LEN($A2001)&gt;14, NOT(ISNUMBER(SEARCH(" ", $A2001, 15)))), AND(LEFT($A2001, 17)="sensor_statistic ", LEN($A2001)&gt;17, NOT(ISNUMBER(SEARCH(" ", $A2001, 18)))))</formula>
    </cfRule>
  </conditionalFormatting>
  <conditionalFormatting sqref="B2001:E2836">
    <cfRule type="expression" dxfId="14" priority="20" stopIfTrue="1">
      <formula>$A2001="comments"</formula>
    </cfRule>
  </conditionalFormatting>
  <conditionalFormatting sqref="B2001:E2836">
    <cfRule type="expression" dxfId="15" priority="21" stopIfTrue="1">
      <formula>OR($A2001="audio", $A2001="video")</formula>
    </cfRule>
  </conditionalFormatting>
  <conditionalFormatting sqref="B2001:E2836">
    <cfRule type="expression" dxfId="16" priority="22" stopIfTrue="1">
      <formula>$A2001="image"</formula>
    </cfRule>
  </conditionalFormatting>
  <conditionalFormatting sqref="B2001:E2836">
    <cfRule type="expression" dxfId="17" priority="23" stopIfTrue="1">
      <formula>OR($A2001="date", $A2001="datetime", $A2001="time")</formula>
    </cfRule>
  </conditionalFormatting>
  <conditionalFormatting sqref="B2001:E2836">
    <cfRule type="expression" dxfId="18" priority="24" stopIfTrue="1">
      <formula>OR($A2001="calculate", $A2001="calculate_here")</formula>
    </cfRule>
  </conditionalFormatting>
  <conditionalFormatting sqref="B2001:E2836">
    <cfRule type="expression" dxfId="19" priority="25" stopIfTrue="1">
      <formula>$A2001="note"</formula>
    </cfRule>
  </conditionalFormatting>
  <conditionalFormatting sqref="B2001:E2836">
    <cfRule type="expression" dxfId="20" priority="26" stopIfTrue="1">
      <formula>$A2001="barcode"</formula>
    </cfRule>
  </conditionalFormatting>
  <conditionalFormatting sqref="B2001:E2836">
    <cfRule type="expression" dxfId="21" priority="27" stopIfTrue="1">
      <formula>OR($A2001="geopoint", $A2001="geoshape", $A2001="geotrace")</formula>
    </cfRule>
  </conditionalFormatting>
  <conditionalFormatting sqref="B2001:E2836">
    <cfRule type="expression" dxfId="22" priority="28" stopIfTrue="1">
      <formula>OR($A2001="audio audit", $A2001="text audit", $A2001="speed violations count", $A2001="speed violations list", $A2001="speed violations audit")</formula>
    </cfRule>
  </conditionalFormatting>
  <conditionalFormatting sqref="B2001:E2836">
    <cfRule type="expression" dxfId="23" priority="29" stopIfTrue="1">
      <formula>OR($A2001="username", $A2001="phonenumber", $A2001="start", $A2001="end", $A2001="deviceid", $A2001="subscriberid", $A2001="simserial", $A2001="caseid")</formula>
    </cfRule>
  </conditionalFormatting>
  <conditionalFormatting sqref="B2001:E2836">
    <cfRule type="expression" dxfId="24" priority="30" stopIfTrue="1">
      <formula>OR(AND(LEFT($A2001, 16)="select_multiple ", LEN($A2001)&gt;16, NOT(ISNUMBER(SEARCH(" ", $A2001, 17)))), AND(LEFT($A2001, 11)="select_one ", LEN($A2001)&gt;11, NOT(ISNUMBER(SEARCH(" ", $A2001, 12)))))</formula>
    </cfRule>
  </conditionalFormatting>
  <conditionalFormatting sqref="B2001:E2836">
    <cfRule type="expression" dxfId="25" priority="31" stopIfTrue="1">
      <formula>$A2001="decimal"</formula>
    </cfRule>
  </conditionalFormatting>
  <conditionalFormatting sqref="B2001:E2836">
    <cfRule type="expression" dxfId="26" priority="32" stopIfTrue="1">
      <formula>$A2001="integer"</formula>
    </cfRule>
  </conditionalFormatting>
  <conditionalFormatting sqref="B2001:E2836">
    <cfRule type="expression" dxfId="27" priority="33" stopIfTrue="1">
      <formula>$A2001="text"</formula>
    </cfRule>
  </conditionalFormatting>
  <conditionalFormatting sqref="B2001:E2836">
    <cfRule type="expression" dxfId="28" priority="34" stopIfTrue="1">
      <formula>$A2001="end repeat"</formula>
    </cfRule>
  </conditionalFormatting>
  <conditionalFormatting sqref="B2001:E2836">
    <cfRule type="expression" dxfId="28" priority="35" stopIfTrue="1">
      <formula>$A2001="begin repeat"</formula>
    </cfRule>
  </conditionalFormatting>
  <conditionalFormatting sqref="B2001:E2836">
    <cfRule type="expression" dxfId="29" priority="36" stopIfTrue="1">
      <formula>$A2001="end group"</formula>
    </cfRule>
  </conditionalFormatting>
  <conditionalFormatting sqref="B2001:E2836">
    <cfRule type="expression" dxfId="29" priority="37" stopIfTrue="1">
      <formula>$A2001="begin group"</formula>
    </cfRule>
  </conditionalFormatting>
  <conditionalFormatting sqref="B2001:B2836 C2128 C2296">
    <cfRule type="expression" dxfId="30" priority="38" stopIfTrue="1">
      <formula>$A2001="comments"</formula>
    </cfRule>
  </conditionalFormatting>
  <conditionalFormatting sqref="B2001:B2836 C2128 C2296">
    <cfRule type="expression" dxfId="36" priority="39" stopIfTrue="1">
      <formula>OR(AND(LEFT($A2001, 14)="sensor_stream ", LEN($A2001)&gt;14, NOT(ISNUMBER(SEARCH(" ", $A2001, 15)))), AND(LEFT($A2001, 17)="sensor_statistic ", LEN($A2001)&gt;17, NOT(ISNUMBER(SEARCH(" ", $A2001, 18)))))</formula>
    </cfRule>
  </conditionalFormatting>
  <conditionalFormatting sqref="B815:C815 D815:E815">
    <cfRule type="expression" dxfId="0" priority="40" stopIfTrue="1">
      <formula>$A815="begin group"</formula>
    </cfRule>
  </conditionalFormatting>
  <conditionalFormatting sqref="B815:C815 D815:E815">
    <cfRule type="expression" dxfId="1" priority="41" stopIfTrue="1">
      <formula>$A815="begin repeat"</formula>
    </cfRule>
  </conditionalFormatting>
  <conditionalFormatting sqref="B815:E815">
    <cfRule type="expression" dxfId="31" priority="42" stopIfTrue="1">
      <formula>$A815="enumerator"</formula>
    </cfRule>
  </conditionalFormatting>
  <conditionalFormatting sqref="B815:E815">
    <cfRule type="expression" dxfId="2" priority="43" stopIfTrue="1">
      <formula>$A815="text"</formula>
    </cfRule>
  </conditionalFormatting>
  <conditionalFormatting sqref="B815:E815">
    <cfRule type="expression" dxfId="3" priority="44" stopIfTrue="1">
      <formula>$A815="integer"</formula>
    </cfRule>
  </conditionalFormatting>
  <conditionalFormatting sqref="B815:E815">
    <cfRule type="expression" dxfId="4" priority="45" stopIfTrue="1">
      <formula>$A815="decimal"</formula>
    </cfRule>
  </conditionalFormatting>
  <conditionalFormatting sqref="B815:C815 D815:E815">
    <cfRule type="expression" dxfId="5" priority="46" stopIfTrue="1">
      <formula>OR(AND(LEFT($A815, 16)="select_multiple ", LEN($A815)&gt;16, NOT(ISNUMBER(SEARCH(" ", $A815, 17)))), AND(LEFT($A815, 11)="select_one ", LEN($A815)&gt;11, NOT(ISNUMBER(SEARCH(" ", $A815, 12)))))</formula>
    </cfRule>
  </conditionalFormatting>
  <conditionalFormatting sqref="B815">
    <cfRule type="expression" dxfId="6" priority="47" stopIfTrue="1">
      <formula>OR($A815="audio audit", $A815="text audit", $A815="speed violations count", $A815="speed violations list", $A815="speed violations audit")</formula>
    </cfRule>
  </conditionalFormatting>
  <conditionalFormatting sqref="B815:C815 D815:E815">
    <cfRule type="expression" dxfId="32" priority="48" stopIfTrue="1">
      <formula>$A815="file"</formula>
    </cfRule>
  </conditionalFormatting>
  <conditionalFormatting sqref="B815:C815 D815:E815">
    <cfRule type="expression" dxfId="7" priority="49" stopIfTrue="1">
      <formula>$A815="note"</formula>
    </cfRule>
  </conditionalFormatting>
  <conditionalFormatting sqref="B815:C815 D815:E815">
    <cfRule type="expression" dxfId="8" priority="50" stopIfTrue="1">
      <formula>$A815="barcode"</formula>
    </cfRule>
  </conditionalFormatting>
  <conditionalFormatting sqref="B815:C815 D815:E815">
    <cfRule type="expression" dxfId="9" priority="51" stopIfTrue="1">
      <formula>OR($A815="geopoint", $A815="geoshape", $A815="geotrace")</formula>
    </cfRule>
  </conditionalFormatting>
  <conditionalFormatting sqref="B815">
    <cfRule type="expression" dxfId="10" priority="52" stopIfTrue="1">
      <formula>OR($A815="calculate", $A815="calculate_here")</formula>
    </cfRule>
  </conditionalFormatting>
  <conditionalFormatting sqref="B815:C815 D815:E815">
    <cfRule type="expression" dxfId="11" priority="53" stopIfTrue="1">
      <formula>OR($A815="date", $A815="datetime", $A815="time")</formula>
    </cfRule>
  </conditionalFormatting>
  <conditionalFormatting sqref="B815:C815 D815:E815">
    <cfRule type="expression" dxfId="12" priority="54" stopIfTrue="1">
      <formula>$A815="image"</formula>
    </cfRule>
  </conditionalFormatting>
  <conditionalFormatting sqref="B815:C815 D815:E815">
    <cfRule type="expression" dxfId="13" priority="55" stopIfTrue="1">
      <formula>OR($A815="audio", $A815="video")</formula>
    </cfRule>
  </conditionalFormatting>
  <conditionalFormatting sqref="B815:E815">
    <cfRule type="expression" dxfId="33" priority="56" stopIfTrue="1">
      <formula>$A815="file"</formula>
    </cfRule>
  </conditionalFormatting>
  <conditionalFormatting sqref="B815:E815">
    <cfRule type="expression" dxfId="34" priority="57" stopIfTrue="1">
      <formula>$A815="enumerator"</formula>
    </cfRule>
  </conditionalFormatting>
  <conditionalFormatting sqref="B815:E815">
    <cfRule type="expression" dxfId="35" priority="58" stopIfTrue="1">
      <formula>OR(AND(LEFT($A815, 14)="sensor_stream ", LEN($A815)&gt;14, NOT(ISNUMBER(SEARCH(" ", $A815, 15)))), AND(LEFT($A815, 17)="sensor_statistic ", LEN($A815)&gt;17, NOT(ISNUMBER(SEARCH(" ", $A815, 18)))))</formula>
    </cfRule>
  </conditionalFormatting>
  <conditionalFormatting sqref="B815:E815">
    <cfRule type="expression" dxfId="14" priority="59" stopIfTrue="1">
      <formula>$A815="comments"</formula>
    </cfRule>
  </conditionalFormatting>
  <conditionalFormatting sqref="B815:E815">
    <cfRule type="expression" dxfId="15" priority="60" stopIfTrue="1">
      <formula>OR($A815="audio", $A815="video")</formula>
    </cfRule>
  </conditionalFormatting>
  <conditionalFormatting sqref="B815:E815">
    <cfRule type="expression" dxfId="16" priority="61" stopIfTrue="1">
      <formula>$A815="image"</formula>
    </cfRule>
  </conditionalFormatting>
  <conditionalFormatting sqref="B815:E815">
    <cfRule type="expression" dxfId="17" priority="62" stopIfTrue="1">
      <formula>OR($A815="date", $A815="datetime", $A815="time")</formula>
    </cfRule>
  </conditionalFormatting>
  <conditionalFormatting sqref="B815:E815">
    <cfRule type="expression" dxfId="18" priority="63" stopIfTrue="1">
      <formula>OR($A815="calculate", $A815="calculate_here")</formula>
    </cfRule>
  </conditionalFormatting>
  <conditionalFormatting sqref="B815:E815">
    <cfRule type="expression" dxfId="19" priority="64" stopIfTrue="1">
      <formula>$A815="note"</formula>
    </cfRule>
  </conditionalFormatting>
  <conditionalFormatting sqref="B815:E815">
    <cfRule type="expression" dxfId="20" priority="65" stopIfTrue="1">
      <formula>$A815="barcode"</formula>
    </cfRule>
  </conditionalFormatting>
  <conditionalFormatting sqref="B815:E815">
    <cfRule type="expression" dxfId="21" priority="66" stopIfTrue="1">
      <formula>OR($A815="geopoint", $A815="geoshape", $A815="geotrace")</formula>
    </cfRule>
  </conditionalFormatting>
  <conditionalFormatting sqref="B815:E815">
    <cfRule type="expression" dxfId="22" priority="67" stopIfTrue="1">
      <formula>OR($A815="audio audit", $A815="text audit", $A815="speed violations count", $A815="speed violations list", $A815="speed violations audit")</formula>
    </cfRule>
  </conditionalFormatting>
  <conditionalFormatting sqref="B815:E815">
    <cfRule type="expression" dxfId="23" priority="68" stopIfTrue="1">
      <formula>OR($A815="username", $A815="phonenumber", $A815="start", $A815="end", $A815="deviceid", $A815="subscriberid", $A815="simserial", $A815="caseid")</formula>
    </cfRule>
  </conditionalFormatting>
  <conditionalFormatting sqref="B815:E815">
    <cfRule type="expression" dxfId="24" priority="69" stopIfTrue="1">
      <formula>OR(AND(LEFT($A815, 16)="select_multiple ", LEN($A815)&gt;16, NOT(ISNUMBER(SEARCH(" ", $A815, 17)))), AND(LEFT($A815, 11)="select_one ", LEN($A815)&gt;11, NOT(ISNUMBER(SEARCH(" ", $A815, 12)))))</formula>
    </cfRule>
  </conditionalFormatting>
  <conditionalFormatting sqref="B815:E815">
    <cfRule type="expression" dxfId="25" priority="70" stopIfTrue="1">
      <formula>$A815="decimal"</formula>
    </cfRule>
  </conditionalFormatting>
  <conditionalFormatting sqref="B815:E815">
    <cfRule type="expression" dxfId="26" priority="71" stopIfTrue="1">
      <formula>$A815="integer"</formula>
    </cfRule>
  </conditionalFormatting>
  <conditionalFormatting sqref="B815:E815">
    <cfRule type="expression" dxfId="27" priority="72" stopIfTrue="1">
      <formula>$A815="text"</formula>
    </cfRule>
  </conditionalFormatting>
  <conditionalFormatting sqref="B815:E815">
    <cfRule type="expression" dxfId="28" priority="73" stopIfTrue="1">
      <formula>$A815="end repeat"</formula>
    </cfRule>
  </conditionalFormatting>
  <conditionalFormatting sqref="B815:E815">
    <cfRule type="expression" dxfId="28" priority="74" stopIfTrue="1">
      <formula>$A815="begin repeat"</formula>
    </cfRule>
  </conditionalFormatting>
  <conditionalFormatting sqref="B815:E815">
    <cfRule type="expression" dxfId="29" priority="75" stopIfTrue="1">
      <formula>$A815="end group"</formula>
    </cfRule>
  </conditionalFormatting>
  <conditionalFormatting sqref="B815:E815">
    <cfRule type="expression" dxfId="29" priority="76" stopIfTrue="1">
      <formula>$A815="begin group"</formula>
    </cfRule>
  </conditionalFormatting>
  <conditionalFormatting sqref="B815">
    <cfRule type="expression" dxfId="30" priority="77" stopIfTrue="1">
      <formula>$A815="comments"</formula>
    </cfRule>
  </conditionalFormatting>
  <conditionalFormatting sqref="B815">
    <cfRule type="expression" dxfId="36" priority="78" stopIfTrue="1">
      <formula>OR(AND(LEFT($A815, 14)="sensor_stream ", LEN($A815)&gt;14, NOT(ISNUMBER(SEARCH(" ", $A815, 15)))), AND(LEFT($A815, 17)="sensor_statistic ", LEN($A815)&gt;17, NOT(ISNUMBER(SEARCH(" ", $A815, 18)))))</formula>
    </cfRule>
  </conditionalFormatting>
  <conditionalFormatting sqref="B804:C808 D804:E808">
    <cfRule type="expression" dxfId="0" priority="79" stopIfTrue="1">
      <formula>$A804="begin group"</formula>
    </cfRule>
  </conditionalFormatting>
  <conditionalFormatting sqref="B804:C808 D804:E808">
    <cfRule type="expression" dxfId="1" priority="80" stopIfTrue="1">
      <formula>$A804="begin repeat"</formula>
    </cfRule>
  </conditionalFormatting>
  <conditionalFormatting sqref="B804:E808">
    <cfRule type="expression" dxfId="31" priority="81" stopIfTrue="1">
      <formula>$A804="enumerator"</formula>
    </cfRule>
  </conditionalFormatting>
  <conditionalFormatting sqref="B804:E808">
    <cfRule type="expression" dxfId="2" priority="82" stopIfTrue="1">
      <formula>$A804="text"</formula>
    </cfRule>
  </conditionalFormatting>
  <conditionalFormatting sqref="B804:E808">
    <cfRule type="expression" dxfId="3" priority="83" stopIfTrue="1">
      <formula>$A804="integer"</formula>
    </cfRule>
  </conditionalFormatting>
  <conditionalFormatting sqref="B804:E808">
    <cfRule type="expression" dxfId="4" priority="84" stopIfTrue="1">
      <formula>$A804="decimal"</formula>
    </cfRule>
  </conditionalFormatting>
  <conditionalFormatting sqref="B804:C808 D804:E808">
    <cfRule type="expression" dxfId="5" priority="85" stopIfTrue="1">
      <formula>OR(AND(LEFT($A804, 16)="select_multiple ", LEN($A804)&gt;16, NOT(ISNUMBER(SEARCH(" ", $A804, 17)))), AND(LEFT($A804, 11)="select_one ", LEN($A804)&gt;11, NOT(ISNUMBER(SEARCH(" ", $A804, 12)))))</formula>
    </cfRule>
  </conditionalFormatting>
  <conditionalFormatting sqref="B804:B808">
    <cfRule type="expression" dxfId="6" priority="86" stopIfTrue="1">
      <formula>OR($A804="audio audit", $A804="text audit", $A804="speed violations count", $A804="speed violations list", $A804="speed violations audit")</formula>
    </cfRule>
  </conditionalFormatting>
  <conditionalFormatting sqref="B804:C808 D804:E808">
    <cfRule type="expression" dxfId="32" priority="87" stopIfTrue="1">
      <formula>$A804="file"</formula>
    </cfRule>
  </conditionalFormatting>
  <conditionalFormatting sqref="B804:C808 D804:E808">
    <cfRule type="expression" dxfId="7" priority="88" stopIfTrue="1">
      <formula>$A804="note"</formula>
    </cfRule>
  </conditionalFormatting>
  <conditionalFormatting sqref="B804:C808 D804:E808">
    <cfRule type="expression" dxfId="8" priority="89" stopIfTrue="1">
      <formula>$A804="barcode"</formula>
    </cfRule>
  </conditionalFormatting>
  <conditionalFormatting sqref="B804:C808 D804:E808">
    <cfRule type="expression" dxfId="9" priority="90" stopIfTrue="1">
      <formula>OR($A804="geopoint", $A804="geoshape", $A804="geotrace")</formula>
    </cfRule>
  </conditionalFormatting>
  <conditionalFormatting sqref="B804:B808">
    <cfRule type="expression" dxfId="10" priority="91" stopIfTrue="1">
      <formula>OR($A804="calculate", $A804="calculate_here")</formula>
    </cfRule>
  </conditionalFormatting>
  <conditionalFormatting sqref="B804:C808 D804:E808">
    <cfRule type="expression" dxfId="11" priority="92" stopIfTrue="1">
      <formula>OR($A804="date", $A804="datetime", $A804="time")</formula>
    </cfRule>
  </conditionalFormatting>
  <conditionalFormatting sqref="B804:C808 D804:E808">
    <cfRule type="expression" dxfId="12" priority="93" stopIfTrue="1">
      <formula>$A804="image"</formula>
    </cfRule>
  </conditionalFormatting>
  <conditionalFormatting sqref="B804:C808 D804:E808">
    <cfRule type="expression" dxfId="13" priority="94" stopIfTrue="1">
      <formula>OR($A804="audio", $A804="video")</formula>
    </cfRule>
  </conditionalFormatting>
  <conditionalFormatting sqref="B804:E808">
    <cfRule type="expression" dxfId="33" priority="95" stopIfTrue="1">
      <formula>$A804="file"</formula>
    </cfRule>
  </conditionalFormatting>
  <conditionalFormatting sqref="B804:E808">
    <cfRule type="expression" dxfId="34" priority="96" stopIfTrue="1">
      <formula>$A804="enumerator"</formula>
    </cfRule>
  </conditionalFormatting>
  <conditionalFormatting sqref="B804:E808">
    <cfRule type="expression" dxfId="35" priority="97" stopIfTrue="1">
      <formula>OR(AND(LEFT($A804, 14)="sensor_stream ", LEN($A804)&gt;14, NOT(ISNUMBER(SEARCH(" ", $A804, 15)))), AND(LEFT($A804, 17)="sensor_statistic ", LEN($A804)&gt;17, NOT(ISNUMBER(SEARCH(" ", $A804, 18)))))</formula>
    </cfRule>
  </conditionalFormatting>
  <conditionalFormatting sqref="B804:E808">
    <cfRule type="expression" dxfId="14" priority="98" stopIfTrue="1">
      <formula>$A804="comments"</formula>
    </cfRule>
  </conditionalFormatting>
  <conditionalFormatting sqref="B804:E808">
    <cfRule type="expression" dxfId="15" priority="99" stopIfTrue="1">
      <formula>OR($A804="audio", $A804="video")</formula>
    </cfRule>
  </conditionalFormatting>
  <conditionalFormatting sqref="B804:E808">
    <cfRule type="expression" dxfId="16" priority="100" stopIfTrue="1">
      <formula>$A804="image"</formula>
    </cfRule>
  </conditionalFormatting>
  <conditionalFormatting sqref="B804:E808">
    <cfRule type="expression" dxfId="17" priority="101" stopIfTrue="1">
      <formula>OR($A804="date", $A804="datetime", $A804="time")</formula>
    </cfRule>
  </conditionalFormatting>
  <conditionalFormatting sqref="B804:E808">
    <cfRule type="expression" dxfId="18" priority="102" stopIfTrue="1">
      <formula>OR($A804="calculate", $A804="calculate_here")</formula>
    </cfRule>
  </conditionalFormatting>
  <conditionalFormatting sqref="B804:E808">
    <cfRule type="expression" dxfId="19" priority="103" stopIfTrue="1">
      <formula>$A804="note"</formula>
    </cfRule>
  </conditionalFormatting>
  <conditionalFormatting sqref="B804:E808">
    <cfRule type="expression" dxfId="20" priority="104" stopIfTrue="1">
      <formula>$A804="barcode"</formula>
    </cfRule>
  </conditionalFormatting>
  <conditionalFormatting sqref="B804:E808">
    <cfRule type="expression" dxfId="21" priority="105" stopIfTrue="1">
      <formula>OR($A804="geopoint", $A804="geoshape", $A804="geotrace")</formula>
    </cfRule>
  </conditionalFormatting>
  <conditionalFormatting sqref="B804:E808">
    <cfRule type="expression" dxfId="22" priority="106" stopIfTrue="1">
      <formula>OR($A804="audio audit", $A804="text audit", $A804="speed violations count", $A804="speed violations list", $A804="speed violations audit")</formula>
    </cfRule>
  </conditionalFormatting>
  <conditionalFormatting sqref="B804:E808">
    <cfRule type="expression" dxfId="23" priority="107" stopIfTrue="1">
      <formula>OR($A804="username", $A804="phonenumber", $A804="start", $A804="end", $A804="deviceid", $A804="subscriberid", $A804="simserial", $A804="caseid")</formula>
    </cfRule>
  </conditionalFormatting>
  <conditionalFormatting sqref="B804:E808">
    <cfRule type="expression" dxfId="24" priority="108" stopIfTrue="1">
      <formula>OR(AND(LEFT($A804, 16)="select_multiple ", LEN($A804)&gt;16, NOT(ISNUMBER(SEARCH(" ", $A804, 17)))), AND(LEFT($A804, 11)="select_one ", LEN($A804)&gt;11, NOT(ISNUMBER(SEARCH(" ", $A804, 12)))))</formula>
    </cfRule>
  </conditionalFormatting>
  <conditionalFormatting sqref="B804:E808">
    <cfRule type="expression" dxfId="25" priority="109" stopIfTrue="1">
      <formula>$A804="decimal"</formula>
    </cfRule>
  </conditionalFormatting>
  <conditionalFormatting sqref="B804:E808">
    <cfRule type="expression" dxfId="26" priority="110" stopIfTrue="1">
      <formula>$A804="integer"</formula>
    </cfRule>
  </conditionalFormatting>
  <conditionalFormatting sqref="B804:E808">
    <cfRule type="expression" dxfId="27" priority="111" stopIfTrue="1">
      <formula>$A804="text"</formula>
    </cfRule>
  </conditionalFormatting>
  <conditionalFormatting sqref="B804:E808">
    <cfRule type="expression" dxfId="28" priority="112" stopIfTrue="1">
      <formula>$A804="end repeat"</formula>
    </cfRule>
  </conditionalFormatting>
  <conditionalFormatting sqref="B804:E808">
    <cfRule type="expression" dxfId="28" priority="113" stopIfTrue="1">
      <formula>$A804="begin repeat"</formula>
    </cfRule>
  </conditionalFormatting>
  <conditionalFormatting sqref="B804:E808">
    <cfRule type="expression" dxfId="29" priority="114" stopIfTrue="1">
      <formula>$A804="end group"</formula>
    </cfRule>
  </conditionalFormatting>
  <conditionalFormatting sqref="B804:E808">
    <cfRule type="expression" dxfId="29" priority="115" stopIfTrue="1">
      <formula>$A804="begin group"</formula>
    </cfRule>
  </conditionalFormatting>
  <conditionalFormatting sqref="B804:B808">
    <cfRule type="expression" dxfId="30" priority="116" stopIfTrue="1">
      <formula>$A804="comments"</formula>
    </cfRule>
  </conditionalFormatting>
  <conditionalFormatting sqref="B804:B808">
    <cfRule type="expression" dxfId="36" priority="117" stopIfTrue="1">
      <formula>OR(AND(LEFT($A804, 14)="sensor_stream ", LEN($A804)&gt;14, NOT(ISNUMBER(SEARCH(" ", $A804, 15)))), AND(LEFT($A804, 17)="sensor_statistic ", LEN($A804)&gt;17, NOT(ISNUMBER(SEARCH(" ", $A804, 18)))))</formula>
    </cfRule>
  </conditionalFormatting>
  <conditionalFormatting sqref="B795:C800 D795:E800">
    <cfRule type="expression" dxfId="0" priority="118" stopIfTrue="1">
      <formula>$A795="begin group"</formula>
    </cfRule>
  </conditionalFormatting>
  <conditionalFormatting sqref="B795:C800 D795:E800">
    <cfRule type="expression" dxfId="1" priority="119" stopIfTrue="1">
      <formula>$A795="begin repeat"</formula>
    </cfRule>
  </conditionalFormatting>
  <conditionalFormatting sqref="B795:E800">
    <cfRule type="expression" dxfId="31" priority="120" stopIfTrue="1">
      <formula>$A795="enumerator"</formula>
    </cfRule>
  </conditionalFormatting>
  <conditionalFormatting sqref="B795:E800">
    <cfRule type="expression" dxfId="2" priority="121" stopIfTrue="1">
      <formula>$A795="text"</formula>
    </cfRule>
  </conditionalFormatting>
  <conditionalFormatting sqref="B795:E800">
    <cfRule type="expression" dxfId="3" priority="122" stopIfTrue="1">
      <formula>$A795="integer"</formula>
    </cfRule>
  </conditionalFormatting>
  <conditionalFormatting sqref="B795:E800">
    <cfRule type="expression" dxfId="4" priority="123" stopIfTrue="1">
      <formula>$A795="decimal"</formula>
    </cfRule>
  </conditionalFormatting>
  <conditionalFormatting sqref="B795:C800 D795:E800">
    <cfRule type="expression" dxfId="5" priority="124" stopIfTrue="1">
      <formula>OR(AND(LEFT($A795, 16)="select_multiple ", LEN($A795)&gt;16, NOT(ISNUMBER(SEARCH(" ", $A795, 17)))), AND(LEFT($A795, 11)="select_one ", LEN($A795)&gt;11, NOT(ISNUMBER(SEARCH(" ", $A795, 12)))))</formula>
    </cfRule>
  </conditionalFormatting>
  <conditionalFormatting sqref="B795:B800">
    <cfRule type="expression" dxfId="6" priority="125" stopIfTrue="1">
      <formula>OR($A795="audio audit", $A795="text audit", $A795="speed violations count", $A795="speed violations list", $A795="speed violations audit")</formula>
    </cfRule>
  </conditionalFormatting>
  <conditionalFormatting sqref="B795:C800 D795:E800">
    <cfRule type="expression" dxfId="32" priority="126" stopIfTrue="1">
      <formula>$A795="file"</formula>
    </cfRule>
  </conditionalFormatting>
  <conditionalFormatting sqref="B795:C800 D795:E800">
    <cfRule type="expression" dxfId="7" priority="127" stopIfTrue="1">
      <formula>$A795="note"</formula>
    </cfRule>
  </conditionalFormatting>
  <conditionalFormatting sqref="B795:C800 D795:E800">
    <cfRule type="expression" dxfId="8" priority="128" stopIfTrue="1">
      <formula>$A795="barcode"</formula>
    </cfRule>
  </conditionalFormatting>
  <conditionalFormatting sqref="B795:C800 D795:E800">
    <cfRule type="expression" dxfId="9" priority="129" stopIfTrue="1">
      <formula>OR($A795="geopoint", $A795="geoshape", $A795="geotrace")</formula>
    </cfRule>
  </conditionalFormatting>
  <conditionalFormatting sqref="B795:B800">
    <cfRule type="expression" dxfId="10" priority="130" stopIfTrue="1">
      <formula>OR($A795="calculate", $A795="calculate_here")</formula>
    </cfRule>
  </conditionalFormatting>
  <conditionalFormatting sqref="B795:C800 D795:E800">
    <cfRule type="expression" dxfId="11" priority="131" stopIfTrue="1">
      <formula>OR($A795="date", $A795="datetime", $A795="time")</formula>
    </cfRule>
  </conditionalFormatting>
  <conditionalFormatting sqref="B795:C800 D795:E800">
    <cfRule type="expression" dxfId="12" priority="132" stopIfTrue="1">
      <formula>$A795="image"</formula>
    </cfRule>
  </conditionalFormatting>
  <conditionalFormatting sqref="B795:C800 D795:E800">
    <cfRule type="expression" dxfId="13" priority="133" stopIfTrue="1">
      <formula>OR($A795="audio", $A795="video")</formula>
    </cfRule>
  </conditionalFormatting>
  <conditionalFormatting sqref="B795:E800">
    <cfRule type="expression" dxfId="33" priority="134" stopIfTrue="1">
      <formula>$A795="file"</formula>
    </cfRule>
  </conditionalFormatting>
  <conditionalFormatting sqref="B795:E800">
    <cfRule type="expression" dxfId="34" priority="135" stopIfTrue="1">
      <formula>$A795="enumerator"</formula>
    </cfRule>
  </conditionalFormatting>
  <conditionalFormatting sqref="B795:E800">
    <cfRule type="expression" dxfId="35" priority="136" stopIfTrue="1">
      <formula>OR(AND(LEFT($A795, 14)="sensor_stream ", LEN($A795)&gt;14, NOT(ISNUMBER(SEARCH(" ", $A795, 15)))), AND(LEFT($A795, 17)="sensor_statistic ", LEN($A795)&gt;17, NOT(ISNUMBER(SEARCH(" ", $A795, 18)))))</formula>
    </cfRule>
  </conditionalFormatting>
  <conditionalFormatting sqref="B795:E800">
    <cfRule type="expression" dxfId="14" priority="137" stopIfTrue="1">
      <formula>$A795="comments"</formula>
    </cfRule>
  </conditionalFormatting>
  <conditionalFormatting sqref="B795:E800">
    <cfRule type="expression" dxfId="15" priority="138" stopIfTrue="1">
      <formula>OR($A795="audio", $A795="video")</formula>
    </cfRule>
  </conditionalFormatting>
  <conditionalFormatting sqref="B795:E800">
    <cfRule type="expression" dxfId="16" priority="139" stopIfTrue="1">
      <formula>$A795="image"</formula>
    </cfRule>
  </conditionalFormatting>
  <conditionalFormatting sqref="B795:E800">
    <cfRule type="expression" dxfId="17" priority="140" stopIfTrue="1">
      <formula>OR($A795="date", $A795="datetime", $A795="time")</formula>
    </cfRule>
  </conditionalFormatting>
  <conditionalFormatting sqref="B795:E800">
    <cfRule type="expression" dxfId="18" priority="141" stopIfTrue="1">
      <formula>OR($A795="calculate", $A795="calculate_here")</formula>
    </cfRule>
  </conditionalFormatting>
  <conditionalFormatting sqref="B795:E800">
    <cfRule type="expression" dxfId="19" priority="142" stopIfTrue="1">
      <formula>$A795="note"</formula>
    </cfRule>
  </conditionalFormatting>
  <conditionalFormatting sqref="B795:E800">
    <cfRule type="expression" dxfId="20" priority="143" stopIfTrue="1">
      <formula>$A795="barcode"</formula>
    </cfRule>
  </conditionalFormatting>
  <conditionalFormatting sqref="B795:E800">
    <cfRule type="expression" dxfId="21" priority="144" stopIfTrue="1">
      <formula>OR($A795="geopoint", $A795="geoshape", $A795="geotrace")</formula>
    </cfRule>
  </conditionalFormatting>
  <conditionalFormatting sqref="B795:E800">
    <cfRule type="expression" dxfId="22" priority="145" stopIfTrue="1">
      <formula>OR($A795="audio audit", $A795="text audit", $A795="speed violations count", $A795="speed violations list", $A795="speed violations audit")</formula>
    </cfRule>
  </conditionalFormatting>
  <conditionalFormatting sqref="B795:E800">
    <cfRule type="expression" dxfId="23" priority="146" stopIfTrue="1">
      <formula>OR($A795="username", $A795="phonenumber", $A795="start", $A795="end", $A795="deviceid", $A795="subscriberid", $A795="simserial", $A795="caseid")</formula>
    </cfRule>
  </conditionalFormatting>
  <conditionalFormatting sqref="B795:E800">
    <cfRule type="expression" dxfId="24" priority="147" stopIfTrue="1">
      <formula>OR(AND(LEFT($A795, 16)="select_multiple ", LEN($A795)&gt;16, NOT(ISNUMBER(SEARCH(" ", $A795, 17)))), AND(LEFT($A795, 11)="select_one ", LEN($A795)&gt;11, NOT(ISNUMBER(SEARCH(" ", $A795, 12)))))</formula>
    </cfRule>
  </conditionalFormatting>
  <conditionalFormatting sqref="B795:E800">
    <cfRule type="expression" dxfId="25" priority="148" stopIfTrue="1">
      <formula>$A795="decimal"</formula>
    </cfRule>
  </conditionalFormatting>
  <conditionalFormatting sqref="B795:E800">
    <cfRule type="expression" dxfId="26" priority="149" stopIfTrue="1">
      <formula>$A795="integer"</formula>
    </cfRule>
  </conditionalFormatting>
  <conditionalFormatting sqref="B795:E800">
    <cfRule type="expression" dxfId="27" priority="150" stopIfTrue="1">
      <formula>$A795="text"</formula>
    </cfRule>
  </conditionalFormatting>
  <conditionalFormatting sqref="B795:E800">
    <cfRule type="expression" dxfId="28" priority="151" stopIfTrue="1">
      <formula>$A795="end repeat"</formula>
    </cfRule>
  </conditionalFormatting>
  <conditionalFormatting sqref="B795:E800">
    <cfRule type="expression" dxfId="28" priority="152" stopIfTrue="1">
      <formula>$A795="begin repeat"</formula>
    </cfRule>
  </conditionalFormatting>
  <conditionalFormatting sqref="B795:E800">
    <cfRule type="expression" dxfId="29" priority="153" stopIfTrue="1">
      <formula>$A795="end group"</formula>
    </cfRule>
  </conditionalFormatting>
  <conditionalFormatting sqref="B795:E800">
    <cfRule type="expression" dxfId="29" priority="154" stopIfTrue="1">
      <formula>$A795="begin group"</formula>
    </cfRule>
  </conditionalFormatting>
  <conditionalFormatting sqref="B795:B800">
    <cfRule type="expression" dxfId="30" priority="155" stopIfTrue="1">
      <formula>$A795="comments"</formula>
    </cfRule>
  </conditionalFormatting>
  <conditionalFormatting sqref="B795:B800">
    <cfRule type="expression" dxfId="36" priority="156" stopIfTrue="1">
      <formula>OR(AND(LEFT($A795, 14)="sensor_stream ", LEN($A795)&gt;14, NOT(ISNUMBER(SEARCH(" ", $A795, 15)))), AND(LEFT($A795, 17)="sensor_statistic ", LEN($A795)&gt;17, NOT(ISNUMBER(SEARCH(" ", $A795, 18)))))</formula>
    </cfRule>
  </conditionalFormatting>
  <conditionalFormatting sqref="B791:C792 D791:E792">
    <cfRule type="expression" dxfId="0" priority="157" stopIfTrue="1">
      <formula>$A791="begin group"</formula>
    </cfRule>
  </conditionalFormatting>
  <conditionalFormatting sqref="B791:C792 D791:E792">
    <cfRule type="expression" dxfId="1" priority="158" stopIfTrue="1">
      <formula>$A791="begin repeat"</formula>
    </cfRule>
  </conditionalFormatting>
  <conditionalFormatting sqref="B791:E792">
    <cfRule type="expression" dxfId="31" priority="159" stopIfTrue="1">
      <formula>$A791="enumerator"</formula>
    </cfRule>
  </conditionalFormatting>
  <conditionalFormatting sqref="B791:E792">
    <cfRule type="expression" dxfId="2" priority="160" stopIfTrue="1">
      <formula>$A791="text"</formula>
    </cfRule>
  </conditionalFormatting>
  <conditionalFormatting sqref="B791:E792">
    <cfRule type="expression" dxfId="3" priority="161" stopIfTrue="1">
      <formula>$A791="integer"</formula>
    </cfRule>
  </conditionalFormatting>
  <conditionalFormatting sqref="B791:E792">
    <cfRule type="expression" dxfId="4" priority="162" stopIfTrue="1">
      <formula>$A791="decimal"</formula>
    </cfRule>
  </conditionalFormatting>
  <conditionalFormatting sqref="B791:C792 D791:E792">
    <cfRule type="expression" dxfId="5" priority="163" stopIfTrue="1">
      <formula>OR(AND(LEFT($A791, 16)="select_multiple ", LEN($A791)&gt;16, NOT(ISNUMBER(SEARCH(" ", $A791, 17)))), AND(LEFT($A791, 11)="select_one ", LEN($A791)&gt;11, NOT(ISNUMBER(SEARCH(" ", $A791, 12)))))</formula>
    </cfRule>
  </conditionalFormatting>
  <conditionalFormatting sqref="B791:B792">
    <cfRule type="expression" dxfId="6" priority="164" stopIfTrue="1">
      <formula>OR($A791="audio audit", $A791="text audit", $A791="speed violations count", $A791="speed violations list", $A791="speed violations audit")</formula>
    </cfRule>
  </conditionalFormatting>
  <conditionalFormatting sqref="B791:C792 D791:E792">
    <cfRule type="expression" dxfId="32" priority="165" stopIfTrue="1">
      <formula>$A791="file"</formula>
    </cfRule>
  </conditionalFormatting>
  <conditionalFormatting sqref="B791:C792 D791:E792">
    <cfRule type="expression" dxfId="7" priority="166" stopIfTrue="1">
      <formula>$A791="note"</formula>
    </cfRule>
  </conditionalFormatting>
  <conditionalFormatting sqref="B791:C792 D791:E792">
    <cfRule type="expression" dxfId="8" priority="167" stopIfTrue="1">
      <formula>$A791="barcode"</formula>
    </cfRule>
  </conditionalFormatting>
  <conditionalFormatting sqref="B791:C792 D791:E792">
    <cfRule type="expression" dxfId="9" priority="168" stopIfTrue="1">
      <formula>OR($A791="geopoint", $A791="geoshape", $A791="geotrace")</formula>
    </cfRule>
  </conditionalFormatting>
  <conditionalFormatting sqref="B791:B792">
    <cfRule type="expression" dxfId="10" priority="169" stopIfTrue="1">
      <formula>OR($A791="calculate", $A791="calculate_here")</formula>
    </cfRule>
  </conditionalFormatting>
  <conditionalFormatting sqref="B791:C792 D791:E792">
    <cfRule type="expression" dxfId="11" priority="170" stopIfTrue="1">
      <formula>OR($A791="date", $A791="datetime", $A791="time")</formula>
    </cfRule>
  </conditionalFormatting>
  <conditionalFormatting sqref="B791:C792 D791:E792">
    <cfRule type="expression" dxfId="12" priority="171" stopIfTrue="1">
      <formula>$A791="image"</formula>
    </cfRule>
  </conditionalFormatting>
  <conditionalFormatting sqref="B791:C792 D791:E792">
    <cfRule type="expression" dxfId="13" priority="172" stopIfTrue="1">
      <formula>OR($A791="audio", $A791="video")</formula>
    </cfRule>
  </conditionalFormatting>
  <conditionalFormatting sqref="B791:E792">
    <cfRule type="expression" dxfId="33" priority="173" stopIfTrue="1">
      <formula>$A791="file"</formula>
    </cfRule>
  </conditionalFormatting>
  <conditionalFormatting sqref="B791:E792">
    <cfRule type="expression" dxfId="34" priority="174" stopIfTrue="1">
      <formula>$A791="enumerator"</formula>
    </cfRule>
  </conditionalFormatting>
  <conditionalFormatting sqref="B791:E792">
    <cfRule type="expression" dxfId="35" priority="175" stopIfTrue="1">
      <formula>OR(AND(LEFT($A791, 14)="sensor_stream ", LEN($A791)&gt;14, NOT(ISNUMBER(SEARCH(" ", $A791, 15)))), AND(LEFT($A791, 17)="sensor_statistic ", LEN($A791)&gt;17, NOT(ISNUMBER(SEARCH(" ", $A791, 18)))))</formula>
    </cfRule>
  </conditionalFormatting>
  <conditionalFormatting sqref="B791:E792">
    <cfRule type="expression" dxfId="14" priority="176" stopIfTrue="1">
      <formula>$A791="comments"</formula>
    </cfRule>
  </conditionalFormatting>
  <conditionalFormatting sqref="B791:E792">
    <cfRule type="expression" dxfId="15" priority="177" stopIfTrue="1">
      <formula>OR($A791="audio", $A791="video")</formula>
    </cfRule>
  </conditionalFormatting>
  <conditionalFormatting sqref="B791:E792">
    <cfRule type="expression" dxfId="16" priority="178" stopIfTrue="1">
      <formula>$A791="image"</formula>
    </cfRule>
  </conditionalFormatting>
  <conditionalFormatting sqref="B791:E792">
    <cfRule type="expression" dxfId="17" priority="179" stopIfTrue="1">
      <formula>OR($A791="date", $A791="datetime", $A791="time")</formula>
    </cfRule>
  </conditionalFormatting>
  <conditionalFormatting sqref="B791:E792">
    <cfRule type="expression" dxfId="18" priority="180" stopIfTrue="1">
      <formula>OR($A791="calculate", $A791="calculate_here")</formula>
    </cfRule>
  </conditionalFormatting>
  <conditionalFormatting sqref="B791:E792">
    <cfRule type="expression" dxfId="19" priority="181" stopIfTrue="1">
      <formula>$A791="note"</formula>
    </cfRule>
  </conditionalFormatting>
  <conditionalFormatting sqref="B791:E792">
    <cfRule type="expression" dxfId="20" priority="182" stopIfTrue="1">
      <formula>$A791="barcode"</formula>
    </cfRule>
  </conditionalFormatting>
  <conditionalFormatting sqref="B791:E792">
    <cfRule type="expression" dxfId="21" priority="183" stopIfTrue="1">
      <formula>OR($A791="geopoint", $A791="geoshape", $A791="geotrace")</formula>
    </cfRule>
  </conditionalFormatting>
  <conditionalFormatting sqref="B791:E792">
    <cfRule type="expression" dxfId="22" priority="184" stopIfTrue="1">
      <formula>OR($A791="audio audit", $A791="text audit", $A791="speed violations count", $A791="speed violations list", $A791="speed violations audit")</formula>
    </cfRule>
  </conditionalFormatting>
  <conditionalFormatting sqref="B791:E792">
    <cfRule type="expression" dxfId="23" priority="185" stopIfTrue="1">
      <formula>OR($A791="username", $A791="phonenumber", $A791="start", $A791="end", $A791="deviceid", $A791="subscriberid", $A791="simserial", $A791="caseid")</formula>
    </cfRule>
  </conditionalFormatting>
  <conditionalFormatting sqref="B791:E792">
    <cfRule type="expression" dxfId="24" priority="186" stopIfTrue="1">
      <formula>OR(AND(LEFT($A791, 16)="select_multiple ", LEN($A791)&gt;16, NOT(ISNUMBER(SEARCH(" ", $A791, 17)))), AND(LEFT($A791, 11)="select_one ", LEN($A791)&gt;11, NOT(ISNUMBER(SEARCH(" ", $A791, 12)))))</formula>
    </cfRule>
  </conditionalFormatting>
  <conditionalFormatting sqref="B791:E792">
    <cfRule type="expression" dxfId="25" priority="187" stopIfTrue="1">
      <formula>$A791="decimal"</formula>
    </cfRule>
  </conditionalFormatting>
  <conditionalFormatting sqref="B791:E792">
    <cfRule type="expression" dxfId="26" priority="188" stopIfTrue="1">
      <formula>$A791="integer"</formula>
    </cfRule>
  </conditionalFormatting>
  <conditionalFormatting sqref="B791:E792">
    <cfRule type="expression" dxfId="27" priority="189" stopIfTrue="1">
      <formula>$A791="text"</formula>
    </cfRule>
  </conditionalFormatting>
  <conditionalFormatting sqref="B791:E792">
    <cfRule type="expression" dxfId="28" priority="190" stopIfTrue="1">
      <formula>$A791="end repeat"</formula>
    </cfRule>
  </conditionalFormatting>
  <conditionalFormatting sqref="B791:E792">
    <cfRule type="expression" dxfId="28" priority="191" stopIfTrue="1">
      <formula>$A791="begin repeat"</formula>
    </cfRule>
  </conditionalFormatting>
  <conditionalFormatting sqref="B791:E792">
    <cfRule type="expression" dxfId="29" priority="192" stopIfTrue="1">
      <formula>$A791="end group"</formula>
    </cfRule>
  </conditionalFormatting>
  <conditionalFormatting sqref="B791:E792">
    <cfRule type="expression" dxfId="29" priority="193" stopIfTrue="1">
      <formula>$A791="begin group"</formula>
    </cfRule>
  </conditionalFormatting>
  <conditionalFormatting sqref="B791:B792">
    <cfRule type="expression" dxfId="30" priority="194" stopIfTrue="1">
      <formula>$A791="comments"</formula>
    </cfRule>
  </conditionalFormatting>
  <conditionalFormatting sqref="B791:B792">
    <cfRule type="expression" dxfId="36" priority="195" stopIfTrue="1">
      <formula>OR(AND(LEFT($A791, 14)="sensor_stream ", LEN($A791)&gt;14, NOT(ISNUMBER(SEARCH(" ", $A791, 15)))), AND(LEFT($A791, 17)="sensor_statistic ", LEN($A791)&gt;17, NOT(ISNUMBER(SEARCH(" ", $A791, 18)))))</formula>
    </cfRule>
  </conditionalFormatting>
  <conditionalFormatting sqref="B783:C789 D783:E789">
    <cfRule type="expression" dxfId="0" priority="196" stopIfTrue="1">
      <formula>$A783="begin group"</formula>
    </cfRule>
  </conditionalFormatting>
  <conditionalFormatting sqref="B783:C789 D783:E789">
    <cfRule type="expression" dxfId="1" priority="197" stopIfTrue="1">
      <formula>$A783="begin repeat"</formula>
    </cfRule>
  </conditionalFormatting>
  <conditionalFormatting sqref="B783:E789">
    <cfRule type="expression" dxfId="31" priority="198" stopIfTrue="1">
      <formula>$A783="enumerator"</formula>
    </cfRule>
  </conditionalFormatting>
  <conditionalFormatting sqref="B783:E789">
    <cfRule type="expression" dxfId="2" priority="199" stopIfTrue="1">
      <formula>$A783="text"</formula>
    </cfRule>
  </conditionalFormatting>
  <conditionalFormatting sqref="B783:E789">
    <cfRule type="expression" dxfId="3" priority="200" stopIfTrue="1">
      <formula>$A783="integer"</formula>
    </cfRule>
  </conditionalFormatting>
  <conditionalFormatting sqref="B783:E789">
    <cfRule type="expression" dxfId="4" priority="201" stopIfTrue="1">
      <formula>$A783="decimal"</formula>
    </cfRule>
  </conditionalFormatting>
  <conditionalFormatting sqref="B783:C789 D783:E789">
    <cfRule type="expression" dxfId="5" priority="202" stopIfTrue="1">
      <formula>OR(AND(LEFT($A783, 16)="select_multiple ", LEN($A783)&gt;16, NOT(ISNUMBER(SEARCH(" ", $A783, 17)))), AND(LEFT($A783, 11)="select_one ", LEN($A783)&gt;11, NOT(ISNUMBER(SEARCH(" ", $A783, 12)))))</formula>
    </cfRule>
  </conditionalFormatting>
  <conditionalFormatting sqref="B783:B789">
    <cfRule type="expression" dxfId="6" priority="203" stopIfTrue="1">
      <formula>OR($A783="audio audit", $A783="text audit", $A783="speed violations count", $A783="speed violations list", $A783="speed violations audit")</formula>
    </cfRule>
  </conditionalFormatting>
  <conditionalFormatting sqref="B783:C789 D783:E789">
    <cfRule type="expression" dxfId="32" priority="204" stopIfTrue="1">
      <formula>$A783="file"</formula>
    </cfRule>
  </conditionalFormatting>
  <conditionalFormatting sqref="B783:C789 D783:E789">
    <cfRule type="expression" dxfId="7" priority="205" stopIfTrue="1">
      <formula>$A783="note"</formula>
    </cfRule>
  </conditionalFormatting>
  <conditionalFormatting sqref="B783:C789 D783:E789">
    <cfRule type="expression" dxfId="8" priority="206" stopIfTrue="1">
      <formula>$A783="barcode"</formula>
    </cfRule>
  </conditionalFormatting>
  <conditionalFormatting sqref="B783:C789 D783:E789">
    <cfRule type="expression" dxfId="9" priority="207" stopIfTrue="1">
      <formula>OR($A783="geopoint", $A783="geoshape", $A783="geotrace")</formula>
    </cfRule>
  </conditionalFormatting>
  <conditionalFormatting sqref="B783:B789">
    <cfRule type="expression" dxfId="10" priority="208" stopIfTrue="1">
      <formula>OR($A783="calculate", $A783="calculate_here")</formula>
    </cfRule>
  </conditionalFormatting>
  <conditionalFormatting sqref="B783:C789 D783:E789">
    <cfRule type="expression" dxfId="11" priority="209" stopIfTrue="1">
      <formula>OR($A783="date", $A783="datetime", $A783="time")</formula>
    </cfRule>
  </conditionalFormatting>
  <conditionalFormatting sqref="B783:C789 D783:E789">
    <cfRule type="expression" dxfId="12" priority="210" stopIfTrue="1">
      <formula>$A783="image"</formula>
    </cfRule>
  </conditionalFormatting>
  <conditionalFormatting sqref="B783:C789 D783:E789">
    <cfRule type="expression" dxfId="13" priority="211" stopIfTrue="1">
      <formula>OR($A783="audio", $A783="video")</formula>
    </cfRule>
  </conditionalFormatting>
  <conditionalFormatting sqref="B783:E789">
    <cfRule type="expression" dxfId="33" priority="212" stopIfTrue="1">
      <formula>$A783="file"</formula>
    </cfRule>
  </conditionalFormatting>
  <conditionalFormatting sqref="B783:E789">
    <cfRule type="expression" dxfId="34" priority="213" stopIfTrue="1">
      <formula>$A783="enumerator"</formula>
    </cfRule>
  </conditionalFormatting>
  <conditionalFormatting sqref="B783:E789">
    <cfRule type="expression" dxfId="35" priority="214" stopIfTrue="1">
      <formula>OR(AND(LEFT($A783, 14)="sensor_stream ", LEN($A783)&gt;14, NOT(ISNUMBER(SEARCH(" ", $A783, 15)))), AND(LEFT($A783, 17)="sensor_statistic ", LEN($A783)&gt;17, NOT(ISNUMBER(SEARCH(" ", $A783, 18)))))</formula>
    </cfRule>
  </conditionalFormatting>
  <conditionalFormatting sqref="B783:E789">
    <cfRule type="expression" dxfId="14" priority="215" stopIfTrue="1">
      <formula>$A783="comments"</formula>
    </cfRule>
  </conditionalFormatting>
  <conditionalFormatting sqref="B783:E789">
    <cfRule type="expression" dxfId="15" priority="216" stopIfTrue="1">
      <formula>OR($A783="audio", $A783="video")</formula>
    </cfRule>
  </conditionalFormatting>
  <conditionalFormatting sqref="B783:E789">
    <cfRule type="expression" dxfId="16" priority="217" stopIfTrue="1">
      <formula>$A783="image"</formula>
    </cfRule>
  </conditionalFormatting>
  <conditionalFormatting sqref="B783:E789">
    <cfRule type="expression" dxfId="17" priority="218" stopIfTrue="1">
      <formula>OR($A783="date", $A783="datetime", $A783="time")</formula>
    </cfRule>
  </conditionalFormatting>
  <conditionalFormatting sqref="B783:E789">
    <cfRule type="expression" dxfId="18" priority="219" stopIfTrue="1">
      <formula>OR($A783="calculate", $A783="calculate_here")</formula>
    </cfRule>
  </conditionalFormatting>
  <conditionalFormatting sqref="B783:E789">
    <cfRule type="expression" dxfId="19" priority="220" stopIfTrue="1">
      <formula>$A783="note"</formula>
    </cfRule>
  </conditionalFormatting>
  <conditionalFormatting sqref="B783:E789">
    <cfRule type="expression" dxfId="20" priority="221" stopIfTrue="1">
      <formula>$A783="barcode"</formula>
    </cfRule>
  </conditionalFormatting>
  <conditionalFormatting sqref="B783:E789">
    <cfRule type="expression" dxfId="21" priority="222" stopIfTrue="1">
      <formula>OR($A783="geopoint", $A783="geoshape", $A783="geotrace")</formula>
    </cfRule>
  </conditionalFormatting>
  <conditionalFormatting sqref="B783:E789">
    <cfRule type="expression" dxfId="22" priority="223" stopIfTrue="1">
      <formula>OR($A783="audio audit", $A783="text audit", $A783="speed violations count", $A783="speed violations list", $A783="speed violations audit")</formula>
    </cfRule>
  </conditionalFormatting>
  <conditionalFormatting sqref="B783:E789">
    <cfRule type="expression" dxfId="23" priority="224" stopIfTrue="1">
      <formula>OR($A783="username", $A783="phonenumber", $A783="start", $A783="end", $A783="deviceid", $A783="subscriberid", $A783="simserial", $A783="caseid")</formula>
    </cfRule>
  </conditionalFormatting>
  <conditionalFormatting sqref="B783:E789">
    <cfRule type="expression" dxfId="24" priority="225" stopIfTrue="1">
      <formula>OR(AND(LEFT($A783, 16)="select_multiple ", LEN($A783)&gt;16, NOT(ISNUMBER(SEARCH(" ", $A783, 17)))), AND(LEFT($A783, 11)="select_one ", LEN($A783)&gt;11, NOT(ISNUMBER(SEARCH(" ", $A783, 12)))))</formula>
    </cfRule>
  </conditionalFormatting>
  <conditionalFormatting sqref="B783:E789">
    <cfRule type="expression" dxfId="25" priority="226" stopIfTrue="1">
      <formula>$A783="decimal"</formula>
    </cfRule>
  </conditionalFormatting>
  <conditionalFormatting sqref="B783:E789">
    <cfRule type="expression" dxfId="26" priority="227" stopIfTrue="1">
      <formula>$A783="integer"</formula>
    </cfRule>
  </conditionalFormatting>
  <conditionalFormatting sqref="B783:E789">
    <cfRule type="expression" dxfId="27" priority="228" stopIfTrue="1">
      <formula>$A783="text"</formula>
    </cfRule>
  </conditionalFormatting>
  <conditionalFormatting sqref="B783:E789">
    <cfRule type="expression" dxfId="28" priority="229" stopIfTrue="1">
      <formula>$A783="end repeat"</formula>
    </cfRule>
  </conditionalFormatting>
  <conditionalFormatting sqref="B783:E789">
    <cfRule type="expression" dxfId="28" priority="230" stopIfTrue="1">
      <formula>$A783="begin repeat"</formula>
    </cfRule>
  </conditionalFormatting>
  <conditionalFormatting sqref="B783:E789">
    <cfRule type="expression" dxfId="29" priority="231" stopIfTrue="1">
      <formula>$A783="end group"</formula>
    </cfRule>
  </conditionalFormatting>
  <conditionalFormatting sqref="B783:E789">
    <cfRule type="expression" dxfId="29" priority="232" stopIfTrue="1">
      <formula>$A783="begin group"</formula>
    </cfRule>
  </conditionalFormatting>
  <conditionalFormatting sqref="B783:B789">
    <cfRule type="expression" dxfId="30" priority="233" stopIfTrue="1">
      <formula>$A783="comments"</formula>
    </cfRule>
  </conditionalFormatting>
  <conditionalFormatting sqref="B783:B789">
    <cfRule type="expression" dxfId="36" priority="234" stopIfTrue="1">
      <formula>OR(AND(LEFT($A783, 14)="sensor_stream ", LEN($A783)&gt;14, NOT(ISNUMBER(SEARCH(" ", $A783, 15)))), AND(LEFT($A783, 17)="sensor_statistic ", LEN($A783)&gt;17, NOT(ISNUMBER(SEARCH(" ", $A783, 18)))))</formula>
    </cfRule>
  </conditionalFormatting>
  <conditionalFormatting sqref="B779:C780 D779:E780">
    <cfRule type="expression" dxfId="0" priority="235" stopIfTrue="1">
      <formula>$A779="begin group"</formula>
    </cfRule>
  </conditionalFormatting>
  <conditionalFormatting sqref="B779:C780 D779:E780">
    <cfRule type="expression" dxfId="1" priority="236" stopIfTrue="1">
      <formula>$A779="begin repeat"</formula>
    </cfRule>
  </conditionalFormatting>
  <conditionalFormatting sqref="B779:E780">
    <cfRule type="expression" dxfId="31" priority="237" stopIfTrue="1">
      <formula>$A779="enumerator"</formula>
    </cfRule>
  </conditionalFormatting>
  <conditionalFormatting sqref="B779:E780">
    <cfRule type="expression" dxfId="2" priority="238" stopIfTrue="1">
      <formula>$A779="text"</formula>
    </cfRule>
  </conditionalFormatting>
  <conditionalFormatting sqref="B779:E780">
    <cfRule type="expression" dxfId="3" priority="239" stopIfTrue="1">
      <formula>$A779="integer"</formula>
    </cfRule>
  </conditionalFormatting>
  <conditionalFormatting sqref="B779:E780">
    <cfRule type="expression" dxfId="4" priority="240" stopIfTrue="1">
      <formula>$A779="decimal"</formula>
    </cfRule>
  </conditionalFormatting>
  <conditionalFormatting sqref="B779:C780 D779:E780">
    <cfRule type="expression" dxfId="5" priority="241" stopIfTrue="1">
      <formula>OR(AND(LEFT($A779, 16)="select_multiple ", LEN($A779)&gt;16, NOT(ISNUMBER(SEARCH(" ", $A779, 17)))), AND(LEFT($A779, 11)="select_one ", LEN($A779)&gt;11, NOT(ISNUMBER(SEARCH(" ", $A779, 12)))))</formula>
    </cfRule>
  </conditionalFormatting>
  <conditionalFormatting sqref="B779:B780">
    <cfRule type="expression" dxfId="6" priority="242" stopIfTrue="1">
      <formula>OR($A779="audio audit", $A779="text audit", $A779="speed violations count", $A779="speed violations list", $A779="speed violations audit")</formula>
    </cfRule>
  </conditionalFormatting>
  <conditionalFormatting sqref="B779:C780 D779:E780">
    <cfRule type="expression" dxfId="32" priority="243" stopIfTrue="1">
      <formula>$A779="file"</formula>
    </cfRule>
  </conditionalFormatting>
  <conditionalFormatting sqref="B779:C780 D779:E780">
    <cfRule type="expression" dxfId="7" priority="244" stopIfTrue="1">
      <formula>$A779="note"</formula>
    </cfRule>
  </conditionalFormatting>
  <conditionalFormatting sqref="B779:C780 D779:E780">
    <cfRule type="expression" dxfId="8" priority="245" stopIfTrue="1">
      <formula>$A779="barcode"</formula>
    </cfRule>
  </conditionalFormatting>
  <conditionalFormatting sqref="B779:C780 D779:E780">
    <cfRule type="expression" dxfId="9" priority="246" stopIfTrue="1">
      <formula>OR($A779="geopoint", $A779="geoshape", $A779="geotrace")</formula>
    </cfRule>
  </conditionalFormatting>
  <conditionalFormatting sqref="B779:B780">
    <cfRule type="expression" dxfId="10" priority="247" stopIfTrue="1">
      <formula>OR($A779="calculate", $A779="calculate_here")</formula>
    </cfRule>
  </conditionalFormatting>
  <conditionalFormatting sqref="B779:C780 D779:E780">
    <cfRule type="expression" dxfId="11" priority="248" stopIfTrue="1">
      <formula>OR($A779="date", $A779="datetime", $A779="time")</formula>
    </cfRule>
  </conditionalFormatting>
  <conditionalFormatting sqref="B779:C780 D779:E780">
    <cfRule type="expression" dxfId="12" priority="249" stopIfTrue="1">
      <formula>$A779="image"</formula>
    </cfRule>
  </conditionalFormatting>
  <conditionalFormatting sqref="B779:C780 D779:E780">
    <cfRule type="expression" dxfId="13" priority="250" stopIfTrue="1">
      <formula>OR($A779="audio", $A779="video")</formula>
    </cfRule>
  </conditionalFormatting>
  <conditionalFormatting sqref="B779:E780">
    <cfRule type="expression" dxfId="33" priority="251" stopIfTrue="1">
      <formula>$A779="file"</formula>
    </cfRule>
  </conditionalFormatting>
  <conditionalFormatting sqref="B779:E780">
    <cfRule type="expression" dxfId="34" priority="252" stopIfTrue="1">
      <formula>$A779="enumerator"</formula>
    </cfRule>
  </conditionalFormatting>
  <conditionalFormatting sqref="B779:E780">
    <cfRule type="expression" dxfId="35" priority="253" stopIfTrue="1">
      <formula>OR(AND(LEFT($A779, 14)="sensor_stream ", LEN($A779)&gt;14, NOT(ISNUMBER(SEARCH(" ", $A779, 15)))), AND(LEFT($A779, 17)="sensor_statistic ", LEN($A779)&gt;17, NOT(ISNUMBER(SEARCH(" ", $A779, 18)))))</formula>
    </cfRule>
  </conditionalFormatting>
  <conditionalFormatting sqref="B779:E780">
    <cfRule type="expression" dxfId="14" priority="254" stopIfTrue="1">
      <formula>$A779="comments"</formula>
    </cfRule>
  </conditionalFormatting>
  <conditionalFormatting sqref="B779:E780">
    <cfRule type="expression" dxfId="15" priority="255" stopIfTrue="1">
      <formula>OR($A779="audio", $A779="video")</formula>
    </cfRule>
  </conditionalFormatting>
  <conditionalFormatting sqref="B779:E780">
    <cfRule type="expression" dxfId="16" priority="256" stopIfTrue="1">
      <formula>$A779="image"</formula>
    </cfRule>
  </conditionalFormatting>
  <conditionalFormatting sqref="B779:E780">
    <cfRule type="expression" dxfId="17" priority="257" stopIfTrue="1">
      <formula>OR($A779="date", $A779="datetime", $A779="time")</formula>
    </cfRule>
  </conditionalFormatting>
  <conditionalFormatting sqref="B779:E780">
    <cfRule type="expression" dxfId="18" priority="258" stopIfTrue="1">
      <formula>OR($A779="calculate", $A779="calculate_here")</formula>
    </cfRule>
  </conditionalFormatting>
  <conditionalFormatting sqref="B779:E780">
    <cfRule type="expression" dxfId="19" priority="259" stopIfTrue="1">
      <formula>$A779="note"</formula>
    </cfRule>
  </conditionalFormatting>
  <conditionalFormatting sqref="B779:E780">
    <cfRule type="expression" dxfId="20" priority="260" stopIfTrue="1">
      <formula>$A779="barcode"</formula>
    </cfRule>
  </conditionalFormatting>
  <conditionalFormatting sqref="B779:E780">
    <cfRule type="expression" dxfId="21" priority="261" stopIfTrue="1">
      <formula>OR($A779="geopoint", $A779="geoshape", $A779="geotrace")</formula>
    </cfRule>
  </conditionalFormatting>
  <conditionalFormatting sqref="B779:E780">
    <cfRule type="expression" dxfId="22" priority="262" stopIfTrue="1">
      <formula>OR($A779="audio audit", $A779="text audit", $A779="speed violations count", $A779="speed violations list", $A779="speed violations audit")</formula>
    </cfRule>
  </conditionalFormatting>
  <conditionalFormatting sqref="B779:E780">
    <cfRule type="expression" dxfId="23" priority="263" stopIfTrue="1">
      <formula>OR($A779="username", $A779="phonenumber", $A779="start", $A779="end", $A779="deviceid", $A779="subscriberid", $A779="simserial", $A779="caseid")</formula>
    </cfRule>
  </conditionalFormatting>
  <conditionalFormatting sqref="B779:E780">
    <cfRule type="expression" dxfId="24" priority="264" stopIfTrue="1">
      <formula>OR(AND(LEFT($A779, 16)="select_multiple ", LEN($A779)&gt;16, NOT(ISNUMBER(SEARCH(" ", $A779, 17)))), AND(LEFT($A779, 11)="select_one ", LEN($A779)&gt;11, NOT(ISNUMBER(SEARCH(" ", $A779, 12)))))</formula>
    </cfRule>
  </conditionalFormatting>
  <conditionalFormatting sqref="B779:E780">
    <cfRule type="expression" dxfId="25" priority="265" stopIfTrue="1">
      <formula>$A779="decimal"</formula>
    </cfRule>
  </conditionalFormatting>
  <conditionalFormatting sqref="B779:E780">
    <cfRule type="expression" dxfId="26" priority="266" stopIfTrue="1">
      <formula>$A779="integer"</formula>
    </cfRule>
  </conditionalFormatting>
  <conditionalFormatting sqref="B779:E780">
    <cfRule type="expression" dxfId="27" priority="267" stopIfTrue="1">
      <formula>$A779="text"</formula>
    </cfRule>
  </conditionalFormatting>
  <conditionalFormatting sqref="B779:E780">
    <cfRule type="expression" dxfId="28" priority="268" stopIfTrue="1">
      <formula>$A779="end repeat"</formula>
    </cfRule>
  </conditionalFormatting>
  <conditionalFormatting sqref="B779:E780">
    <cfRule type="expression" dxfId="28" priority="269" stopIfTrue="1">
      <formula>$A779="begin repeat"</formula>
    </cfRule>
  </conditionalFormatting>
  <conditionalFormatting sqref="B779:E780">
    <cfRule type="expression" dxfId="29" priority="270" stopIfTrue="1">
      <formula>$A779="end group"</formula>
    </cfRule>
  </conditionalFormatting>
  <conditionalFormatting sqref="B779:E780">
    <cfRule type="expression" dxfId="29" priority="271" stopIfTrue="1">
      <formula>$A779="begin group"</formula>
    </cfRule>
  </conditionalFormatting>
  <conditionalFormatting sqref="B779:B780">
    <cfRule type="expression" dxfId="30" priority="272" stopIfTrue="1">
      <formula>$A779="comments"</formula>
    </cfRule>
  </conditionalFormatting>
  <conditionalFormatting sqref="B779:B780">
    <cfRule type="expression" dxfId="36" priority="273" stopIfTrue="1">
      <formula>OR(AND(LEFT($A779, 14)="sensor_stream ", LEN($A779)&gt;14, NOT(ISNUMBER(SEARCH(" ", $A779, 15)))), AND(LEFT($A779, 17)="sensor_statistic ", LEN($A779)&gt;17, NOT(ISNUMBER(SEARCH(" ", $A779, 18)))))</formula>
    </cfRule>
  </conditionalFormatting>
  <conditionalFormatting sqref="B777:C777 D777:E777">
    <cfRule type="expression" dxfId="0" priority="274" stopIfTrue="1">
      <formula>$A777="begin group"</formula>
    </cfRule>
  </conditionalFormatting>
  <conditionalFormatting sqref="B777:C777 D777:E777">
    <cfRule type="expression" dxfId="1" priority="275" stopIfTrue="1">
      <formula>$A777="begin repeat"</formula>
    </cfRule>
  </conditionalFormatting>
  <conditionalFormatting sqref="B777:E777">
    <cfRule type="expression" dxfId="31" priority="276" stopIfTrue="1">
      <formula>$A777="enumerator"</formula>
    </cfRule>
  </conditionalFormatting>
  <conditionalFormatting sqref="B777:E777">
    <cfRule type="expression" dxfId="2" priority="277" stopIfTrue="1">
      <formula>$A777="text"</formula>
    </cfRule>
  </conditionalFormatting>
  <conditionalFormatting sqref="B777:E777">
    <cfRule type="expression" dxfId="3" priority="278" stopIfTrue="1">
      <formula>$A777="integer"</formula>
    </cfRule>
  </conditionalFormatting>
  <conditionalFormatting sqref="B777:E777">
    <cfRule type="expression" dxfId="4" priority="279" stopIfTrue="1">
      <formula>$A777="decimal"</formula>
    </cfRule>
  </conditionalFormatting>
  <conditionalFormatting sqref="B777:C777 D777:E777">
    <cfRule type="expression" dxfId="5" priority="280" stopIfTrue="1">
      <formula>OR(AND(LEFT($A777, 16)="select_multiple ", LEN($A777)&gt;16, NOT(ISNUMBER(SEARCH(" ", $A777, 17)))), AND(LEFT($A777, 11)="select_one ", LEN($A777)&gt;11, NOT(ISNUMBER(SEARCH(" ", $A777, 12)))))</formula>
    </cfRule>
  </conditionalFormatting>
  <conditionalFormatting sqref="B777">
    <cfRule type="expression" dxfId="6" priority="281" stopIfTrue="1">
      <formula>OR($A777="audio audit", $A777="text audit", $A777="speed violations count", $A777="speed violations list", $A777="speed violations audit")</formula>
    </cfRule>
  </conditionalFormatting>
  <conditionalFormatting sqref="B777:C777 D777:E777">
    <cfRule type="expression" dxfId="32" priority="282" stopIfTrue="1">
      <formula>$A777="file"</formula>
    </cfRule>
  </conditionalFormatting>
  <conditionalFormatting sqref="B777:C777 D777:E777">
    <cfRule type="expression" dxfId="7" priority="283" stopIfTrue="1">
      <formula>$A777="note"</formula>
    </cfRule>
  </conditionalFormatting>
  <conditionalFormatting sqref="B777:C777 D777:E777">
    <cfRule type="expression" dxfId="8" priority="284" stopIfTrue="1">
      <formula>$A777="barcode"</formula>
    </cfRule>
  </conditionalFormatting>
  <conditionalFormatting sqref="B777:C777 D777:E777">
    <cfRule type="expression" dxfId="9" priority="285" stopIfTrue="1">
      <formula>OR($A777="geopoint", $A777="geoshape", $A777="geotrace")</formula>
    </cfRule>
  </conditionalFormatting>
  <conditionalFormatting sqref="B777">
    <cfRule type="expression" dxfId="10" priority="286" stopIfTrue="1">
      <formula>OR($A777="calculate", $A777="calculate_here")</formula>
    </cfRule>
  </conditionalFormatting>
  <conditionalFormatting sqref="B777:C777 D777:E777">
    <cfRule type="expression" dxfId="11" priority="287" stopIfTrue="1">
      <formula>OR($A777="date", $A777="datetime", $A777="time")</formula>
    </cfRule>
  </conditionalFormatting>
  <conditionalFormatting sqref="B777:C777 D777:E777">
    <cfRule type="expression" dxfId="12" priority="288" stopIfTrue="1">
      <formula>$A777="image"</formula>
    </cfRule>
  </conditionalFormatting>
  <conditionalFormatting sqref="B777:C777 D777:E777">
    <cfRule type="expression" dxfId="13" priority="289" stopIfTrue="1">
      <formula>OR($A777="audio", $A777="video")</formula>
    </cfRule>
  </conditionalFormatting>
  <conditionalFormatting sqref="B777:E777">
    <cfRule type="expression" dxfId="33" priority="290" stopIfTrue="1">
      <formula>$A777="file"</formula>
    </cfRule>
  </conditionalFormatting>
  <conditionalFormatting sqref="B777:E777">
    <cfRule type="expression" dxfId="34" priority="291" stopIfTrue="1">
      <formula>$A777="enumerator"</formula>
    </cfRule>
  </conditionalFormatting>
  <conditionalFormatting sqref="B777:E777">
    <cfRule type="expression" dxfId="35" priority="292" stopIfTrue="1">
      <formula>OR(AND(LEFT($A777, 14)="sensor_stream ", LEN($A777)&gt;14, NOT(ISNUMBER(SEARCH(" ", $A777, 15)))), AND(LEFT($A777, 17)="sensor_statistic ", LEN($A777)&gt;17, NOT(ISNUMBER(SEARCH(" ", $A777, 18)))))</formula>
    </cfRule>
  </conditionalFormatting>
  <conditionalFormatting sqref="B777:E777">
    <cfRule type="expression" dxfId="14" priority="293" stopIfTrue="1">
      <formula>$A777="comments"</formula>
    </cfRule>
  </conditionalFormatting>
  <conditionalFormatting sqref="B777:E777">
    <cfRule type="expression" dxfId="15" priority="294" stopIfTrue="1">
      <formula>OR($A777="audio", $A777="video")</formula>
    </cfRule>
  </conditionalFormatting>
  <conditionalFormatting sqref="B777:E777">
    <cfRule type="expression" dxfId="16" priority="295" stopIfTrue="1">
      <formula>$A777="image"</formula>
    </cfRule>
  </conditionalFormatting>
  <conditionalFormatting sqref="B777:E777">
    <cfRule type="expression" dxfId="17" priority="296" stopIfTrue="1">
      <formula>OR($A777="date", $A777="datetime", $A777="time")</formula>
    </cfRule>
  </conditionalFormatting>
  <conditionalFormatting sqref="B777:E777">
    <cfRule type="expression" dxfId="18" priority="297" stopIfTrue="1">
      <formula>OR($A777="calculate", $A777="calculate_here")</formula>
    </cfRule>
  </conditionalFormatting>
  <conditionalFormatting sqref="B777:E777">
    <cfRule type="expression" dxfId="19" priority="298" stopIfTrue="1">
      <formula>$A777="note"</formula>
    </cfRule>
  </conditionalFormatting>
  <conditionalFormatting sqref="B777:E777">
    <cfRule type="expression" dxfId="20" priority="299" stopIfTrue="1">
      <formula>$A777="barcode"</formula>
    </cfRule>
  </conditionalFormatting>
  <conditionalFormatting sqref="B777:E777">
    <cfRule type="expression" dxfId="21" priority="300" stopIfTrue="1">
      <formula>OR($A777="geopoint", $A777="geoshape", $A777="geotrace")</formula>
    </cfRule>
  </conditionalFormatting>
  <conditionalFormatting sqref="B777:E777">
    <cfRule type="expression" dxfId="22" priority="301" stopIfTrue="1">
      <formula>OR($A777="audio audit", $A777="text audit", $A777="speed violations count", $A777="speed violations list", $A777="speed violations audit")</formula>
    </cfRule>
  </conditionalFormatting>
  <conditionalFormatting sqref="B777:E777">
    <cfRule type="expression" dxfId="23" priority="302" stopIfTrue="1">
      <formula>OR($A777="username", $A777="phonenumber", $A777="start", $A777="end", $A777="deviceid", $A777="subscriberid", $A777="simserial", $A777="caseid")</formula>
    </cfRule>
  </conditionalFormatting>
  <conditionalFormatting sqref="B777:E777">
    <cfRule type="expression" dxfId="24" priority="303" stopIfTrue="1">
      <formula>OR(AND(LEFT($A777, 16)="select_multiple ", LEN($A777)&gt;16, NOT(ISNUMBER(SEARCH(" ", $A777, 17)))), AND(LEFT($A777, 11)="select_one ", LEN($A777)&gt;11, NOT(ISNUMBER(SEARCH(" ", $A777, 12)))))</formula>
    </cfRule>
  </conditionalFormatting>
  <conditionalFormatting sqref="B777:E777">
    <cfRule type="expression" dxfId="25" priority="304" stopIfTrue="1">
      <formula>$A777="decimal"</formula>
    </cfRule>
  </conditionalFormatting>
  <conditionalFormatting sqref="B777:E777">
    <cfRule type="expression" dxfId="26" priority="305" stopIfTrue="1">
      <formula>$A777="integer"</formula>
    </cfRule>
  </conditionalFormatting>
  <conditionalFormatting sqref="B777:E777">
    <cfRule type="expression" dxfId="27" priority="306" stopIfTrue="1">
      <formula>$A777="text"</formula>
    </cfRule>
  </conditionalFormatting>
  <conditionalFormatting sqref="B777:E777">
    <cfRule type="expression" dxfId="28" priority="307" stopIfTrue="1">
      <formula>$A777="end repeat"</formula>
    </cfRule>
  </conditionalFormatting>
  <conditionalFormatting sqref="B777:E777">
    <cfRule type="expression" dxfId="28" priority="308" stopIfTrue="1">
      <formula>$A777="begin repeat"</formula>
    </cfRule>
  </conditionalFormatting>
  <conditionalFormatting sqref="B777:E777">
    <cfRule type="expression" dxfId="29" priority="309" stopIfTrue="1">
      <formula>$A777="end group"</formula>
    </cfRule>
  </conditionalFormatting>
  <conditionalFormatting sqref="B777:E777">
    <cfRule type="expression" dxfId="29" priority="310" stopIfTrue="1">
      <formula>$A777="begin group"</formula>
    </cfRule>
  </conditionalFormatting>
  <conditionalFormatting sqref="B777">
    <cfRule type="expression" dxfId="30" priority="311" stopIfTrue="1">
      <formula>$A777="comments"</formula>
    </cfRule>
  </conditionalFormatting>
  <conditionalFormatting sqref="B777">
    <cfRule type="expression" dxfId="36" priority="312" stopIfTrue="1">
      <formula>OR(AND(LEFT($A777, 14)="sensor_stream ", LEN($A777)&gt;14, NOT(ISNUMBER(SEARCH(" ", $A777, 15)))), AND(LEFT($A777, 17)="sensor_statistic ", LEN($A777)&gt;17, NOT(ISNUMBER(SEARCH(" ", $A777, 18)))))</formula>
    </cfRule>
  </conditionalFormatting>
  <conditionalFormatting sqref="B775:C775 D775:E775">
    <cfRule type="expression" dxfId="0" priority="313" stopIfTrue="1">
      <formula>$A775="begin group"</formula>
    </cfRule>
  </conditionalFormatting>
  <conditionalFormatting sqref="B775:C775 D775:E775">
    <cfRule type="expression" dxfId="1" priority="314" stopIfTrue="1">
      <formula>$A775="begin repeat"</formula>
    </cfRule>
  </conditionalFormatting>
  <conditionalFormatting sqref="B775:E775">
    <cfRule type="expression" dxfId="31" priority="315" stopIfTrue="1">
      <formula>$A775="enumerator"</formula>
    </cfRule>
  </conditionalFormatting>
  <conditionalFormatting sqref="B775:E775">
    <cfRule type="expression" dxfId="2" priority="316" stopIfTrue="1">
      <formula>$A775="text"</formula>
    </cfRule>
  </conditionalFormatting>
  <conditionalFormatting sqref="B775:E775">
    <cfRule type="expression" dxfId="3" priority="317" stopIfTrue="1">
      <formula>$A775="integer"</formula>
    </cfRule>
  </conditionalFormatting>
  <conditionalFormatting sqref="B775:E775">
    <cfRule type="expression" dxfId="4" priority="318" stopIfTrue="1">
      <formula>$A775="decimal"</formula>
    </cfRule>
  </conditionalFormatting>
  <conditionalFormatting sqref="B775:C775 D775:E775">
    <cfRule type="expression" dxfId="5" priority="319" stopIfTrue="1">
      <formula>OR(AND(LEFT($A775, 16)="select_multiple ", LEN($A775)&gt;16, NOT(ISNUMBER(SEARCH(" ", $A775, 17)))), AND(LEFT($A775, 11)="select_one ", LEN($A775)&gt;11, NOT(ISNUMBER(SEARCH(" ", $A775, 12)))))</formula>
    </cfRule>
  </conditionalFormatting>
  <conditionalFormatting sqref="B775">
    <cfRule type="expression" dxfId="6" priority="320" stopIfTrue="1">
      <formula>OR($A775="audio audit", $A775="text audit", $A775="speed violations count", $A775="speed violations list", $A775="speed violations audit")</formula>
    </cfRule>
  </conditionalFormatting>
  <conditionalFormatting sqref="B775:C775 D775:E775">
    <cfRule type="expression" dxfId="32" priority="321" stopIfTrue="1">
      <formula>$A775="file"</formula>
    </cfRule>
  </conditionalFormatting>
  <conditionalFormatting sqref="B775:C775 D775:E775">
    <cfRule type="expression" dxfId="7" priority="322" stopIfTrue="1">
      <formula>$A775="note"</formula>
    </cfRule>
  </conditionalFormatting>
  <conditionalFormatting sqref="B775:C775 D775:E775">
    <cfRule type="expression" dxfId="8" priority="323" stopIfTrue="1">
      <formula>$A775="barcode"</formula>
    </cfRule>
  </conditionalFormatting>
  <conditionalFormatting sqref="B775:C775 D775:E775">
    <cfRule type="expression" dxfId="9" priority="324" stopIfTrue="1">
      <formula>OR($A775="geopoint", $A775="geoshape", $A775="geotrace")</formula>
    </cfRule>
  </conditionalFormatting>
  <conditionalFormatting sqref="B775">
    <cfRule type="expression" dxfId="10" priority="325" stopIfTrue="1">
      <formula>OR($A775="calculate", $A775="calculate_here")</formula>
    </cfRule>
  </conditionalFormatting>
  <conditionalFormatting sqref="B775:C775 D775:E775">
    <cfRule type="expression" dxfId="11" priority="326" stopIfTrue="1">
      <formula>OR($A775="date", $A775="datetime", $A775="time")</formula>
    </cfRule>
  </conditionalFormatting>
  <conditionalFormatting sqref="B775:C775 D775:E775">
    <cfRule type="expression" dxfId="12" priority="327" stopIfTrue="1">
      <formula>$A775="image"</formula>
    </cfRule>
  </conditionalFormatting>
  <conditionalFormatting sqref="B775:C775 D775:E775">
    <cfRule type="expression" dxfId="13" priority="328" stopIfTrue="1">
      <formula>OR($A775="audio", $A775="video")</formula>
    </cfRule>
  </conditionalFormatting>
  <conditionalFormatting sqref="B775:E775">
    <cfRule type="expression" dxfId="33" priority="329" stopIfTrue="1">
      <formula>$A775="file"</formula>
    </cfRule>
  </conditionalFormatting>
  <conditionalFormatting sqref="B775:E775">
    <cfRule type="expression" dxfId="34" priority="330" stopIfTrue="1">
      <formula>$A775="enumerator"</formula>
    </cfRule>
  </conditionalFormatting>
  <conditionalFormatting sqref="B775:E775">
    <cfRule type="expression" dxfId="35" priority="331" stopIfTrue="1">
      <formula>OR(AND(LEFT($A775, 14)="sensor_stream ", LEN($A775)&gt;14, NOT(ISNUMBER(SEARCH(" ", $A775, 15)))), AND(LEFT($A775, 17)="sensor_statistic ", LEN($A775)&gt;17, NOT(ISNUMBER(SEARCH(" ", $A775, 18)))))</formula>
    </cfRule>
  </conditionalFormatting>
  <conditionalFormatting sqref="B775:E775">
    <cfRule type="expression" dxfId="14" priority="332" stopIfTrue="1">
      <formula>$A775="comments"</formula>
    </cfRule>
  </conditionalFormatting>
  <conditionalFormatting sqref="B775:E775">
    <cfRule type="expression" dxfId="15" priority="333" stopIfTrue="1">
      <formula>OR($A775="audio", $A775="video")</formula>
    </cfRule>
  </conditionalFormatting>
  <conditionalFormatting sqref="B775:E775">
    <cfRule type="expression" dxfId="16" priority="334" stopIfTrue="1">
      <formula>$A775="image"</formula>
    </cfRule>
  </conditionalFormatting>
  <conditionalFormatting sqref="B775:E775">
    <cfRule type="expression" dxfId="17" priority="335" stopIfTrue="1">
      <formula>OR($A775="date", $A775="datetime", $A775="time")</formula>
    </cfRule>
  </conditionalFormatting>
  <conditionalFormatting sqref="B775:E775">
    <cfRule type="expression" dxfId="18" priority="336" stopIfTrue="1">
      <formula>OR($A775="calculate", $A775="calculate_here")</formula>
    </cfRule>
  </conditionalFormatting>
  <conditionalFormatting sqref="B775:E775">
    <cfRule type="expression" dxfId="19" priority="337" stopIfTrue="1">
      <formula>$A775="note"</formula>
    </cfRule>
  </conditionalFormatting>
  <conditionalFormatting sqref="B775:E775">
    <cfRule type="expression" dxfId="20" priority="338" stopIfTrue="1">
      <formula>$A775="barcode"</formula>
    </cfRule>
  </conditionalFormatting>
  <conditionalFormatting sqref="B775:E775">
    <cfRule type="expression" dxfId="21" priority="339" stopIfTrue="1">
      <formula>OR($A775="geopoint", $A775="geoshape", $A775="geotrace")</formula>
    </cfRule>
  </conditionalFormatting>
  <conditionalFormatting sqref="B775:E775">
    <cfRule type="expression" dxfId="22" priority="340" stopIfTrue="1">
      <formula>OR($A775="audio audit", $A775="text audit", $A775="speed violations count", $A775="speed violations list", $A775="speed violations audit")</formula>
    </cfRule>
  </conditionalFormatting>
  <conditionalFormatting sqref="B775:E775">
    <cfRule type="expression" dxfId="23" priority="341" stopIfTrue="1">
      <formula>OR($A775="username", $A775="phonenumber", $A775="start", $A775="end", $A775="deviceid", $A775="subscriberid", $A775="simserial", $A775="caseid")</formula>
    </cfRule>
  </conditionalFormatting>
  <conditionalFormatting sqref="B775:E775">
    <cfRule type="expression" dxfId="24" priority="342" stopIfTrue="1">
      <formula>OR(AND(LEFT($A775, 16)="select_multiple ", LEN($A775)&gt;16, NOT(ISNUMBER(SEARCH(" ", $A775, 17)))), AND(LEFT($A775, 11)="select_one ", LEN($A775)&gt;11, NOT(ISNUMBER(SEARCH(" ", $A775, 12)))))</formula>
    </cfRule>
  </conditionalFormatting>
  <conditionalFormatting sqref="B775:E775">
    <cfRule type="expression" dxfId="25" priority="343" stopIfTrue="1">
      <formula>$A775="decimal"</formula>
    </cfRule>
  </conditionalFormatting>
  <conditionalFormatting sqref="B775:E775">
    <cfRule type="expression" dxfId="26" priority="344" stopIfTrue="1">
      <formula>$A775="integer"</formula>
    </cfRule>
  </conditionalFormatting>
  <conditionalFormatting sqref="B775:E775">
    <cfRule type="expression" dxfId="27" priority="345" stopIfTrue="1">
      <formula>$A775="text"</formula>
    </cfRule>
  </conditionalFormatting>
  <conditionalFormatting sqref="B775:E775">
    <cfRule type="expression" dxfId="28" priority="346" stopIfTrue="1">
      <formula>$A775="end repeat"</formula>
    </cfRule>
  </conditionalFormatting>
  <conditionalFormatting sqref="B775:E775">
    <cfRule type="expression" dxfId="28" priority="347" stopIfTrue="1">
      <formula>$A775="begin repeat"</formula>
    </cfRule>
  </conditionalFormatting>
  <conditionalFormatting sqref="B775:E775">
    <cfRule type="expression" dxfId="29" priority="348" stopIfTrue="1">
      <formula>$A775="end group"</formula>
    </cfRule>
  </conditionalFormatting>
  <conditionalFormatting sqref="B775:E775">
    <cfRule type="expression" dxfId="29" priority="349" stopIfTrue="1">
      <formula>$A775="begin group"</formula>
    </cfRule>
  </conditionalFormatting>
  <conditionalFormatting sqref="B775">
    <cfRule type="expression" dxfId="30" priority="350" stopIfTrue="1">
      <formula>$A775="comments"</formula>
    </cfRule>
  </conditionalFormatting>
  <conditionalFormatting sqref="B775">
    <cfRule type="expression" dxfId="36" priority="351" stopIfTrue="1">
      <formula>OR(AND(LEFT($A775, 14)="sensor_stream ", LEN($A775)&gt;14, NOT(ISNUMBER(SEARCH(" ", $A775, 15)))), AND(LEFT($A775, 17)="sensor_statistic ", LEN($A775)&gt;17, NOT(ISNUMBER(SEARCH(" ", $A775, 18)))))</formula>
    </cfRule>
  </conditionalFormatting>
  <conditionalFormatting sqref="B761:C773 D761:E773">
    <cfRule type="expression" dxfId="0" priority="352" stopIfTrue="1">
      <formula>$A761="begin group"</formula>
    </cfRule>
  </conditionalFormatting>
  <conditionalFormatting sqref="B761:C773 D761:E773">
    <cfRule type="expression" dxfId="1" priority="353" stopIfTrue="1">
      <formula>$A761="begin repeat"</formula>
    </cfRule>
  </conditionalFormatting>
  <conditionalFormatting sqref="B761:E773">
    <cfRule type="expression" dxfId="31" priority="354" stopIfTrue="1">
      <formula>$A761="enumerator"</formula>
    </cfRule>
  </conditionalFormatting>
  <conditionalFormatting sqref="B761:E773">
    <cfRule type="expression" dxfId="2" priority="355" stopIfTrue="1">
      <formula>$A761="text"</formula>
    </cfRule>
  </conditionalFormatting>
  <conditionalFormatting sqref="B761:E773">
    <cfRule type="expression" dxfId="3" priority="356" stopIfTrue="1">
      <formula>$A761="integer"</formula>
    </cfRule>
  </conditionalFormatting>
  <conditionalFormatting sqref="B761:E773">
    <cfRule type="expression" dxfId="4" priority="357" stopIfTrue="1">
      <formula>$A761="decimal"</formula>
    </cfRule>
  </conditionalFormatting>
  <conditionalFormatting sqref="B761:C773 D761:E773">
    <cfRule type="expression" dxfId="5" priority="358" stopIfTrue="1">
      <formula>OR(AND(LEFT($A761, 16)="select_multiple ", LEN($A761)&gt;16, NOT(ISNUMBER(SEARCH(" ", $A761, 17)))), AND(LEFT($A761, 11)="select_one ", LEN($A761)&gt;11, NOT(ISNUMBER(SEARCH(" ", $A761, 12)))))</formula>
    </cfRule>
  </conditionalFormatting>
  <conditionalFormatting sqref="B761:B773">
    <cfRule type="expression" dxfId="6" priority="359" stopIfTrue="1">
      <formula>OR($A761="audio audit", $A761="text audit", $A761="speed violations count", $A761="speed violations list", $A761="speed violations audit")</formula>
    </cfRule>
  </conditionalFormatting>
  <conditionalFormatting sqref="B761:C773 D761:E773">
    <cfRule type="expression" dxfId="32" priority="360" stopIfTrue="1">
      <formula>$A761="file"</formula>
    </cfRule>
  </conditionalFormatting>
  <conditionalFormatting sqref="B761:C773 D761:E773">
    <cfRule type="expression" dxfId="7" priority="361" stopIfTrue="1">
      <formula>$A761="note"</formula>
    </cfRule>
  </conditionalFormatting>
  <conditionalFormatting sqref="B761:C773 D761:E773">
    <cfRule type="expression" dxfId="8" priority="362" stopIfTrue="1">
      <formula>$A761="barcode"</formula>
    </cfRule>
  </conditionalFormatting>
  <conditionalFormatting sqref="B761:C773 D761:E773">
    <cfRule type="expression" dxfId="9" priority="363" stopIfTrue="1">
      <formula>OR($A761="geopoint", $A761="geoshape", $A761="geotrace")</formula>
    </cfRule>
  </conditionalFormatting>
  <conditionalFormatting sqref="B761:B773">
    <cfRule type="expression" dxfId="10" priority="364" stopIfTrue="1">
      <formula>OR($A761="calculate", $A761="calculate_here")</formula>
    </cfRule>
  </conditionalFormatting>
  <conditionalFormatting sqref="B761:C773 D761:E773">
    <cfRule type="expression" dxfId="11" priority="365" stopIfTrue="1">
      <formula>OR($A761="date", $A761="datetime", $A761="time")</formula>
    </cfRule>
  </conditionalFormatting>
  <conditionalFormatting sqref="B761:C773 D761:E773">
    <cfRule type="expression" dxfId="12" priority="366" stopIfTrue="1">
      <formula>$A761="image"</formula>
    </cfRule>
  </conditionalFormatting>
  <conditionalFormatting sqref="B761:C773 D761:E773">
    <cfRule type="expression" dxfId="13" priority="367" stopIfTrue="1">
      <formula>OR($A761="audio", $A761="video")</formula>
    </cfRule>
  </conditionalFormatting>
  <conditionalFormatting sqref="B761:E773">
    <cfRule type="expression" dxfId="33" priority="368" stopIfTrue="1">
      <formula>$A761="file"</formula>
    </cfRule>
  </conditionalFormatting>
  <conditionalFormatting sqref="B761:E773">
    <cfRule type="expression" dxfId="34" priority="369" stopIfTrue="1">
      <formula>$A761="enumerator"</formula>
    </cfRule>
  </conditionalFormatting>
  <conditionalFormatting sqref="B761:E773">
    <cfRule type="expression" dxfId="35" priority="370" stopIfTrue="1">
      <formula>OR(AND(LEFT($A761, 14)="sensor_stream ", LEN($A761)&gt;14, NOT(ISNUMBER(SEARCH(" ", $A761, 15)))), AND(LEFT($A761, 17)="sensor_statistic ", LEN($A761)&gt;17, NOT(ISNUMBER(SEARCH(" ", $A761, 18)))))</formula>
    </cfRule>
  </conditionalFormatting>
  <conditionalFormatting sqref="B761:E773">
    <cfRule type="expression" dxfId="14" priority="371" stopIfTrue="1">
      <formula>$A761="comments"</formula>
    </cfRule>
  </conditionalFormatting>
  <conditionalFormatting sqref="B761:E773">
    <cfRule type="expression" dxfId="15" priority="372" stopIfTrue="1">
      <formula>OR($A761="audio", $A761="video")</formula>
    </cfRule>
  </conditionalFormatting>
  <conditionalFormatting sqref="B761:E773">
    <cfRule type="expression" dxfId="16" priority="373" stopIfTrue="1">
      <formula>$A761="image"</formula>
    </cfRule>
  </conditionalFormatting>
  <conditionalFormatting sqref="B761:E773">
    <cfRule type="expression" dxfId="17" priority="374" stopIfTrue="1">
      <formula>OR($A761="date", $A761="datetime", $A761="time")</formula>
    </cfRule>
  </conditionalFormatting>
  <conditionalFormatting sqref="B761:E773">
    <cfRule type="expression" dxfId="18" priority="375" stopIfTrue="1">
      <formula>OR($A761="calculate", $A761="calculate_here")</formula>
    </cfRule>
  </conditionalFormatting>
  <conditionalFormatting sqref="B761:E773">
    <cfRule type="expression" dxfId="19" priority="376" stopIfTrue="1">
      <formula>$A761="note"</formula>
    </cfRule>
  </conditionalFormatting>
  <conditionalFormatting sqref="B761:E773">
    <cfRule type="expression" dxfId="20" priority="377" stopIfTrue="1">
      <formula>$A761="barcode"</formula>
    </cfRule>
  </conditionalFormatting>
  <conditionalFormatting sqref="B761:E773">
    <cfRule type="expression" dxfId="21" priority="378" stopIfTrue="1">
      <formula>OR($A761="geopoint", $A761="geoshape", $A761="geotrace")</formula>
    </cfRule>
  </conditionalFormatting>
  <conditionalFormatting sqref="B761:E773">
    <cfRule type="expression" dxfId="22" priority="379" stopIfTrue="1">
      <formula>OR($A761="audio audit", $A761="text audit", $A761="speed violations count", $A761="speed violations list", $A761="speed violations audit")</formula>
    </cfRule>
  </conditionalFormatting>
  <conditionalFormatting sqref="B761:E773">
    <cfRule type="expression" dxfId="23" priority="380" stopIfTrue="1">
      <formula>OR($A761="username", $A761="phonenumber", $A761="start", $A761="end", $A761="deviceid", $A761="subscriberid", $A761="simserial", $A761="caseid")</formula>
    </cfRule>
  </conditionalFormatting>
  <conditionalFormatting sqref="B761:E773">
    <cfRule type="expression" dxfId="24" priority="381" stopIfTrue="1">
      <formula>OR(AND(LEFT($A761, 16)="select_multiple ", LEN($A761)&gt;16, NOT(ISNUMBER(SEARCH(" ", $A761, 17)))), AND(LEFT($A761, 11)="select_one ", LEN($A761)&gt;11, NOT(ISNUMBER(SEARCH(" ", $A761, 12)))))</formula>
    </cfRule>
  </conditionalFormatting>
  <conditionalFormatting sqref="B761:E773">
    <cfRule type="expression" dxfId="25" priority="382" stopIfTrue="1">
      <formula>$A761="decimal"</formula>
    </cfRule>
  </conditionalFormatting>
  <conditionalFormatting sqref="B761:E773">
    <cfRule type="expression" dxfId="26" priority="383" stopIfTrue="1">
      <formula>$A761="integer"</formula>
    </cfRule>
  </conditionalFormatting>
  <conditionalFormatting sqref="B761:E773">
    <cfRule type="expression" dxfId="27" priority="384" stopIfTrue="1">
      <formula>$A761="text"</formula>
    </cfRule>
  </conditionalFormatting>
  <conditionalFormatting sqref="B761:E773">
    <cfRule type="expression" dxfId="28" priority="385" stopIfTrue="1">
      <formula>$A761="end repeat"</formula>
    </cfRule>
  </conditionalFormatting>
  <conditionalFormatting sqref="B761:E773">
    <cfRule type="expression" dxfId="28" priority="386" stopIfTrue="1">
      <formula>$A761="begin repeat"</formula>
    </cfRule>
  </conditionalFormatting>
  <conditionalFormatting sqref="B761:E773">
    <cfRule type="expression" dxfId="29" priority="387" stopIfTrue="1">
      <formula>$A761="end group"</formula>
    </cfRule>
  </conditionalFormatting>
  <conditionalFormatting sqref="B761:E773">
    <cfRule type="expression" dxfId="29" priority="388" stopIfTrue="1">
      <formula>$A761="begin group"</formula>
    </cfRule>
  </conditionalFormatting>
  <conditionalFormatting sqref="B761:B773">
    <cfRule type="expression" dxfId="30" priority="389" stopIfTrue="1">
      <formula>$A761="comments"</formula>
    </cfRule>
  </conditionalFormatting>
  <conditionalFormatting sqref="B761:B773">
    <cfRule type="expression" dxfId="36" priority="390" stopIfTrue="1">
      <formula>OR(AND(LEFT($A761, 14)="sensor_stream ", LEN($A761)&gt;14, NOT(ISNUMBER(SEARCH(" ", $A761, 15)))), AND(LEFT($A761, 17)="sensor_statistic ", LEN($A761)&gt;17, NOT(ISNUMBER(SEARCH(" ", $A761, 18)))))</formula>
    </cfRule>
  </conditionalFormatting>
  <conditionalFormatting sqref="B742:C746 D742:E746">
    <cfRule type="expression" dxfId="0" priority="391" stopIfTrue="1">
      <formula>$A742="begin group"</formula>
    </cfRule>
  </conditionalFormatting>
  <conditionalFormatting sqref="B742:C746 D742:E746">
    <cfRule type="expression" dxfId="1" priority="392" stopIfTrue="1">
      <formula>$A742="begin repeat"</formula>
    </cfRule>
  </conditionalFormatting>
  <conditionalFormatting sqref="B742:E746">
    <cfRule type="expression" dxfId="31" priority="393" stopIfTrue="1">
      <formula>$A742="enumerator"</formula>
    </cfRule>
  </conditionalFormatting>
  <conditionalFormatting sqref="B742:E746">
    <cfRule type="expression" dxfId="2" priority="394" stopIfTrue="1">
      <formula>$A742="text"</formula>
    </cfRule>
  </conditionalFormatting>
  <conditionalFormatting sqref="B742:E746">
    <cfRule type="expression" dxfId="3" priority="395" stopIfTrue="1">
      <formula>$A742="integer"</formula>
    </cfRule>
  </conditionalFormatting>
  <conditionalFormatting sqref="B742:E746">
    <cfRule type="expression" dxfId="4" priority="396" stopIfTrue="1">
      <formula>$A742="decimal"</formula>
    </cfRule>
  </conditionalFormatting>
  <conditionalFormatting sqref="B742:C746 D742:E746">
    <cfRule type="expression" dxfId="5" priority="397" stopIfTrue="1">
      <formula>OR(AND(LEFT($A742, 16)="select_multiple ", LEN($A742)&gt;16, NOT(ISNUMBER(SEARCH(" ", $A742, 17)))), AND(LEFT($A742, 11)="select_one ", LEN($A742)&gt;11, NOT(ISNUMBER(SEARCH(" ", $A742, 12)))))</formula>
    </cfRule>
  </conditionalFormatting>
  <conditionalFormatting sqref="B742:B746 C743">
    <cfRule type="expression" dxfId="6" priority="398" stopIfTrue="1">
      <formula>OR($A742="audio audit", $A742="text audit", $A742="speed violations count", $A742="speed violations list", $A742="speed violations audit")</formula>
    </cfRule>
  </conditionalFormatting>
  <conditionalFormatting sqref="B742:C746 D742:E746">
    <cfRule type="expression" dxfId="32" priority="399" stopIfTrue="1">
      <formula>$A742="file"</formula>
    </cfRule>
  </conditionalFormatting>
  <conditionalFormatting sqref="B742:C746 D742:E746">
    <cfRule type="expression" dxfId="7" priority="400" stopIfTrue="1">
      <formula>$A742="note"</formula>
    </cfRule>
  </conditionalFormatting>
  <conditionalFormatting sqref="B742:C746 D742:E746">
    <cfRule type="expression" dxfId="8" priority="401" stopIfTrue="1">
      <formula>$A742="barcode"</formula>
    </cfRule>
  </conditionalFormatting>
  <conditionalFormatting sqref="B742:C746 D742:E746">
    <cfRule type="expression" dxfId="9" priority="402" stopIfTrue="1">
      <formula>OR($A742="geopoint", $A742="geoshape", $A742="geotrace")</formula>
    </cfRule>
  </conditionalFormatting>
  <conditionalFormatting sqref="B742:B746 C743">
    <cfRule type="expression" dxfId="10" priority="403" stopIfTrue="1">
      <formula>OR($A742="calculate", $A742="calculate_here")</formula>
    </cfRule>
  </conditionalFormatting>
  <conditionalFormatting sqref="B742:C746 D742:E746">
    <cfRule type="expression" dxfId="11" priority="404" stopIfTrue="1">
      <formula>OR($A742="date", $A742="datetime", $A742="time")</formula>
    </cfRule>
  </conditionalFormatting>
  <conditionalFormatting sqref="B742:C746 D742:E746">
    <cfRule type="expression" dxfId="12" priority="405" stopIfTrue="1">
      <formula>$A742="image"</formula>
    </cfRule>
  </conditionalFormatting>
  <conditionalFormatting sqref="B742:C746 D742:E746">
    <cfRule type="expression" dxfId="13" priority="406" stopIfTrue="1">
      <formula>OR($A742="audio", $A742="video")</formula>
    </cfRule>
  </conditionalFormatting>
  <conditionalFormatting sqref="B742:E746">
    <cfRule type="expression" dxfId="33" priority="407" stopIfTrue="1">
      <formula>$A742="file"</formula>
    </cfRule>
  </conditionalFormatting>
  <conditionalFormatting sqref="B742:E746">
    <cfRule type="expression" dxfId="34" priority="408" stopIfTrue="1">
      <formula>$A742="enumerator"</formula>
    </cfRule>
  </conditionalFormatting>
  <conditionalFormatting sqref="B742:E746">
    <cfRule type="expression" dxfId="35" priority="409" stopIfTrue="1">
      <formula>OR(AND(LEFT($A742, 14)="sensor_stream ", LEN($A742)&gt;14, NOT(ISNUMBER(SEARCH(" ", $A742, 15)))), AND(LEFT($A742, 17)="sensor_statistic ", LEN($A742)&gt;17, NOT(ISNUMBER(SEARCH(" ", $A742, 18)))))</formula>
    </cfRule>
  </conditionalFormatting>
  <conditionalFormatting sqref="B742:E746">
    <cfRule type="expression" dxfId="14" priority="410" stopIfTrue="1">
      <formula>$A742="comments"</formula>
    </cfRule>
  </conditionalFormatting>
  <conditionalFormatting sqref="B742:E746">
    <cfRule type="expression" dxfId="15" priority="411" stopIfTrue="1">
      <formula>OR($A742="audio", $A742="video")</formula>
    </cfRule>
  </conditionalFormatting>
  <conditionalFormatting sqref="B742:E746">
    <cfRule type="expression" dxfId="16" priority="412" stopIfTrue="1">
      <formula>$A742="image"</formula>
    </cfRule>
  </conditionalFormatting>
  <conditionalFormatting sqref="B742:E746">
    <cfRule type="expression" dxfId="17" priority="413" stopIfTrue="1">
      <formula>OR($A742="date", $A742="datetime", $A742="time")</formula>
    </cfRule>
  </conditionalFormatting>
  <conditionalFormatting sqref="B742:E746">
    <cfRule type="expression" dxfId="18" priority="414" stopIfTrue="1">
      <formula>OR($A742="calculate", $A742="calculate_here")</formula>
    </cfRule>
  </conditionalFormatting>
  <conditionalFormatting sqref="B742:E746">
    <cfRule type="expression" dxfId="19" priority="415" stopIfTrue="1">
      <formula>$A742="note"</formula>
    </cfRule>
  </conditionalFormatting>
  <conditionalFormatting sqref="B742:E746">
    <cfRule type="expression" dxfId="20" priority="416" stopIfTrue="1">
      <formula>$A742="barcode"</formula>
    </cfRule>
  </conditionalFormatting>
  <conditionalFormatting sqref="B742:E746">
    <cfRule type="expression" dxfId="21" priority="417" stopIfTrue="1">
      <formula>OR($A742="geopoint", $A742="geoshape", $A742="geotrace")</formula>
    </cfRule>
  </conditionalFormatting>
  <conditionalFormatting sqref="B742:E746">
    <cfRule type="expression" dxfId="22" priority="418" stopIfTrue="1">
      <formula>OR($A742="audio audit", $A742="text audit", $A742="speed violations count", $A742="speed violations list", $A742="speed violations audit")</formula>
    </cfRule>
  </conditionalFormatting>
  <conditionalFormatting sqref="B742:E746">
    <cfRule type="expression" dxfId="23" priority="419" stopIfTrue="1">
      <formula>OR($A742="username", $A742="phonenumber", $A742="start", $A742="end", $A742="deviceid", $A742="subscriberid", $A742="simserial", $A742="caseid")</formula>
    </cfRule>
  </conditionalFormatting>
  <conditionalFormatting sqref="B742:E746">
    <cfRule type="expression" dxfId="24" priority="420" stopIfTrue="1">
      <formula>OR(AND(LEFT($A742, 16)="select_multiple ", LEN($A742)&gt;16, NOT(ISNUMBER(SEARCH(" ", $A742, 17)))), AND(LEFT($A742, 11)="select_one ", LEN($A742)&gt;11, NOT(ISNUMBER(SEARCH(" ", $A742, 12)))))</formula>
    </cfRule>
  </conditionalFormatting>
  <conditionalFormatting sqref="B742:E746">
    <cfRule type="expression" dxfId="25" priority="421" stopIfTrue="1">
      <formula>$A742="decimal"</formula>
    </cfRule>
  </conditionalFormatting>
  <conditionalFormatting sqref="B742:E746">
    <cfRule type="expression" dxfId="26" priority="422" stopIfTrue="1">
      <formula>$A742="integer"</formula>
    </cfRule>
  </conditionalFormatting>
  <conditionalFormatting sqref="B742:E746">
    <cfRule type="expression" dxfId="27" priority="423" stopIfTrue="1">
      <formula>$A742="text"</formula>
    </cfRule>
  </conditionalFormatting>
  <conditionalFormatting sqref="B742:E746">
    <cfRule type="expression" dxfId="28" priority="424" stopIfTrue="1">
      <formula>$A742="end repeat"</formula>
    </cfRule>
  </conditionalFormatting>
  <conditionalFormatting sqref="B742:E746">
    <cfRule type="expression" dxfId="28" priority="425" stopIfTrue="1">
      <formula>$A742="begin repeat"</formula>
    </cfRule>
  </conditionalFormatting>
  <conditionalFormatting sqref="B742:E746">
    <cfRule type="expression" dxfId="29" priority="426" stopIfTrue="1">
      <formula>$A742="end group"</formula>
    </cfRule>
  </conditionalFormatting>
  <conditionalFormatting sqref="B742:E746">
    <cfRule type="expression" dxfId="29" priority="427" stopIfTrue="1">
      <formula>$A742="begin group"</formula>
    </cfRule>
  </conditionalFormatting>
  <conditionalFormatting sqref="B742:B746 C743">
    <cfRule type="expression" dxfId="30" priority="428" stopIfTrue="1">
      <formula>$A742="comments"</formula>
    </cfRule>
  </conditionalFormatting>
  <conditionalFormatting sqref="B742:B746 C743">
    <cfRule type="expression" dxfId="36" priority="429" stopIfTrue="1">
      <formula>OR(AND(LEFT($A742, 14)="sensor_stream ", LEN($A742)&gt;14, NOT(ISNUMBER(SEARCH(" ", $A742, 15)))), AND(LEFT($A742, 17)="sensor_statistic ", LEN($A742)&gt;17, NOT(ISNUMBER(SEARCH(" ", $A742, 18)))))</formula>
    </cfRule>
  </conditionalFormatting>
  <conditionalFormatting sqref="B739:C739 D739:E739">
    <cfRule type="expression" dxfId="0" priority="430" stopIfTrue="1">
      <formula>$A739="begin group"</formula>
    </cfRule>
  </conditionalFormatting>
  <conditionalFormatting sqref="B739:C739 D739:E739">
    <cfRule type="expression" dxfId="1" priority="431" stopIfTrue="1">
      <formula>$A739="begin repeat"</formula>
    </cfRule>
  </conditionalFormatting>
  <conditionalFormatting sqref="B739:E739">
    <cfRule type="expression" dxfId="31" priority="432" stopIfTrue="1">
      <formula>$A739="enumerator"</formula>
    </cfRule>
  </conditionalFormatting>
  <conditionalFormatting sqref="B739:E739">
    <cfRule type="expression" dxfId="2" priority="433" stopIfTrue="1">
      <formula>$A739="text"</formula>
    </cfRule>
  </conditionalFormatting>
  <conditionalFormatting sqref="B739:E739">
    <cfRule type="expression" dxfId="3" priority="434" stopIfTrue="1">
      <formula>$A739="integer"</formula>
    </cfRule>
  </conditionalFormatting>
  <conditionalFormatting sqref="B739:E739">
    <cfRule type="expression" dxfId="4" priority="435" stopIfTrue="1">
      <formula>$A739="decimal"</formula>
    </cfRule>
  </conditionalFormatting>
  <conditionalFormatting sqref="B739:C739 D739:E739">
    <cfRule type="expression" dxfId="5" priority="436" stopIfTrue="1">
      <formula>OR(AND(LEFT($A739, 16)="select_multiple ", LEN($A739)&gt;16, NOT(ISNUMBER(SEARCH(" ", $A739, 17)))), AND(LEFT($A739, 11)="select_one ", LEN($A739)&gt;11, NOT(ISNUMBER(SEARCH(" ", $A739, 12)))))</formula>
    </cfRule>
  </conditionalFormatting>
  <conditionalFormatting sqref="B739">
    <cfRule type="expression" dxfId="6" priority="437" stopIfTrue="1">
      <formula>OR($A739="audio audit", $A739="text audit", $A739="speed violations count", $A739="speed violations list", $A739="speed violations audit")</formula>
    </cfRule>
  </conditionalFormatting>
  <conditionalFormatting sqref="B739:C739 D739:E739">
    <cfRule type="expression" dxfId="32" priority="438" stopIfTrue="1">
      <formula>$A739="file"</formula>
    </cfRule>
  </conditionalFormatting>
  <conditionalFormatting sqref="B739:C739 D739:E739">
    <cfRule type="expression" dxfId="7" priority="439" stopIfTrue="1">
      <formula>$A739="note"</formula>
    </cfRule>
  </conditionalFormatting>
  <conditionalFormatting sqref="B739:C739 D739:E739">
    <cfRule type="expression" dxfId="8" priority="440" stopIfTrue="1">
      <formula>$A739="barcode"</formula>
    </cfRule>
  </conditionalFormatting>
  <conditionalFormatting sqref="B739:C739 D739:E739">
    <cfRule type="expression" dxfId="9" priority="441" stopIfTrue="1">
      <formula>OR($A739="geopoint", $A739="geoshape", $A739="geotrace")</formula>
    </cfRule>
  </conditionalFormatting>
  <conditionalFormatting sqref="B739">
    <cfRule type="expression" dxfId="10" priority="442" stopIfTrue="1">
      <formula>OR($A739="calculate", $A739="calculate_here")</formula>
    </cfRule>
  </conditionalFormatting>
  <conditionalFormatting sqref="B739:C739 D739:E739">
    <cfRule type="expression" dxfId="11" priority="443" stopIfTrue="1">
      <formula>OR($A739="date", $A739="datetime", $A739="time")</formula>
    </cfRule>
  </conditionalFormatting>
  <conditionalFormatting sqref="B739:C739 D739:E739">
    <cfRule type="expression" dxfId="12" priority="444" stopIfTrue="1">
      <formula>$A739="image"</formula>
    </cfRule>
  </conditionalFormatting>
  <conditionalFormatting sqref="B739:C739 D739:E739">
    <cfRule type="expression" dxfId="13" priority="445" stopIfTrue="1">
      <formula>OR($A739="audio", $A739="video")</formula>
    </cfRule>
  </conditionalFormatting>
  <conditionalFormatting sqref="B739:E739">
    <cfRule type="expression" dxfId="33" priority="446" stopIfTrue="1">
      <formula>$A739="file"</formula>
    </cfRule>
  </conditionalFormatting>
  <conditionalFormatting sqref="B739:E739">
    <cfRule type="expression" dxfId="34" priority="447" stopIfTrue="1">
      <formula>$A739="enumerator"</formula>
    </cfRule>
  </conditionalFormatting>
  <conditionalFormatting sqref="B739:E739">
    <cfRule type="expression" dxfId="35" priority="448" stopIfTrue="1">
      <formula>OR(AND(LEFT($A739, 14)="sensor_stream ", LEN($A739)&gt;14, NOT(ISNUMBER(SEARCH(" ", $A739, 15)))), AND(LEFT($A739, 17)="sensor_statistic ", LEN($A739)&gt;17, NOT(ISNUMBER(SEARCH(" ", $A739, 18)))))</formula>
    </cfRule>
  </conditionalFormatting>
  <conditionalFormatting sqref="B739:E739">
    <cfRule type="expression" dxfId="14" priority="449" stopIfTrue="1">
      <formula>$A739="comments"</formula>
    </cfRule>
  </conditionalFormatting>
  <conditionalFormatting sqref="B739:E739">
    <cfRule type="expression" dxfId="15" priority="450" stopIfTrue="1">
      <formula>OR($A739="audio", $A739="video")</formula>
    </cfRule>
  </conditionalFormatting>
  <conditionalFormatting sqref="B739:E739">
    <cfRule type="expression" dxfId="16" priority="451" stopIfTrue="1">
      <formula>$A739="image"</formula>
    </cfRule>
  </conditionalFormatting>
  <conditionalFormatting sqref="B739:E739">
    <cfRule type="expression" dxfId="17" priority="452" stopIfTrue="1">
      <formula>OR($A739="date", $A739="datetime", $A739="time")</formula>
    </cfRule>
  </conditionalFormatting>
  <conditionalFormatting sqref="B739:E739">
    <cfRule type="expression" dxfId="18" priority="453" stopIfTrue="1">
      <formula>OR($A739="calculate", $A739="calculate_here")</formula>
    </cfRule>
  </conditionalFormatting>
  <conditionalFormatting sqref="B739:E739">
    <cfRule type="expression" dxfId="19" priority="454" stopIfTrue="1">
      <formula>$A739="note"</formula>
    </cfRule>
  </conditionalFormatting>
  <conditionalFormatting sqref="B739:E739">
    <cfRule type="expression" dxfId="20" priority="455" stopIfTrue="1">
      <formula>$A739="barcode"</formula>
    </cfRule>
  </conditionalFormatting>
  <conditionalFormatting sqref="B739:E739">
    <cfRule type="expression" dxfId="21" priority="456" stopIfTrue="1">
      <formula>OR($A739="geopoint", $A739="geoshape", $A739="geotrace")</formula>
    </cfRule>
  </conditionalFormatting>
  <conditionalFormatting sqref="B739:E739">
    <cfRule type="expression" dxfId="22" priority="457" stopIfTrue="1">
      <formula>OR($A739="audio audit", $A739="text audit", $A739="speed violations count", $A739="speed violations list", $A739="speed violations audit")</formula>
    </cfRule>
  </conditionalFormatting>
  <conditionalFormatting sqref="B739:E739">
    <cfRule type="expression" dxfId="23" priority="458" stopIfTrue="1">
      <formula>OR($A739="username", $A739="phonenumber", $A739="start", $A739="end", $A739="deviceid", $A739="subscriberid", $A739="simserial", $A739="caseid")</formula>
    </cfRule>
  </conditionalFormatting>
  <conditionalFormatting sqref="B739:E739">
    <cfRule type="expression" dxfId="24" priority="459" stopIfTrue="1">
      <formula>OR(AND(LEFT($A739, 16)="select_multiple ", LEN($A739)&gt;16, NOT(ISNUMBER(SEARCH(" ", $A739, 17)))), AND(LEFT($A739, 11)="select_one ", LEN($A739)&gt;11, NOT(ISNUMBER(SEARCH(" ", $A739, 12)))))</formula>
    </cfRule>
  </conditionalFormatting>
  <conditionalFormatting sqref="B739:E739">
    <cfRule type="expression" dxfId="25" priority="460" stopIfTrue="1">
      <formula>$A739="decimal"</formula>
    </cfRule>
  </conditionalFormatting>
  <conditionalFormatting sqref="B739:E739">
    <cfRule type="expression" dxfId="26" priority="461" stopIfTrue="1">
      <formula>$A739="integer"</formula>
    </cfRule>
  </conditionalFormatting>
  <conditionalFormatting sqref="B739:E739">
    <cfRule type="expression" dxfId="27" priority="462" stopIfTrue="1">
      <formula>$A739="text"</formula>
    </cfRule>
  </conditionalFormatting>
  <conditionalFormatting sqref="B739:E739">
    <cfRule type="expression" dxfId="28" priority="463" stopIfTrue="1">
      <formula>$A739="end repeat"</formula>
    </cfRule>
  </conditionalFormatting>
  <conditionalFormatting sqref="B739:E739">
    <cfRule type="expression" dxfId="28" priority="464" stopIfTrue="1">
      <formula>$A739="begin repeat"</formula>
    </cfRule>
  </conditionalFormatting>
  <conditionalFormatting sqref="B739:E739">
    <cfRule type="expression" dxfId="29" priority="465" stopIfTrue="1">
      <formula>$A739="end group"</formula>
    </cfRule>
  </conditionalFormatting>
  <conditionalFormatting sqref="B739:E739">
    <cfRule type="expression" dxfId="29" priority="466" stopIfTrue="1">
      <formula>$A739="begin group"</formula>
    </cfRule>
  </conditionalFormatting>
  <conditionalFormatting sqref="B739">
    <cfRule type="expression" dxfId="30" priority="467" stopIfTrue="1">
      <formula>$A739="comments"</formula>
    </cfRule>
  </conditionalFormatting>
  <conditionalFormatting sqref="B739">
    <cfRule type="expression" dxfId="36" priority="468" stopIfTrue="1">
      <formula>OR(AND(LEFT($A739, 14)="sensor_stream ", LEN($A739)&gt;14, NOT(ISNUMBER(SEARCH(" ", $A739, 15)))), AND(LEFT($A739, 17)="sensor_statistic ", LEN($A739)&gt;17, NOT(ISNUMBER(SEARCH(" ", $A739, 18)))))</formula>
    </cfRule>
  </conditionalFormatting>
  <conditionalFormatting sqref="B736:C736 D736:E736">
    <cfRule type="expression" dxfId="0" priority="469" stopIfTrue="1">
      <formula>$A736="begin group"</formula>
    </cfRule>
  </conditionalFormatting>
  <conditionalFormatting sqref="B736:C736 D736:E736">
    <cfRule type="expression" dxfId="1" priority="470" stopIfTrue="1">
      <formula>$A736="begin repeat"</formula>
    </cfRule>
  </conditionalFormatting>
  <conditionalFormatting sqref="B736:E736">
    <cfRule type="expression" dxfId="31" priority="471" stopIfTrue="1">
      <formula>$A736="enumerator"</formula>
    </cfRule>
  </conditionalFormatting>
  <conditionalFormatting sqref="B736:E736">
    <cfRule type="expression" dxfId="2" priority="472" stopIfTrue="1">
      <formula>$A736="text"</formula>
    </cfRule>
  </conditionalFormatting>
  <conditionalFormatting sqref="B736:E736">
    <cfRule type="expression" dxfId="3" priority="473" stopIfTrue="1">
      <formula>$A736="integer"</formula>
    </cfRule>
  </conditionalFormatting>
  <conditionalFormatting sqref="B736:E736">
    <cfRule type="expression" dxfId="4" priority="474" stopIfTrue="1">
      <formula>$A736="decimal"</formula>
    </cfRule>
  </conditionalFormatting>
  <conditionalFormatting sqref="B736:C736 D736:E736">
    <cfRule type="expression" dxfId="5" priority="475" stopIfTrue="1">
      <formula>OR(AND(LEFT($A736, 16)="select_multiple ", LEN($A736)&gt;16, NOT(ISNUMBER(SEARCH(" ", $A736, 17)))), AND(LEFT($A736, 11)="select_one ", LEN($A736)&gt;11, NOT(ISNUMBER(SEARCH(" ", $A736, 12)))))</formula>
    </cfRule>
  </conditionalFormatting>
  <conditionalFormatting sqref="B736">
    <cfRule type="expression" dxfId="6" priority="476" stopIfTrue="1">
      <formula>OR($A736="audio audit", $A736="text audit", $A736="speed violations count", $A736="speed violations list", $A736="speed violations audit")</formula>
    </cfRule>
  </conditionalFormatting>
  <conditionalFormatting sqref="B736:C736 D736:E736">
    <cfRule type="expression" dxfId="32" priority="477" stopIfTrue="1">
      <formula>$A736="file"</formula>
    </cfRule>
  </conditionalFormatting>
  <conditionalFormatting sqref="B736:C736 D736:E736">
    <cfRule type="expression" dxfId="7" priority="478" stopIfTrue="1">
      <formula>$A736="note"</formula>
    </cfRule>
  </conditionalFormatting>
  <conditionalFormatting sqref="B736:C736 D736:E736">
    <cfRule type="expression" dxfId="8" priority="479" stopIfTrue="1">
      <formula>$A736="barcode"</formula>
    </cfRule>
  </conditionalFormatting>
  <conditionalFormatting sqref="B736:C736 D736:E736">
    <cfRule type="expression" dxfId="9" priority="480" stopIfTrue="1">
      <formula>OR($A736="geopoint", $A736="geoshape", $A736="geotrace")</formula>
    </cfRule>
  </conditionalFormatting>
  <conditionalFormatting sqref="B736">
    <cfRule type="expression" dxfId="10" priority="481" stopIfTrue="1">
      <formula>OR($A736="calculate", $A736="calculate_here")</formula>
    </cfRule>
  </conditionalFormatting>
  <conditionalFormatting sqref="B736:C736 D736:E736">
    <cfRule type="expression" dxfId="11" priority="482" stopIfTrue="1">
      <formula>OR($A736="date", $A736="datetime", $A736="time")</formula>
    </cfRule>
  </conditionalFormatting>
  <conditionalFormatting sqref="B736:C736 D736:E736">
    <cfRule type="expression" dxfId="12" priority="483" stopIfTrue="1">
      <formula>$A736="image"</formula>
    </cfRule>
  </conditionalFormatting>
  <conditionalFormatting sqref="B736:C736 D736:E736">
    <cfRule type="expression" dxfId="13" priority="484" stopIfTrue="1">
      <formula>OR($A736="audio", $A736="video")</formula>
    </cfRule>
  </conditionalFormatting>
  <conditionalFormatting sqref="B736:E736">
    <cfRule type="expression" dxfId="33" priority="485" stopIfTrue="1">
      <formula>$A736="file"</formula>
    </cfRule>
  </conditionalFormatting>
  <conditionalFormatting sqref="B736:E736">
    <cfRule type="expression" dxfId="34" priority="486" stopIfTrue="1">
      <formula>$A736="enumerator"</formula>
    </cfRule>
  </conditionalFormatting>
  <conditionalFormatting sqref="B736:E736">
    <cfRule type="expression" dxfId="35" priority="487" stopIfTrue="1">
      <formula>OR(AND(LEFT($A736, 14)="sensor_stream ", LEN($A736)&gt;14, NOT(ISNUMBER(SEARCH(" ", $A736, 15)))), AND(LEFT($A736, 17)="sensor_statistic ", LEN($A736)&gt;17, NOT(ISNUMBER(SEARCH(" ", $A736, 18)))))</formula>
    </cfRule>
  </conditionalFormatting>
  <conditionalFormatting sqref="B736:E736">
    <cfRule type="expression" dxfId="14" priority="488" stopIfTrue="1">
      <formula>$A736="comments"</formula>
    </cfRule>
  </conditionalFormatting>
  <conditionalFormatting sqref="B736:E736">
    <cfRule type="expression" dxfId="15" priority="489" stopIfTrue="1">
      <formula>OR($A736="audio", $A736="video")</formula>
    </cfRule>
  </conditionalFormatting>
  <conditionalFormatting sqref="B736:E736">
    <cfRule type="expression" dxfId="16" priority="490" stopIfTrue="1">
      <formula>$A736="image"</formula>
    </cfRule>
  </conditionalFormatting>
  <conditionalFormatting sqref="B736:E736">
    <cfRule type="expression" dxfId="17" priority="491" stopIfTrue="1">
      <formula>OR($A736="date", $A736="datetime", $A736="time")</formula>
    </cfRule>
  </conditionalFormatting>
  <conditionalFormatting sqref="B736:E736">
    <cfRule type="expression" dxfId="18" priority="492" stopIfTrue="1">
      <formula>OR($A736="calculate", $A736="calculate_here")</formula>
    </cfRule>
  </conditionalFormatting>
  <conditionalFormatting sqref="B736:E736">
    <cfRule type="expression" dxfId="19" priority="493" stopIfTrue="1">
      <formula>$A736="note"</formula>
    </cfRule>
  </conditionalFormatting>
  <conditionalFormatting sqref="B736:E736">
    <cfRule type="expression" dxfId="20" priority="494" stopIfTrue="1">
      <formula>$A736="barcode"</formula>
    </cfRule>
  </conditionalFormatting>
  <conditionalFormatting sqref="B736:E736">
    <cfRule type="expression" dxfId="21" priority="495" stopIfTrue="1">
      <formula>OR($A736="geopoint", $A736="geoshape", $A736="geotrace")</formula>
    </cfRule>
  </conditionalFormatting>
  <conditionalFormatting sqref="B736:E736">
    <cfRule type="expression" dxfId="22" priority="496" stopIfTrue="1">
      <formula>OR($A736="audio audit", $A736="text audit", $A736="speed violations count", $A736="speed violations list", $A736="speed violations audit")</formula>
    </cfRule>
  </conditionalFormatting>
  <conditionalFormatting sqref="B736:E736">
    <cfRule type="expression" dxfId="23" priority="497" stopIfTrue="1">
      <formula>OR($A736="username", $A736="phonenumber", $A736="start", $A736="end", $A736="deviceid", $A736="subscriberid", $A736="simserial", $A736="caseid")</formula>
    </cfRule>
  </conditionalFormatting>
  <conditionalFormatting sqref="B736:E736">
    <cfRule type="expression" dxfId="24" priority="498" stopIfTrue="1">
      <formula>OR(AND(LEFT($A736, 16)="select_multiple ", LEN($A736)&gt;16, NOT(ISNUMBER(SEARCH(" ", $A736, 17)))), AND(LEFT($A736, 11)="select_one ", LEN($A736)&gt;11, NOT(ISNUMBER(SEARCH(" ", $A736, 12)))))</formula>
    </cfRule>
  </conditionalFormatting>
  <conditionalFormatting sqref="B736:E736">
    <cfRule type="expression" dxfId="25" priority="499" stopIfTrue="1">
      <formula>$A736="decimal"</formula>
    </cfRule>
  </conditionalFormatting>
  <conditionalFormatting sqref="B736:E736">
    <cfRule type="expression" dxfId="26" priority="500" stopIfTrue="1">
      <formula>$A736="integer"</formula>
    </cfRule>
  </conditionalFormatting>
  <conditionalFormatting sqref="B736:E736">
    <cfRule type="expression" dxfId="27" priority="501" stopIfTrue="1">
      <formula>$A736="text"</formula>
    </cfRule>
  </conditionalFormatting>
  <conditionalFormatting sqref="B736:E736">
    <cfRule type="expression" dxfId="28" priority="502" stopIfTrue="1">
      <formula>$A736="end repeat"</formula>
    </cfRule>
  </conditionalFormatting>
  <conditionalFormatting sqref="B736:E736">
    <cfRule type="expression" dxfId="28" priority="503" stopIfTrue="1">
      <formula>$A736="begin repeat"</formula>
    </cfRule>
  </conditionalFormatting>
  <conditionalFormatting sqref="B736:E736">
    <cfRule type="expression" dxfId="29" priority="504" stopIfTrue="1">
      <formula>$A736="end group"</formula>
    </cfRule>
  </conditionalFormatting>
  <conditionalFormatting sqref="B736:E736">
    <cfRule type="expression" dxfId="29" priority="505" stopIfTrue="1">
      <formula>$A736="begin group"</formula>
    </cfRule>
  </conditionalFormatting>
  <conditionalFormatting sqref="B736">
    <cfRule type="expression" dxfId="30" priority="506" stopIfTrue="1">
      <formula>$A736="comments"</formula>
    </cfRule>
  </conditionalFormatting>
  <conditionalFormatting sqref="B736">
    <cfRule type="expression" dxfId="36" priority="507" stopIfTrue="1">
      <formula>OR(AND(LEFT($A736, 14)="sensor_stream ", LEN($A736)&gt;14, NOT(ISNUMBER(SEARCH(" ", $A736, 15)))), AND(LEFT($A736, 17)="sensor_statistic ", LEN($A736)&gt;17, NOT(ISNUMBER(SEARCH(" ", $A736, 18)))))</formula>
    </cfRule>
  </conditionalFormatting>
  <conditionalFormatting sqref="B734:C734 D734:E734">
    <cfRule type="expression" dxfId="0" priority="508" stopIfTrue="1">
      <formula>$A734="begin group"</formula>
    </cfRule>
  </conditionalFormatting>
  <conditionalFormatting sqref="B734:C734 D734:E734">
    <cfRule type="expression" dxfId="1" priority="509" stopIfTrue="1">
      <formula>$A734="begin repeat"</formula>
    </cfRule>
  </conditionalFormatting>
  <conditionalFormatting sqref="B734:E734">
    <cfRule type="expression" dxfId="31" priority="510" stopIfTrue="1">
      <formula>$A734="enumerator"</formula>
    </cfRule>
  </conditionalFormatting>
  <conditionalFormatting sqref="B734:E734">
    <cfRule type="expression" dxfId="2" priority="511" stopIfTrue="1">
      <formula>$A734="text"</formula>
    </cfRule>
  </conditionalFormatting>
  <conditionalFormatting sqref="B734:E734">
    <cfRule type="expression" dxfId="3" priority="512" stopIfTrue="1">
      <formula>$A734="integer"</formula>
    </cfRule>
  </conditionalFormatting>
  <conditionalFormatting sqref="B734:E734">
    <cfRule type="expression" dxfId="4" priority="513" stopIfTrue="1">
      <formula>$A734="decimal"</formula>
    </cfRule>
  </conditionalFormatting>
  <conditionalFormatting sqref="B734:C734 D734:E734">
    <cfRule type="expression" dxfId="5" priority="514" stopIfTrue="1">
      <formula>OR(AND(LEFT($A734, 16)="select_multiple ", LEN($A734)&gt;16, NOT(ISNUMBER(SEARCH(" ", $A734, 17)))), AND(LEFT($A734, 11)="select_one ", LEN($A734)&gt;11, NOT(ISNUMBER(SEARCH(" ", $A734, 12)))))</formula>
    </cfRule>
  </conditionalFormatting>
  <conditionalFormatting sqref="B734">
    <cfRule type="expression" dxfId="6" priority="515" stopIfTrue="1">
      <formula>OR($A734="audio audit", $A734="text audit", $A734="speed violations count", $A734="speed violations list", $A734="speed violations audit")</formula>
    </cfRule>
  </conditionalFormatting>
  <conditionalFormatting sqref="B734:C734 D734:E734">
    <cfRule type="expression" dxfId="32" priority="516" stopIfTrue="1">
      <formula>$A734="file"</formula>
    </cfRule>
  </conditionalFormatting>
  <conditionalFormatting sqref="B734:C734 D734:E734">
    <cfRule type="expression" dxfId="7" priority="517" stopIfTrue="1">
      <formula>$A734="note"</formula>
    </cfRule>
  </conditionalFormatting>
  <conditionalFormatting sqref="B734:C734 D734:E734">
    <cfRule type="expression" dxfId="8" priority="518" stopIfTrue="1">
      <formula>$A734="barcode"</formula>
    </cfRule>
  </conditionalFormatting>
  <conditionalFormatting sqref="B734:C734 D734:E734">
    <cfRule type="expression" dxfId="9" priority="519" stopIfTrue="1">
      <formula>OR($A734="geopoint", $A734="geoshape", $A734="geotrace")</formula>
    </cfRule>
  </conditionalFormatting>
  <conditionalFormatting sqref="B734">
    <cfRule type="expression" dxfId="10" priority="520" stopIfTrue="1">
      <formula>OR($A734="calculate", $A734="calculate_here")</formula>
    </cfRule>
  </conditionalFormatting>
  <conditionalFormatting sqref="B734:C734 D734:E734">
    <cfRule type="expression" dxfId="11" priority="521" stopIfTrue="1">
      <formula>OR($A734="date", $A734="datetime", $A734="time")</formula>
    </cfRule>
  </conditionalFormatting>
  <conditionalFormatting sqref="B734:C734 D734:E734">
    <cfRule type="expression" dxfId="12" priority="522" stopIfTrue="1">
      <formula>$A734="image"</formula>
    </cfRule>
  </conditionalFormatting>
  <conditionalFormatting sqref="B734:C734 D734:E734">
    <cfRule type="expression" dxfId="13" priority="523" stopIfTrue="1">
      <formula>OR($A734="audio", $A734="video")</formula>
    </cfRule>
  </conditionalFormatting>
  <conditionalFormatting sqref="B734:E734">
    <cfRule type="expression" dxfId="33" priority="524" stopIfTrue="1">
      <formula>$A734="file"</formula>
    </cfRule>
  </conditionalFormatting>
  <conditionalFormatting sqref="B734:E734">
    <cfRule type="expression" dxfId="34" priority="525" stopIfTrue="1">
      <formula>$A734="enumerator"</formula>
    </cfRule>
  </conditionalFormatting>
  <conditionalFormatting sqref="B734:E734">
    <cfRule type="expression" dxfId="35" priority="526" stopIfTrue="1">
      <formula>OR(AND(LEFT($A734, 14)="sensor_stream ", LEN($A734)&gt;14, NOT(ISNUMBER(SEARCH(" ", $A734, 15)))), AND(LEFT($A734, 17)="sensor_statistic ", LEN($A734)&gt;17, NOT(ISNUMBER(SEARCH(" ", $A734, 18)))))</formula>
    </cfRule>
  </conditionalFormatting>
  <conditionalFormatting sqref="B734:E734">
    <cfRule type="expression" dxfId="14" priority="527" stopIfTrue="1">
      <formula>$A734="comments"</formula>
    </cfRule>
  </conditionalFormatting>
  <conditionalFormatting sqref="B734:E734">
    <cfRule type="expression" dxfId="15" priority="528" stopIfTrue="1">
      <formula>OR($A734="audio", $A734="video")</formula>
    </cfRule>
  </conditionalFormatting>
  <conditionalFormatting sqref="B734:E734">
    <cfRule type="expression" dxfId="16" priority="529" stopIfTrue="1">
      <formula>$A734="image"</formula>
    </cfRule>
  </conditionalFormatting>
  <conditionalFormatting sqref="B734:E734">
    <cfRule type="expression" dxfId="17" priority="530" stopIfTrue="1">
      <formula>OR($A734="date", $A734="datetime", $A734="time")</formula>
    </cfRule>
  </conditionalFormatting>
  <conditionalFormatting sqref="B734:E734">
    <cfRule type="expression" dxfId="18" priority="531" stopIfTrue="1">
      <formula>OR($A734="calculate", $A734="calculate_here")</formula>
    </cfRule>
  </conditionalFormatting>
  <conditionalFormatting sqref="B734:E734">
    <cfRule type="expression" dxfId="19" priority="532" stopIfTrue="1">
      <formula>$A734="note"</formula>
    </cfRule>
  </conditionalFormatting>
  <conditionalFormatting sqref="B734:E734">
    <cfRule type="expression" dxfId="20" priority="533" stopIfTrue="1">
      <formula>$A734="barcode"</formula>
    </cfRule>
  </conditionalFormatting>
  <conditionalFormatting sqref="B734:E734">
    <cfRule type="expression" dxfId="21" priority="534" stopIfTrue="1">
      <formula>OR($A734="geopoint", $A734="geoshape", $A734="geotrace")</formula>
    </cfRule>
  </conditionalFormatting>
  <conditionalFormatting sqref="B734:E734">
    <cfRule type="expression" dxfId="22" priority="535" stopIfTrue="1">
      <formula>OR($A734="audio audit", $A734="text audit", $A734="speed violations count", $A734="speed violations list", $A734="speed violations audit")</formula>
    </cfRule>
  </conditionalFormatting>
  <conditionalFormatting sqref="B734:E734">
    <cfRule type="expression" dxfId="23" priority="536" stopIfTrue="1">
      <formula>OR($A734="username", $A734="phonenumber", $A734="start", $A734="end", $A734="deviceid", $A734="subscriberid", $A734="simserial", $A734="caseid")</formula>
    </cfRule>
  </conditionalFormatting>
  <conditionalFormatting sqref="B734:E734">
    <cfRule type="expression" dxfId="24" priority="537" stopIfTrue="1">
      <formula>OR(AND(LEFT($A734, 16)="select_multiple ", LEN($A734)&gt;16, NOT(ISNUMBER(SEARCH(" ", $A734, 17)))), AND(LEFT($A734, 11)="select_one ", LEN($A734)&gt;11, NOT(ISNUMBER(SEARCH(" ", $A734, 12)))))</formula>
    </cfRule>
  </conditionalFormatting>
  <conditionalFormatting sqref="B734:E734">
    <cfRule type="expression" dxfId="25" priority="538" stopIfTrue="1">
      <formula>$A734="decimal"</formula>
    </cfRule>
  </conditionalFormatting>
  <conditionalFormatting sqref="B734:E734">
    <cfRule type="expression" dxfId="26" priority="539" stopIfTrue="1">
      <formula>$A734="integer"</formula>
    </cfRule>
  </conditionalFormatting>
  <conditionalFormatting sqref="B734:E734">
    <cfRule type="expression" dxfId="27" priority="540" stopIfTrue="1">
      <formula>$A734="text"</formula>
    </cfRule>
  </conditionalFormatting>
  <conditionalFormatting sqref="B734:E734">
    <cfRule type="expression" dxfId="28" priority="541" stopIfTrue="1">
      <formula>$A734="end repeat"</formula>
    </cfRule>
  </conditionalFormatting>
  <conditionalFormatting sqref="B734:E734">
    <cfRule type="expression" dxfId="28" priority="542" stopIfTrue="1">
      <formula>$A734="begin repeat"</formula>
    </cfRule>
  </conditionalFormatting>
  <conditionalFormatting sqref="B734:E734">
    <cfRule type="expression" dxfId="29" priority="543" stopIfTrue="1">
      <formula>$A734="end group"</formula>
    </cfRule>
  </conditionalFormatting>
  <conditionalFormatting sqref="B734:E734">
    <cfRule type="expression" dxfId="29" priority="544" stopIfTrue="1">
      <formula>$A734="begin group"</formula>
    </cfRule>
  </conditionalFormatting>
  <conditionalFormatting sqref="B734">
    <cfRule type="expression" dxfId="30" priority="545" stopIfTrue="1">
      <formula>$A734="comments"</formula>
    </cfRule>
  </conditionalFormatting>
  <conditionalFormatting sqref="B734">
    <cfRule type="expression" dxfId="36" priority="546" stopIfTrue="1">
      <formula>OR(AND(LEFT($A734, 14)="sensor_stream ", LEN($A734)&gt;14, NOT(ISNUMBER(SEARCH(" ", $A734, 15)))), AND(LEFT($A734, 17)="sensor_statistic ", LEN($A734)&gt;17, NOT(ISNUMBER(SEARCH(" ", $A734, 18)))))</formula>
    </cfRule>
  </conditionalFormatting>
  <conditionalFormatting sqref="B731:C731 D731:E731">
    <cfRule type="expression" dxfId="0" priority="547" stopIfTrue="1">
      <formula>$A731="begin group"</formula>
    </cfRule>
  </conditionalFormatting>
  <conditionalFormatting sqref="B731:C731 D731:E731">
    <cfRule type="expression" dxfId="1" priority="548" stopIfTrue="1">
      <formula>$A731="begin repeat"</formula>
    </cfRule>
  </conditionalFormatting>
  <conditionalFormatting sqref="B731:E731">
    <cfRule type="expression" dxfId="31" priority="549" stopIfTrue="1">
      <formula>$A731="enumerator"</formula>
    </cfRule>
  </conditionalFormatting>
  <conditionalFormatting sqref="B731:E731">
    <cfRule type="expression" dxfId="2" priority="550" stopIfTrue="1">
      <formula>$A731="text"</formula>
    </cfRule>
  </conditionalFormatting>
  <conditionalFormatting sqref="B731:E731">
    <cfRule type="expression" dxfId="3" priority="551" stopIfTrue="1">
      <formula>$A731="integer"</formula>
    </cfRule>
  </conditionalFormatting>
  <conditionalFormatting sqref="B731:E731">
    <cfRule type="expression" dxfId="4" priority="552" stopIfTrue="1">
      <formula>$A731="decimal"</formula>
    </cfRule>
  </conditionalFormatting>
  <conditionalFormatting sqref="B731:C731 D731:E731">
    <cfRule type="expression" dxfId="5" priority="553" stopIfTrue="1">
      <formula>OR(AND(LEFT($A731, 16)="select_multiple ", LEN($A731)&gt;16, NOT(ISNUMBER(SEARCH(" ", $A731, 17)))), AND(LEFT($A731, 11)="select_one ", LEN($A731)&gt;11, NOT(ISNUMBER(SEARCH(" ", $A731, 12)))))</formula>
    </cfRule>
  </conditionalFormatting>
  <conditionalFormatting sqref="B731">
    <cfRule type="expression" dxfId="6" priority="554" stopIfTrue="1">
      <formula>OR($A731="audio audit", $A731="text audit", $A731="speed violations count", $A731="speed violations list", $A731="speed violations audit")</formula>
    </cfRule>
  </conditionalFormatting>
  <conditionalFormatting sqref="B731:C731 D731:E731">
    <cfRule type="expression" dxfId="32" priority="555" stopIfTrue="1">
      <formula>$A731="file"</formula>
    </cfRule>
  </conditionalFormatting>
  <conditionalFormatting sqref="B731:C731 D731:E731">
    <cfRule type="expression" dxfId="7" priority="556" stopIfTrue="1">
      <formula>$A731="note"</formula>
    </cfRule>
  </conditionalFormatting>
  <conditionalFormatting sqref="B731:C731 D731:E731">
    <cfRule type="expression" dxfId="8" priority="557" stopIfTrue="1">
      <formula>$A731="barcode"</formula>
    </cfRule>
  </conditionalFormatting>
  <conditionalFormatting sqref="B731:C731 D731:E731">
    <cfRule type="expression" dxfId="9" priority="558" stopIfTrue="1">
      <formula>OR($A731="geopoint", $A731="geoshape", $A731="geotrace")</formula>
    </cfRule>
  </conditionalFormatting>
  <conditionalFormatting sqref="B731">
    <cfRule type="expression" dxfId="10" priority="559" stopIfTrue="1">
      <formula>OR($A731="calculate", $A731="calculate_here")</formula>
    </cfRule>
  </conditionalFormatting>
  <conditionalFormatting sqref="B731:C731 D731:E731">
    <cfRule type="expression" dxfId="11" priority="560" stopIfTrue="1">
      <formula>OR($A731="date", $A731="datetime", $A731="time")</formula>
    </cfRule>
  </conditionalFormatting>
  <conditionalFormatting sqref="B731:C731 D731:E731">
    <cfRule type="expression" dxfId="12" priority="561" stopIfTrue="1">
      <formula>$A731="image"</formula>
    </cfRule>
  </conditionalFormatting>
  <conditionalFormatting sqref="B731:C731 D731:E731">
    <cfRule type="expression" dxfId="13" priority="562" stopIfTrue="1">
      <formula>OR($A731="audio", $A731="video")</formula>
    </cfRule>
  </conditionalFormatting>
  <conditionalFormatting sqref="B731:E731">
    <cfRule type="expression" dxfId="33" priority="563" stopIfTrue="1">
      <formula>$A731="file"</formula>
    </cfRule>
  </conditionalFormatting>
  <conditionalFormatting sqref="B731:E731">
    <cfRule type="expression" dxfId="34" priority="564" stopIfTrue="1">
      <formula>$A731="enumerator"</formula>
    </cfRule>
  </conditionalFormatting>
  <conditionalFormatting sqref="B731:E731">
    <cfRule type="expression" dxfId="35" priority="565" stopIfTrue="1">
      <formula>OR(AND(LEFT($A731, 14)="sensor_stream ", LEN($A731)&gt;14, NOT(ISNUMBER(SEARCH(" ", $A731, 15)))), AND(LEFT($A731, 17)="sensor_statistic ", LEN($A731)&gt;17, NOT(ISNUMBER(SEARCH(" ", $A731, 18)))))</formula>
    </cfRule>
  </conditionalFormatting>
  <conditionalFormatting sqref="B731:E731">
    <cfRule type="expression" dxfId="14" priority="566" stopIfTrue="1">
      <formula>$A731="comments"</formula>
    </cfRule>
  </conditionalFormatting>
  <conditionalFormatting sqref="B731:E731">
    <cfRule type="expression" dxfId="15" priority="567" stopIfTrue="1">
      <formula>OR($A731="audio", $A731="video")</formula>
    </cfRule>
  </conditionalFormatting>
  <conditionalFormatting sqref="B731:E731">
    <cfRule type="expression" dxfId="16" priority="568" stopIfTrue="1">
      <formula>$A731="image"</formula>
    </cfRule>
  </conditionalFormatting>
  <conditionalFormatting sqref="B731:E731">
    <cfRule type="expression" dxfId="17" priority="569" stopIfTrue="1">
      <formula>OR($A731="date", $A731="datetime", $A731="time")</formula>
    </cfRule>
  </conditionalFormatting>
  <conditionalFormatting sqref="B731:E731">
    <cfRule type="expression" dxfId="18" priority="570" stopIfTrue="1">
      <formula>OR($A731="calculate", $A731="calculate_here")</formula>
    </cfRule>
  </conditionalFormatting>
  <conditionalFormatting sqref="B731:E731">
    <cfRule type="expression" dxfId="19" priority="571" stopIfTrue="1">
      <formula>$A731="note"</formula>
    </cfRule>
  </conditionalFormatting>
  <conditionalFormatting sqref="B731:E731">
    <cfRule type="expression" dxfId="20" priority="572" stopIfTrue="1">
      <formula>$A731="barcode"</formula>
    </cfRule>
  </conditionalFormatting>
  <conditionalFormatting sqref="B731:E731">
    <cfRule type="expression" dxfId="21" priority="573" stopIfTrue="1">
      <formula>OR($A731="geopoint", $A731="geoshape", $A731="geotrace")</formula>
    </cfRule>
  </conditionalFormatting>
  <conditionalFormatting sqref="B731:E731">
    <cfRule type="expression" dxfId="22" priority="574" stopIfTrue="1">
      <formula>OR($A731="audio audit", $A731="text audit", $A731="speed violations count", $A731="speed violations list", $A731="speed violations audit")</formula>
    </cfRule>
  </conditionalFormatting>
  <conditionalFormatting sqref="B731:E731">
    <cfRule type="expression" dxfId="23" priority="575" stopIfTrue="1">
      <formula>OR($A731="username", $A731="phonenumber", $A731="start", $A731="end", $A731="deviceid", $A731="subscriberid", $A731="simserial", $A731="caseid")</formula>
    </cfRule>
  </conditionalFormatting>
  <conditionalFormatting sqref="B731:E731">
    <cfRule type="expression" dxfId="24" priority="576" stopIfTrue="1">
      <formula>OR(AND(LEFT($A731, 16)="select_multiple ", LEN($A731)&gt;16, NOT(ISNUMBER(SEARCH(" ", $A731, 17)))), AND(LEFT($A731, 11)="select_one ", LEN($A731)&gt;11, NOT(ISNUMBER(SEARCH(" ", $A731, 12)))))</formula>
    </cfRule>
  </conditionalFormatting>
  <conditionalFormatting sqref="B731:E731">
    <cfRule type="expression" dxfId="25" priority="577" stopIfTrue="1">
      <formula>$A731="decimal"</formula>
    </cfRule>
  </conditionalFormatting>
  <conditionalFormatting sqref="B731:E731">
    <cfRule type="expression" dxfId="26" priority="578" stopIfTrue="1">
      <formula>$A731="integer"</formula>
    </cfRule>
  </conditionalFormatting>
  <conditionalFormatting sqref="B731:E731">
    <cfRule type="expression" dxfId="27" priority="579" stopIfTrue="1">
      <formula>$A731="text"</formula>
    </cfRule>
  </conditionalFormatting>
  <conditionalFormatting sqref="B731:E731">
    <cfRule type="expression" dxfId="28" priority="580" stopIfTrue="1">
      <formula>$A731="end repeat"</formula>
    </cfRule>
  </conditionalFormatting>
  <conditionalFormatting sqref="B731:E731">
    <cfRule type="expression" dxfId="28" priority="581" stopIfTrue="1">
      <formula>$A731="begin repeat"</formula>
    </cfRule>
  </conditionalFormatting>
  <conditionalFormatting sqref="B731:E731">
    <cfRule type="expression" dxfId="29" priority="582" stopIfTrue="1">
      <formula>$A731="end group"</formula>
    </cfRule>
  </conditionalFormatting>
  <conditionalFormatting sqref="B731:E731">
    <cfRule type="expression" dxfId="29" priority="583" stopIfTrue="1">
      <formula>$A731="begin group"</formula>
    </cfRule>
  </conditionalFormatting>
  <conditionalFormatting sqref="B731">
    <cfRule type="expression" dxfId="30" priority="584" stopIfTrue="1">
      <formula>$A731="comments"</formula>
    </cfRule>
  </conditionalFormatting>
  <conditionalFormatting sqref="B731">
    <cfRule type="expression" dxfId="36" priority="585" stopIfTrue="1">
      <formula>OR(AND(LEFT($A731, 14)="sensor_stream ", LEN($A731)&gt;14, NOT(ISNUMBER(SEARCH(" ", $A731, 15)))), AND(LEFT($A731, 17)="sensor_statistic ", LEN($A731)&gt;17, NOT(ISNUMBER(SEARCH(" ", $A731, 18)))))</formula>
    </cfRule>
  </conditionalFormatting>
  <conditionalFormatting sqref="B715:C725 D715:E725">
    <cfRule type="expression" dxfId="0" priority="586" stopIfTrue="1">
      <formula>$A715="begin group"</formula>
    </cfRule>
  </conditionalFormatting>
  <conditionalFormatting sqref="B715:C725 D715:E725">
    <cfRule type="expression" dxfId="1" priority="587" stopIfTrue="1">
      <formula>$A715="begin repeat"</formula>
    </cfRule>
  </conditionalFormatting>
  <conditionalFormatting sqref="B715:E725">
    <cfRule type="expression" dxfId="31" priority="588" stopIfTrue="1">
      <formula>$A715="enumerator"</formula>
    </cfRule>
  </conditionalFormatting>
  <conditionalFormatting sqref="B715:E725">
    <cfRule type="expression" dxfId="2" priority="589" stopIfTrue="1">
      <formula>$A715="text"</formula>
    </cfRule>
  </conditionalFormatting>
  <conditionalFormatting sqref="B715:E725">
    <cfRule type="expression" dxfId="3" priority="590" stopIfTrue="1">
      <formula>$A715="integer"</formula>
    </cfRule>
  </conditionalFormatting>
  <conditionalFormatting sqref="B715:E725">
    <cfRule type="expression" dxfId="4" priority="591" stopIfTrue="1">
      <formula>$A715="decimal"</formula>
    </cfRule>
  </conditionalFormatting>
  <conditionalFormatting sqref="B715:C725 D715:E725">
    <cfRule type="expression" dxfId="5" priority="592" stopIfTrue="1">
      <formula>OR(AND(LEFT($A715, 16)="select_multiple ", LEN($A715)&gt;16, NOT(ISNUMBER(SEARCH(" ", $A715, 17)))), AND(LEFT($A715, 11)="select_one ", LEN($A715)&gt;11, NOT(ISNUMBER(SEARCH(" ", $A715, 12)))))</formula>
    </cfRule>
  </conditionalFormatting>
  <conditionalFormatting sqref="B715:B725">
    <cfRule type="expression" dxfId="6" priority="593" stopIfTrue="1">
      <formula>OR($A715="audio audit", $A715="text audit", $A715="speed violations count", $A715="speed violations list", $A715="speed violations audit")</formula>
    </cfRule>
  </conditionalFormatting>
  <conditionalFormatting sqref="B715:C725 D715:E725">
    <cfRule type="expression" dxfId="32" priority="594" stopIfTrue="1">
      <formula>$A715="file"</formula>
    </cfRule>
  </conditionalFormatting>
  <conditionalFormatting sqref="B715:C725 D715:E725">
    <cfRule type="expression" dxfId="7" priority="595" stopIfTrue="1">
      <formula>$A715="note"</formula>
    </cfRule>
  </conditionalFormatting>
  <conditionalFormatting sqref="B715:C725 D715:E725">
    <cfRule type="expression" dxfId="8" priority="596" stopIfTrue="1">
      <formula>$A715="barcode"</formula>
    </cfRule>
  </conditionalFormatting>
  <conditionalFormatting sqref="B715:C725 D715:E725">
    <cfRule type="expression" dxfId="9" priority="597" stopIfTrue="1">
      <formula>OR($A715="geopoint", $A715="geoshape", $A715="geotrace")</formula>
    </cfRule>
  </conditionalFormatting>
  <conditionalFormatting sqref="B715:B725">
    <cfRule type="expression" dxfId="10" priority="598" stopIfTrue="1">
      <formula>OR($A715="calculate", $A715="calculate_here")</formula>
    </cfRule>
  </conditionalFormatting>
  <conditionalFormatting sqref="B715:C725 D715:E725">
    <cfRule type="expression" dxfId="11" priority="599" stopIfTrue="1">
      <formula>OR($A715="date", $A715="datetime", $A715="time")</formula>
    </cfRule>
  </conditionalFormatting>
  <conditionalFormatting sqref="B715:C725 D715:E725">
    <cfRule type="expression" dxfId="12" priority="600" stopIfTrue="1">
      <formula>$A715="image"</formula>
    </cfRule>
  </conditionalFormatting>
  <conditionalFormatting sqref="B715:C725 D715:E725">
    <cfRule type="expression" dxfId="13" priority="601" stopIfTrue="1">
      <formula>OR($A715="audio", $A715="video")</formula>
    </cfRule>
  </conditionalFormatting>
  <conditionalFormatting sqref="B715:E725">
    <cfRule type="expression" dxfId="33" priority="602" stopIfTrue="1">
      <formula>$A715="file"</formula>
    </cfRule>
  </conditionalFormatting>
  <conditionalFormatting sqref="B715:E725">
    <cfRule type="expression" dxfId="34" priority="603" stopIfTrue="1">
      <formula>$A715="enumerator"</formula>
    </cfRule>
  </conditionalFormatting>
  <conditionalFormatting sqref="B715:E725">
    <cfRule type="expression" dxfId="35" priority="604" stopIfTrue="1">
      <formula>OR(AND(LEFT($A715, 14)="sensor_stream ", LEN($A715)&gt;14, NOT(ISNUMBER(SEARCH(" ", $A715, 15)))), AND(LEFT($A715, 17)="sensor_statistic ", LEN($A715)&gt;17, NOT(ISNUMBER(SEARCH(" ", $A715, 18)))))</formula>
    </cfRule>
  </conditionalFormatting>
  <conditionalFormatting sqref="B715:E725">
    <cfRule type="expression" dxfId="14" priority="605" stopIfTrue="1">
      <formula>$A715="comments"</formula>
    </cfRule>
  </conditionalFormatting>
  <conditionalFormatting sqref="B715:E725">
    <cfRule type="expression" dxfId="15" priority="606" stopIfTrue="1">
      <formula>OR($A715="audio", $A715="video")</formula>
    </cfRule>
  </conditionalFormatting>
  <conditionalFormatting sqref="B715:E725">
    <cfRule type="expression" dxfId="16" priority="607" stopIfTrue="1">
      <formula>$A715="image"</formula>
    </cfRule>
  </conditionalFormatting>
  <conditionalFormatting sqref="B715:E725">
    <cfRule type="expression" dxfId="17" priority="608" stopIfTrue="1">
      <formula>OR($A715="date", $A715="datetime", $A715="time")</formula>
    </cfRule>
  </conditionalFormatting>
  <conditionalFormatting sqref="B715:E725">
    <cfRule type="expression" dxfId="18" priority="609" stopIfTrue="1">
      <formula>OR($A715="calculate", $A715="calculate_here")</formula>
    </cfRule>
  </conditionalFormatting>
  <conditionalFormatting sqref="B715:E725">
    <cfRule type="expression" dxfId="19" priority="610" stopIfTrue="1">
      <formula>$A715="note"</formula>
    </cfRule>
  </conditionalFormatting>
  <conditionalFormatting sqref="B715:E725">
    <cfRule type="expression" dxfId="20" priority="611" stopIfTrue="1">
      <formula>$A715="barcode"</formula>
    </cfRule>
  </conditionalFormatting>
  <conditionalFormatting sqref="B715:E725">
    <cfRule type="expression" dxfId="21" priority="612" stopIfTrue="1">
      <formula>OR($A715="geopoint", $A715="geoshape", $A715="geotrace")</formula>
    </cfRule>
  </conditionalFormatting>
  <conditionalFormatting sqref="B715:E725">
    <cfRule type="expression" dxfId="22" priority="613" stopIfTrue="1">
      <formula>OR($A715="audio audit", $A715="text audit", $A715="speed violations count", $A715="speed violations list", $A715="speed violations audit")</formula>
    </cfRule>
  </conditionalFormatting>
  <conditionalFormatting sqref="B715:E725">
    <cfRule type="expression" dxfId="23" priority="614" stopIfTrue="1">
      <formula>OR($A715="username", $A715="phonenumber", $A715="start", $A715="end", $A715="deviceid", $A715="subscriberid", $A715="simserial", $A715="caseid")</formula>
    </cfRule>
  </conditionalFormatting>
  <conditionalFormatting sqref="B715:E725">
    <cfRule type="expression" dxfId="24" priority="615" stopIfTrue="1">
      <formula>OR(AND(LEFT($A715, 16)="select_multiple ", LEN($A715)&gt;16, NOT(ISNUMBER(SEARCH(" ", $A715, 17)))), AND(LEFT($A715, 11)="select_one ", LEN($A715)&gt;11, NOT(ISNUMBER(SEARCH(" ", $A715, 12)))))</formula>
    </cfRule>
  </conditionalFormatting>
  <conditionalFormatting sqref="B715:E725">
    <cfRule type="expression" dxfId="25" priority="616" stopIfTrue="1">
      <formula>$A715="decimal"</formula>
    </cfRule>
  </conditionalFormatting>
  <conditionalFormatting sqref="B715:E725">
    <cfRule type="expression" dxfId="26" priority="617" stopIfTrue="1">
      <formula>$A715="integer"</formula>
    </cfRule>
  </conditionalFormatting>
  <conditionalFormatting sqref="B715:E725">
    <cfRule type="expression" dxfId="27" priority="618" stopIfTrue="1">
      <formula>$A715="text"</formula>
    </cfRule>
  </conditionalFormatting>
  <conditionalFormatting sqref="B715:E725">
    <cfRule type="expression" dxfId="28" priority="619" stopIfTrue="1">
      <formula>$A715="end repeat"</formula>
    </cfRule>
  </conditionalFormatting>
  <conditionalFormatting sqref="B715:E725">
    <cfRule type="expression" dxfId="28" priority="620" stopIfTrue="1">
      <formula>$A715="begin repeat"</formula>
    </cfRule>
  </conditionalFormatting>
  <conditionalFormatting sqref="B715:E725">
    <cfRule type="expression" dxfId="29" priority="621" stopIfTrue="1">
      <formula>$A715="end group"</formula>
    </cfRule>
  </conditionalFormatting>
  <conditionalFormatting sqref="B715:E725">
    <cfRule type="expression" dxfId="29" priority="622" stopIfTrue="1">
      <formula>$A715="begin group"</formula>
    </cfRule>
  </conditionalFormatting>
  <conditionalFormatting sqref="B715:B725">
    <cfRule type="expression" dxfId="30" priority="623" stopIfTrue="1">
      <formula>$A715="comments"</formula>
    </cfRule>
  </conditionalFormatting>
  <conditionalFormatting sqref="B715:B725">
    <cfRule type="expression" dxfId="36" priority="624" stopIfTrue="1">
      <formula>OR(AND(LEFT($A715, 14)="sensor_stream ", LEN($A715)&gt;14, NOT(ISNUMBER(SEARCH(" ", $A715, 15)))), AND(LEFT($A715, 17)="sensor_statistic ", LEN($A715)&gt;17, NOT(ISNUMBER(SEARCH(" ", $A715, 18)))))</formula>
    </cfRule>
  </conditionalFormatting>
  <conditionalFormatting sqref="B705:C711 D705:E711">
    <cfRule type="expression" dxfId="0" priority="625" stopIfTrue="1">
      <formula>$A705="begin group"</formula>
    </cfRule>
  </conditionalFormatting>
  <conditionalFormatting sqref="B705:C711 D705:E711">
    <cfRule type="expression" dxfId="1" priority="626" stopIfTrue="1">
      <formula>$A705="begin repeat"</formula>
    </cfRule>
  </conditionalFormatting>
  <conditionalFormatting sqref="B705:E711">
    <cfRule type="expression" dxfId="31" priority="627" stopIfTrue="1">
      <formula>$A705="enumerator"</formula>
    </cfRule>
  </conditionalFormatting>
  <conditionalFormatting sqref="B705:E711">
    <cfRule type="expression" dxfId="2" priority="628" stopIfTrue="1">
      <formula>$A705="text"</formula>
    </cfRule>
  </conditionalFormatting>
  <conditionalFormatting sqref="B705:E711">
    <cfRule type="expression" dxfId="3" priority="629" stopIfTrue="1">
      <formula>$A705="integer"</formula>
    </cfRule>
  </conditionalFormatting>
  <conditionalFormatting sqref="B705:E711">
    <cfRule type="expression" dxfId="4" priority="630" stopIfTrue="1">
      <formula>$A705="decimal"</formula>
    </cfRule>
  </conditionalFormatting>
  <conditionalFormatting sqref="B705:C711 D705:E711">
    <cfRule type="expression" dxfId="5" priority="631" stopIfTrue="1">
      <formula>OR(AND(LEFT($A705, 16)="select_multiple ", LEN($A705)&gt;16, NOT(ISNUMBER(SEARCH(" ", $A705, 17)))), AND(LEFT($A705, 11)="select_one ", LEN($A705)&gt;11, NOT(ISNUMBER(SEARCH(" ", $A705, 12)))))</formula>
    </cfRule>
  </conditionalFormatting>
  <conditionalFormatting sqref="B705:B711">
    <cfRule type="expression" dxfId="6" priority="632" stopIfTrue="1">
      <formula>OR($A705="audio audit", $A705="text audit", $A705="speed violations count", $A705="speed violations list", $A705="speed violations audit")</formula>
    </cfRule>
  </conditionalFormatting>
  <conditionalFormatting sqref="B705:C711 D705:E711">
    <cfRule type="expression" dxfId="32" priority="633" stopIfTrue="1">
      <formula>$A705="file"</formula>
    </cfRule>
  </conditionalFormatting>
  <conditionalFormatting sqref="B705:C711 D705:E711">
    <cfRule type="expression" dxfId="7" priority="634" stopIfTrue="1">
      <formula>$A705="note"</formula>
    </cfRule>
  </conditionalFormatting>
  <conditionalFormatting sqref="B705:C711 D705:E711">
    <cfRule type="expression" dxfId="8" priority="635" stopIfTrue="1">
      <formula>$A705="barcode"</formula>
    </cfRule>
  </conditionalFormatting>
  <conditionalFormatting sqref="B705:C711 D705:E711">
    <cfRule type="expression" dxfId="9" priority="636" stopIfTrue="1">
      <formula>OR($A705="geopoint", $A705="geoshape", $A705="geotrace")</formula>
    </cfRule>
  </conditionalFormatting>
  <conditionalFormatting sqref="B705:B711">
    <cfRule type="expression" dxfId="10" priority="637" stopIfTrue="1">
      <formula>OR($A705="calculate", $A705="calculate_here")</formula>
    </cfRule>
  </conditionalFormatting>
  <conditionalFormatting sqref="B705:C711 D705:E711">
    <cfRule type="expression" dxfId="11" priority="638" stopIfTrue="1">
      <formula>OR($A705="date", $A705="datetime", $A705="time")</formula>
    </cfRule>
  </conditionalFormatting>
  <conditionalFormatting sqref="B705:C711 D705:E711">
    <cfRule type="expression" dxfId="12" priority="639" stopIfTrue="1">
      <formula>$A705="image"</formula>
    </cfRule>
  </conditionalFormatting>
  <conditionalFormatting sqref="B705:C711 D705:E711">
    <cfRule type="expression" dxfId="13" priority="640" stopIfTrue="1">
      <formula>OR($A705="audio", $A705="video")</formula>
    </cfRule>
  </conditionalFormatting>
  <conditionalFormatting sqref="B705:E711">
    <cfRule type="expression" dxfId="33" priority="641" stopIfTrue="1">
      <formula>$A705="file"</formula>
    </cfRule>
  </conditionalFormatting>
  <conditionalFormatting sqref="B705:E711">
    <cfRule type="expression" dxfId="34" priority="642" stopIfTrue="1">
      <formula>$A705="enumerator"</formula>
    </cfRule>
  </conditionalFormatting>
  <conditionalFormatting sqref="B705:E711">
    <cfRule type="expression" dxfId="35" priority="643" stopIfTrue="1">
      <formula>OR(AND(LEFT($A705, 14)="sensor_stream ", LEN($A705)&gt;14, NOT(ISNUMBER(SEARCH(" ", $A705, 15)))), AND(LEFT($A705, 17)="sensor_statistic ", LEN($A705)&gt;17, NOT(ISNUMBER(SEARCH(" ", $A705, 18)))))</formula>
    </cfRule>
  </conditionalFormatting>
  <conditionalFormatting sqref="B705:E711">
    <cfRule type="expression" dxfId="14" priority="644" stopIfTrue="1">
      <formula>$A705="comments"</formula>
    </cfRule>
  </conditionalFormatting>
  <conditionalFormatting sqref="B705:E711">
    <cfRule type="expression" dxfId="15" priority="645" stopIfTrue="1">
      <formula>OR($A705="audio", $A705="video")</formula>
    </cfRule>
  </conditionalFormatting>
  <conditionalFormatting sqref="B705:E711">
    <cfRule type="expression" dxfId="16" priority="646" stopIfTrue="1">
      <formula>$A705="image"</formula>
    </cfRule>
  </conditionalFormatting>
  <conditionalFormatting sqref="B705:E711">
    <cfRule type="expression" dxfId="17" priority="647" stopIfTrue="1">
      <formula>OR($A705="date", $A705="datetime", $A705="time")</formula>
    </cfRule>
  </conditionalFormatting>
  <conditionalFormatting sqref="B705:E711">
    <cfRule type="expression" dxfId="18" priority="648" stopIfTrue="1">
      <formula>OR($A705="calculate", $A705="calculate_here")</formula>
    </cfRule>
  </conditionalFormatting>
  <conditionalFormatting sqref="B705:E711">
    <cfRule type="expression" dxfId="19" priority="649" stopIfTrue="1">
      <formula>$A705="note"</formula>
    </cfRule>
  </conditionalFormatting>
  <conditionalFormatting sqref="B705:E711">
    <cfRule type="expression" dxfId="20" priority="650" stopIfTrue="1">
      <formula>$A705="barcode"</formula>
    </cfRule>
  </conditionalFormatting>
  <conditionalFormatting sqref="B705:E711">
    <cfRule type="expression" dxfId="21" priority="651" stopIfTrue="1">
      <formula>OR($A705="geopoint", $A705="geoshape", $A705="geotrace")</formula>
    </cfRule>
  </conditionalFormatting>
  <conditionalFormatting sqref="B705:E711">
    <cfRule type="expression" dxfId="22" priority="652" stopIfTrue="1">
      <formula>OR($A705="audio audit", $A705="text audit", $A705="speed violations count", $A705="speed violations list", $A705="speed violations audit")</formula>
    </cfRule>
  </conditionalFormatting>
  <conditionalFormatting sqref="B705:E711">
    <cfRule type="expression" dxfId="23" priority="653" stopIfTrue="1">
      <formula>OR($A705="username", $A705="phonenumber", $A705="start", $A705="end", $A705="deviceid", $A705="subscriberid", $A705="simserial", $A705="caseid")</formula>
    </cfRule>
  </conditionalFormatting>
  <conditionalFormatting sqref="B705:E711">
    <cfRule type="expression" dxfId="24" priority="654" stopIfTrue="1">
      <formula>OR(AND(LEFT($A705, 16)="select_multiple ", LEN($A705)&gt;16, NOT(ISNUMBER(SEARCH(" ", $A705, 17)))), AND(LEFT($A705, 11)="select_one ", LEN($A705)&gt;11, NOT(ISNUMBER(SEARCH(" ", $A705, 12)))))</formula>
    </cfRule>
  </conditionalFormatting>
  <conditionalFormatting sqref="B705:E711">
    <cfRule type="expression" dxfId="25" priority="655" stopIfTrue="1">
      <formula>$A705="decimal"</formula>
    </cfRule>
  </conditionalFormatting>
  <conditionalFormatting sqref="B705:E711">
    <cfRule type="expression" dxfId="26" priority="656" stopIfTrue="1">
      <formula>$A705="integer"</formula>
    </cfRule>
  </conditionalFormatting>
  <conditionalFormatting sqref="B705:E711">
    <cfRule type="expression" dxfId="27" priority="657" stopIfTrue="1">
      <formula>$A705="text"</formula>
    </cfRule>
  </conditionalFormatting>
  <conditionalFormatting sqref="B705:E711">
    <cfRule type="expression" dxfId="28" priority="658" stopIfTrue="1">
      <formula>$A705="end repeat"</formula>
    </cfRule>
  </conditionalFormatting>
  <conditionalFormatting sqref="B705:E711">
    <cfRule type="expression" dxfId="28" priority="659" stopIfTrue="1">
      <formula>$A705="begin repeat"</formula>
    </cfRule>
  </conditionalFormatting>
  <conditionalFormatting sqref="B705:E711">
    <cfRule type="expression" dxfId="29" priority="660" stopIfTrue="1">
      <formula>$A705="end group"</formula>
    </cfRule>
  </conditionalFormatting>
  <conditionalFormatting sqref="B705:E711">
    <cfRule type="expression" dxfId="29" priority="661" stopIfTrue="1">
      <formula>$A705="begin group"</formula>
    </cfRule>
  </conditionalFormatting>
  <conditionalFormatting sqref="B705:B711">
    <cfRule type="expression" dxfId="30" priority="662" stopIfTrue="1">
      <formula>$A705="comments"</formula>
    </cfRule>
  </conditionalFormatting>
  <conditionalFormatting sqref="B705:B711">
    <cfRule type="expression" dxfId="36" priority="663" stopIfTrue="1">
      <formula>OR(AND(LEFT($A705, 14)="sensor_stream ", LEN($A705)&gt;14, NOT(ISNUMBER(SEARCH(" ", $A705, 15)))), AND(LEFT($A705, 17)="sensor_statistic ", LEN($A705)&gt;17, NOT(ISNUMBER(SEARCH(" ", $A705, 18)))))</formula>
    </cfRule>
  </conditionalFormatting>
  <conditionalFormatting sqref="B696:C699 D696:E699">
    <cfRule type="expression" dxfId="0" priority="664" stopIfTrue="1">
      <formula>$A696="begin group"</formula>
    </cfRule>
  </conditionalFormatting>
  <conditionalFormatting sqref="B696:C699 D696:E699">
    <cfRule type="expression" dxfId="1" priority="665" stopIfTrue="1">
      <formula>$A696="begin repeat"</formula>
    </cfRule>
  </conditionalFormatting>
  <conditionalFormatting sqref="B696:E699">
    <cfRule type="expression" dxfId="31" priority="666" stopIfTrue="1">
      <formula>$A696="enumerator"</formula>
    </cfRule>
  </conditionalFormatting>
  <conditionalFormatting sqref="B696:E699">
    <cfRule type="expression" dxfId="2" priority="667" stopIfTrue="1">
      <formula>$A696="text"</formula>
    </cfRule>
  </conditionalFormatting>
  <conditionalFormatting sqref="B696:E699">
    <cfRule type="expression" dxfId="3" priority="668" stopIfTrue="1">
      <formula>$A696="integer"</formula>
    </cfRule>
  </conditionalFormatting>
  <conditionalFormatting sqref="B696:E699">
    <cfRule type="expression" dxfId="4" priority="669" stopIfTrue="1">
      <formula>$A696="decimal"</formula>
    </cfRule>
  </conditionalFormatting>
  <conditionalFormatting sqref="B696:C699 D696:E699">
    <cfRule type="expression" dxfId="5" priority="670" stopIfTrue="1">
      <formula>OR(AND(LEFT($A696, 16)="select_multiple ", LEN($A696)&gt;16, NOT(ISNUMBER(SEARCH(" ", $A696, 17)))), AND(LEFT($A696, 11)="select_one ", LEN($A696)&gt;11, NOT(ISNUMBER(SEARCH(" ", $A696, 12)))))</formula>
    </cfRule>
  </conditionalFormatting>
  <conditionalFormatting sqref="B696:B699">
    <cfRule type="expression" dxfId="6" priority="671" stopIfTrue="1">
      <formula>OR($A696="audio audit", $A696="text audit", $A696="speed violations count", $A696="speed violations list", $A696="speed violations audit")</formula>
    </cfRule>
  </conditionalFormatting>
  <conditionalFormatting sqref="B696:C699 D696:E699">
    <cfRule type="expression" dxfId="32" priority="672" stopIfTrue="1">
      <formula>$A696="file"</formula>
    </cfRule>
  </conditionalFormatting>
  <conditionalFormatting sqref="B696:C699 D696:E699">
    <cfRule type="expression" dxfId="7" priority="673" stopIfTrue="1">
      <formula>$A696="note"</formula>
    </cfRule>
  </conditionalFormatting>
  <conditionalFormatting sqref="B696:C699 D696:E699">
    <cfRule type="expression" dxfId="8" priority="674" stopIfTrue="1">
      <formula>$A696="barcode"</formula>
    </cfRule>
  </conditionalFormatting>
  <conditionalFormatting sqref="B696:C699 D696:E699">
    <cfRule type="expression" dxfId="9" priority="675" stopIfTrue="1">
      <formula>OR($A696="geopoint", $A696="geoshape", $A696="geotrace")</formula>
    </cfRule>
  </conditionalFormatting>
  <conditionalFormatting sqref="B696:B699">
    <cfRule type="expression" dxfId="10" priority="676" stopIfTrue="1">
      <formula>OR($A696="calculate", $A696="calculate_here")</formula>
    </cfRule>
  </conditionalFormatting>
  <conditionalFormatting sqref="B696:C699 D696:E699">
    <cfRule type="expression" dxfId="11" priority="677" stopIfTrue="1">
      <formula>OR($A696="date", $A696="datetime", $A696="time")</formula>
    </cfRule>
  </conditionalFormatting>
  <conditionalFormatting sqref="B696:C699 D696:E699">
    <cfRule type="expression" dxfId="12" priority="678" stopIfTrue="1">
      <formula>$A696="image"</formula>
    </cfRule>
  </conditionalFormatting>
  <conditionalFormatting sqref="B696:C699 D696:E699">
    <cfRule type="expression" dxfId="13" priority="679" stopIfTrue="1">
      <formula>OR($A696="audio", $A696="video")</formula>
    </cfRule>
  </conditionalFormatting>
  <conditionalFormatting sqref="B696:E699">
    <cfRule type="expression" dxfId="33" priority="680" stopIfTrue="1">
      <formula>$A696="file"</formula>
    </cfRule>
  </conditionalFormatting>
  <conditionalFormatting sqref="B696:E699">
    <cfRule type="expression" dxfId="34" priority="681" stopIfTrue="1">
      <formula>$A696="enumerator"</formula>
    </cfRule>
  </conditionalFormatting>
  <conditionalFormatting sqref="B696:E699">
    <cfRule type="expression" dxfId="35" priority="682" stopIfTrue="1">
      <formula>OR(AND(LEFT($A696, 14)="sensor_stream ", LEN($A696)&gt;14, NOT(ISNUMBER(SEARCH(" ", $A696, 15)))), AND(LEFT($A696, 17)="sensor_statistic ", LEN($A696)&gt;17, NOT(ISNUMBER(SEARCH(" ", $A696, 18)))))</formula>
    </cfRule>
  </conditionalFormatting>
  <conditionalFormatting sqref="B696:E699">
    <cfRule type="expression" dxfId="14" priority="683" stopIfTrue="1">
      <formula>$A696="comments"</formula>
    </cfRule>
  </conditionalFormatting>
  <conditionalFormatting sqref="B696:E699">
    <cfRule type="expression" dxfId="15" priority="684" stopIfTrue="1">
      <formula>OR($A696="audio", $A696="video")</formula>
    </cfRule>
  </conditionalFormatting>
  <conditionalFormatting sqref="B696:E699">
    <cfRule type="expression" dxfId="16" priority="685" stopIfTrue="1">
      <formula>$A696="image"</formula>
    </cfRule>
  </conditionalFormatting>
  <conditionalFormatting sqref="B696:E699">
    <cfRule type="expression" dxfId="17" priority="686" stopIfTrue="1">
      <formula>OR($A696="date", $A696="datetime", $A696="time")</formula>
    </cfRule>
  </conditionalFormatting>
  <conditionalFormatting sqref="B696:E699">
    <cfRule type="expression" dxfId="18" priority="687" stopIfTrue="1">
      <formula>OR($A696="calculate", $A696="calculate_here")</formula>
    </cfRule>
  </conditionalFormatting>
  <conditionalFormatting sqref="B696:E699">
    <cfRule type="expression" dxfId="19" priority="688" stopIfTrue="1">
      <formula>$A696="note"</formula>
    </cfRule>
  </conditionalFormatting>
  <conditionalFormatting sqref="B696:E699">
    <cfRule type="expression" dxfId="20" priority="689" stopIfTrue="1">
      <formula>$A696="barcode"</formula>
    </cfRule>
  </conditionalFormatting>
  <conditionalFormatting sqref="B696:E699">
    <cfRule type="expression" dxfId="21" priority="690" stopIfTrue="1">
      <formula>OR($A696="geopoint", $A696="geoshape", $A696="geotrace")</formula>
    </cfRule>
  </conditionalFormatting>
  <conditionalFormatting sqref="B696:E699">
    <cfRule type="expression" dxfId="22" priority="691" stopIfTrue="1">
      <formula>OR($A696="audio audit", $A696="text audit", $A696="speed violations count", $A696="speed violations list", $A696="speed violations audit")</formula>
    </cfRule>
  </conditionalFormatting>
  <conditionalFormatting sqref="B696:E699">
    <cfRule type="expression" dxfId="23" priority="692" stopIfTrue="1">
      <formula>OR($A696="username", $A696="phonenumber", $A696="start", $A696="end", $A696="deviceid", $A696="subscriberid", $A696="simserial", $A696="caseid")</formula>
    </cfRule>
  </conditionalFormatting>
  <conditionalFormatting sqref="B696:E699">
    <cfRule type="expression" dxfId="24" priority="693" stopIfTrue="1">
      <formula>OR(AND(LEFT($A696, 16)="select_multiple ", LEN($A696)&gt;16, NOT(ISNUMBER(SEARCH(" ", $A696, 17)))), AND(LEFT($A696, 11)="select_one ", LEN($A696)&gt;11, NOT(ISNUMBER(SEARCH(" ", $A696, 12)))))</formula>
    </cfRule>
  </conditionalFormatting>
  <conditionalFormatting sqref="B696:E699">
    <cfRule type="expression" dxfId="25" priority="694" stopIfTrue="1">
      <formula>$A696="decimal"</formula>
    </cfRule>
  </conditionalFormatting>
  <conditionalFormatting sqref="B696:E699">
    <cfRule type="expression" dxfId="26" priority="695" stopIfTrue="1">
      <formula>$A696="integer"</formula>
    </cfRule>
  </conditionalFormatting>
  <conditionalFormatting sqref="B696:E699">
    <cfRule type="expression" dxfId="27" priority="696" stopIfTrue="1">
      <formula>$A696="text"</formula>
    </cfRule>
  </conditionalFormatting>
  <conditionalFormatting sqref="B696:E699">
    <cfRule type="expression" dxfId="28" priority="697" stopIfTrue="1">
      <formula>$A696="end repeat"</formula>
    </cfRule>
  </conditionalFormatting>
  <conditionalFormatting sqref="B696:E699">
    <cfRule type="expression" dxfId="28" priority="698" stopIfTrue="1">
      <formula>$A696="begin repeat"</formula>
    </cfRule>
  </conditionalFormatting>
  <conditionalFormatting sqref="B696:E699">
    <cfRule type="expression" dxfId="29" priority="699" stopIfTrue="1">
      <formula>$A696="end group"</formula>
    </cfRule>
  </conditionalFormatting>
  <conditionalFormatting sqref="B696:E699">
    <cfRule type="expression" dxfId="29" priority="700" stopIfTrue="1">
      <formula>$A696="begin group"</formula>
    </cfRule>
  </conditionalFormatting>
  <conditionalFormatting sqref="B696:B699">
    <cfRule type="expression" dxfId="30" priority="701" stopIfTrue="1">
      <formula>$A696="comments"</formula>
    </cfRule>
  </conditionalFormatting>
  <conditionalFormatting sqref="B696:B699">
    <cfRule type="expression" dxfId="36" priority="702" stopIfTrue="1">
      <formula>OR(AND(LEFT($A696, 14)="sensor_stream ", LEN($A696)&gt;14, NOT(ISNUMBER(SEARCH(" ", $A696, 15)))), AND(LEFT($A696, 17)="sensor_statistic ", LEN($A696)&gt;17, NOT(ISNUMBER(SEARCH(" ", $A696, 18)))))</formula>
    </cfRule>
  </conditionalFormatting>
  <conditionalFormatting sqref="B689:C693 D689:E693">
    <cfRule type="expression" dxfId="0" priority="703" stopIfTrue="1">
      <formula>$A689="begin group"</formula>
    </cfRule>
  </conditionalFormatting>
  <conditionalFormatting sqref="B689:C693 D689:E693">
    <cfRule type="expression" dxfId="1" priority="704" stopIfTrue="1">
      <formula>$A689="begin repeat"</formula>
    </cfRule>
  </conditionalFormatting>
  <conditionalFormatting sqref="B689:E693">
    <cfRule type="expression" dxfId="31" priority="705" stopIfTrue="1">
      <formula>$A689="enumerator"</formula>
    </cfRule>
  </conditionalFormatting>
  <conditionalFormatting sqref="B689:E693">
    <cfRule type="expression" dxfId="2" priority="706" stopIfTrue="1">
      <formula>$A689="text"</formula>
    </cfRule>
  </conditionalFormatting>
  <conditionalFormatting sqref="B689:E693">
    <cfRule type="expression" dxfId="3" priority="707" stopIfTrue="1">
      <formula>$A689="integer"</formula>
    </cfRule>
  </conditionalFormatting>
  <conditionalFormatting sqref="B689:E693">
    <cfRule type="expression" dxfId="4" priority="708" stopIfTrue="1">
      <formula>$A689="decimal"</formula>
    </cfRule>
  </conditionalFormatting>
  <conditionalFormatting sqref="B689:C693 D689:E693">
    <cfRule type="expression" dxfId="5" priority="709" stopIfTrue="1">
      <formula>OR(AND(LEFT($A689, 16)="select_multiple ", LEN($A689)&gt;16, NOT(ISNUMBER(SEARCH(" ", $A689, 17)))), AND(LEFT($A689, 11)="select_one ", LEN($A689)&gt;11, NOT(ISNUMBER(SEARCH(" ", $A689, 12)))))</formula>
    </cfRule>
  </conditionalFormatting>
  <conditionalFormatting sqref="B689:B693">
    <cfRule type="expression" dxfId="6" priority="710" stopIfTrue="1">
      <formula>OR($A689="audio audit", $A689="text audit", $A689="speed violations count", $A689="speed violations list", $A689="speed violations audit")</formula>
    </cfRule>
  </conditionalFormatting>
  <conditionalFormatting sqref="B689:C693 D689:E693">
    <cfRule type="expression" dxfId="32" priority="711" stopIfTrue="1">
      <formula>$A689="file"</formula>
    </cfRule>
  </conditionalFormatting>
  <conditionalFormatting sqref="B689:C693 D689:E693">
    <cfRule type="expression" dxfId="7" priority="712" stopIfTrue="1">
      <formula>$A689="note"</formula>
    </cfRule>
  </conditionalFormatting>
  <conditionalFormatting sqref="B689:C693 D689:E693">
    <cfRule type="expression" dxfId="8" priority="713" stopIfTrue="1">
      <formula>$A689="barcode"</formula>
    </cfRule>
  </conditionalFormatting>
  <conditionalFormatting sqref="B689:C693 D689:E693">
    <cfRule type="expression" dxfId="9" priority="714" stopIfTrue="1">
      <formula>OR($A689="geopoint", $A689="geoshape", $A689="geotrace")</formula>
    </cfRule>
  </conditionalFormatting>
  <conditionalFormatting sqref="B689:B693">
    <cfRule type="expression" dxfId="10" priority="715" stopIfTrue="1">
      <formula>OR($A689="calculate", $A689="calculate_here")</formula>
    </cfRule>
  </conditionalFormatting>
  <conditionalFormatting sqref="B689:C693 D689:E693">
    <cfRule type="expression" dxfId="11" priority="716" stopIfTrue="1">
      <formula>OR($A689="date", $A689="datetime", $A689="time")</formula>
    </cfRule>
  </conditionalFormatting>
  <conditionalFormatting sqref="B689:C693 D689:E693">
    <cfRule type="expression" dxfId="12" priority="717" stopIfTrue="1">
      <formula>$A689="image"</formula>
    </cfRule>
  </conditionalFormatting>
  <conditionalFormatting sqref="B689:C693 D689:E693">
    <cfRule type="expression" dxfId="13" priority="718" stopIfTrue="1">
      <formula>OR($A689="audio", $A689="video")</formula>
    </cfRule>
  </conditionalFormatting>
  <conditionalFormatting sqref="B689:E693">
    <cfRule type="expression" dxfId="33" priority="719" stopIfTrue="1">
      <formula>$A689="file"</formula>
    </cfRule>
  </conditionalFormatting>
  <conditionalFormatting sqref="B689:E693">
    <cfRule type="expression" dxfId="34" priority="720" stopIfTrue="1">
      <formula>$A689="enumerator"</formula>
    </cfRule>
  </conditionalFormatting>
  <conditionalFormatting sqref="B689:E693">
    <cfRule type="expression" dxfId="35" priority="721" stopIfTrue="1">
      <formula>OR(AND(LEFT($A689, 14)="sensor_stream ", LEN($A689)&gt;14, NOT(ISNUMBER(SEARCH(" ", $A689, 15)))), AND(LEFT($A689, 17)="sensor_statistic ", LEN($A689)&gt;17, NOT(ISNUMBER(SEARCH(" ", $A689, 18)))))</formula>
    </cfRule>
  </conditionalFormatting>
  <conditionalFormatting sqref="B689:E693">
    <cfRule type="expression" dxfId="14" priority="722" stopIfTrue="1">
      <formula>$A689="comments"</formula>
    </cfRule>
  </conditionalFormatting>
  <conditionalFormatting sqref="B689:E693">
    <cfRule type="expression" dxfId="15" priority="723" stopIfTrue="1">
      <formula>OR($A689="audio", $A689="video")</formula>
    </cfRule>
  </conditionalFormatting>
  <conditionalFormatting sqref="B689:E693">
    <cfRule type="expression" dxfId="16" priority="724" stopIfTrue="1">
      <formula>$A689="image"</formula>
    </cfRule>
  </conditionalFormatting>
  <conditionalFormatting sqref="B689:E693">
    <cfRule type="expression" dxfId="17" priority="725" stopIfTrue="1">
      <formula>OR($A689="date", $A689="datetime", $A689="time")</formula>
    </cfRule>
  </conditionalFormatting>
  <conditionalFormatting sqref="B689:E693">
    <cfRule type="expression" dxfId="18" priority="726" stopIfTrue="1">
      <formula>OR($A689="calculate", $A689="calculate_here")</formula>
    </cfRule>
  </conditionalFormatting>
  <conditionalFormatting sqref="B689:E693">
    <cfRule type="expression" dxfId="19" priority="727" stopIfTrue="1">
      <formula>$A689="note"</formula>
    </cfRule>
  </conditionalFormatting>
  <conditionalFormatting sqref="B689:E693">
    <cfRule type="expression" dxfId="20" priority="728" stopIfTrue="1">
      <formula>$A689="barcode"</formula>
    </cfRule>
  </conditionalFormatting>
  <conditionalFormatting sqref="B689:E693">
    <cfRule type="expression" dxfId="21" priority="729" stopIfTrue="1">
      <formula>OR($A689="geopoint", $A689="geoshape", $A689="geotrace")</formula>
    </cfRule>
  </conditionalFormatting>
  <conditionalFormatting sqref="B689:E693">
    <cfRule type="expression" dxfId="22" priority="730" stopIfTrue="1">
      <formula>OR($A689="audio audit", $A689="text audit", $A689="speed violations count", $A689="speed violations list", $A689="speed violations audit")</formula>
    </cfRule>
  </conditionalFormatting>
  <conditionalFormatting sqref="B689:E693">
    <cfRule type="expression" dxfId="23" priority="731" stopIfTrue="1">
      <formula>OR($A689="username", $A689="phonenumber", $A689="start", $A689="end", $A689="deviceid", $A689="subscriberid", $A689="simserial", $A689="caseid")</formula>
    </cfRule>
  </conditionalFormatting>
  <conditionalFormatting sqref="B689:E693">
    <cfRule type="expression" dxfId="24" priority="732" stopIfTrue="1">
      <formula>OR(AND(LEFT($A689, 16)="select_multiple ", LEN($A689)&gt;16, NOT(ISNUMBER(SEARCH(" ", $A689, 17)))), AND(LEFT($A689, 11)="select_one ", LEN($A689)&gt;11, NOT(ISNUMBER(SEARCH(" ", $A689, 12)))))</formula>
    </cfRule>
  </conditionalFormatting>
  <conditionalFormatting sqref="B689:E693">
    <cfRule type="expression" dxfId="25" priority="733" stopIfTrue="1">
      <formula>$A689="decimal"</formula>
    </cfRule>
  </conditionalFormatting>
  <conditionalFormatting sqref="B689:E693">
    <cfRule type="expression" dxfId="26" priority="734" stopIfTrue="1">
      <formula>$A689="integer"</formula>
    </cfRule>
  </conditionalFormatting>
  <conditionalFormatting sqref="B689:E693">
    <cfRule type="expression" dxfId="27" priority="735" stopIfTrue="1">
      <formula>$A689="text"</formula>
    </cfRule>
  </conditionalFormatting>
  <conditionalFormatting sqref="B689:E693">
    <cfRule type="expression" dxfId="28" priority="736" stopIfTrue="1">
      <formula>$A689="end repeat"</formula>
    </cfRule>
  </conditionalFormatting>
  <conditionalFormatting sqref="B689:E693">
    <cfRule type="expression" dxfId="28" priority="737" stopIfTrue="1">
      <formula>$A689="begin repeat"</formula>
    </cfRule>
  </conditionalFormatting>
  <conditionalFormatting sqref="B689:E693">
    <cfRule type="expression" dxfId="29" priority="738" stopIfTrue="1">
      <formula>$A689="end group"</formula>
    </cfRule>
  </conditionalFormatting>
  <conditionalFormatting sqref="B689:E693">
    <cfRule type="expression" dxfId="29" priority="739" stopIfTrue="1">
      <formula>$A689="begin group"</formula>
    </cfRule>
  </conditionalFormatting>
  <conditionalFormatting sqref="B689:B693">
    <cfRule type="expression" dxfId="30" priority="740" stopIfTrue="1">
      <formula>$A689="comments"</formula>
    </cfRule>
  </conditionalFormatting>
  <conditionalFormatting sqref="B689:B693">
    <cfRule type="expression" dxfId="36" priority="741" stopIfTrue="1">
      <formula>OR(AND(LEFT($A689, 14)="sensor_stream ", LEN($A689)&gt;14, NOT(ISNUMBER(SEARCH(" ", $A689, 15)))), AND(LEFT($A689, 17)="sensor_statistic ", LEN($A689)&gt;17, NOT(ISNUMBER(SEARCH(" ", $A689, 18)))))</formula>
    </cfRule>
  </conditionalFormatting>
  <conditionalFormatting sqref="B683:C684 D683:E684">
    <cfRule type="expression" dxfId="0" priority="742" stopIfTrue="1">
      <formula>$A683="begin group"</formula>
    </cfRule>
  </conditionalFormatting>
  <conditionalFormatting sqref="B683:C684 D683:E684">
    <cfRule type="expression" dxfId="1" priority="743" stopIfTrue="1">
      <formula>$A683="begin repeat"</formula>
    </cfRule>
  </conditionalFormatting>
  <conditionalFormatting sqref="B683:E684">
    <cfRule type="expression" dxfId="31" priority="744" stopIfTrue="1">
      <formula>$A683="enumerator"</formula>
    </cfRule>
  </conditionalFormatting>
  <conditionalFormatting sqref="B683:E684">
    <cfRule type="expression" dxfId="2" priority="745" stopIfTrue="1">
      <formula>$A683="text"</formula>
    </cfRule>
  </conditionalFormatting>
  <conditionalFormatting sqref="B683:E684">
    <cfRule type="expression" dxfId="3" priority="746" stopIfTrue="1">
      <formula>$A683="integer"</formula>
    </cfRule>
  </conditionalFormatting>
  <conditionalFormatting sqref="B683:E684">
    <cfRule type="expression" dxfId="4" priority="747" stopIfTrue="1">
      <formula>$A683="decimal"</formula>
    </cfRule>
  </conditionalFormatting>
  <conditionalFormatting sqref="B683:C684 D683:E684">
    <cfRule type="expression" dxfId="5" priority="748" stopIfTrue="1">
      <formula>OR(AND(LEFT($A683, 16)="select_multiple ", LEN($A683)&gt;16, NOT(ISNUMBER(SEARCH(" ", $A683, 17)))), AND(LEFT($A683, 11)="select_one ", LEN($A683)&gt;11, NOT(ISNUMBER(SEARCH(" ", $A683, 12)))))</formula>
    </cfRule>
  </conditionalFormatting>
  <conditionalFormatting sqref="B683:B684">
    <cfRule type="expression" dxfId="6" priority="749" stopIfTrue="1">
      <formula>OR($A683="audio audit", $A683="text audit", $A683="speed violations count", $A683="speed violations list", $A683="speed violations audit")</formula>
    </cfRule>
  </conditionalFormatting>
  <conditionalFormatting sqref="B683:C684 D683:E684">
    <cfRule type="expression" dxfId="32" priority="750" stopIfTrue="1">
      <formula>$A683="file"</formula>
    </cfRule>
  </conditionalFormatting>
  <conditionalFormatting sqref="B683:C684 D683:E684">
    <cfRule type="expression" dxfId="7" priority="751" stopIfTrue="1">
      <formula>$A683="note"</formula>
    </cfRule>
  </conditionalFormatting>
  <conditionalFormatting sqref="B683:C684 D683:E684">
    <cfRule type="expression" dxfId="8" priority="752" stopIfTrue="1">
      <formula>$A683="barcode"</formula>
    </cfRule>
  </conditionalFormatting>
  <conditionalFormatting sqref="B683:C684 D683:E684">
    <cfRule type="expression" dxfId="9" priority="753" stopIfTrue="1">
      <formula>OR($A683="geopoint", $A683="geoshape", $A683="geotrace")</formula>
    </cfRule>
  </conditionalFormatting>
  <conditionalFormatting sqref="B683:B684">
    <cfRule type="expression" dxfId="10" priority="754" stopIfTrue="1">
      <formula>OR($A683="calculate", $A683="calculate_here")</formula>
    </cfRule>
  </conditionalFormatting>
  <conditionalFormatting sqref="B683:C684 D683:E684">
    <cfRule type="expression" dxfId="11" priority="755" stopIfTrue="1">
      <formula>OR($A683="date", $A683="datetime", $A683="time")</formula>
    </cfRule>
  </conditionalFormatting>
  <conditionalFormatting sqref="B683:C684 D683:E684">
    <cfRule type="expression" dxfId="12" priority="756" stopIfTrue="1">
      <formula>$A683="image"</formula>
    </cfRule>
  </conditionalFormatting>
  <conditionalFormatting sqref="B683:C684 D683:E684">
    <cfRule type="expression" dxfId="13" priority="757" stopIfTrue="1">
      <formula>OR($A683="audio", $A683="video")</formula>
    </cfRule>
  </conditionalFormatting>
  <conditionalFormatting sqref="B683:E684">
    <cfRule type="expression" dxfId="33" priority="758" stopIfTrue="1">
      <formula>$A683="file"</formula>
    </cfRule>
  </conditionalFormatting>
  <conditionalFormatting sqref="B683:E684">
    <cfRule type="expression" dxfId="34" priority="759" stopIfTrue="1">
      <formula>$A683="enumerator"</formula>
    </cfRule>
  </conditionalFormatting>
  <conditionalFormatting sqref="B683:E684">
    <cfRule type="expression" dxfId="35" priority="760" stopIfTrue="1">
      <formula>OR(AND(LEFT($A683, 14)="sensor_stream ", LEN($A683)&gt;14, NOT(ISNUMBER(SEARCH(" ", $A683, 15)))), AND(LEFT($A683, 17)="sensor_statistic ", LEN($A683)&gt;17, NOT(ISNUMBER(SEARCH(" ", $A683, 18)))))</formula>
    </cfRule>
  </conditionalFormatting>
  <conditionalFormatting sqref="B683:E684">
    <cfRule type="expression" dxfId="14" priority="761" stopIfTrue="1">
      <formula>$A683="comments"</formula>
    </cfRule>
  </conditionalFormatting>
  <conditionalFormatting sqref="B683:E684">
    <cfRule type="expression" dxfId="15" priority="762" stopIfTrue="1">
      <formula>OR($A683="audio", $A683="video")</formula>
    </cfRule>
  </conditionalFormatting>
  <conditionalFormatting sqref="B683:E684">
    <cfRule type="expression" dxfId="16" priority="763" stopIfTrue="1">
      <formula>$A683="image"</formula>
    </cfRule>
  </conditionalFormatting>
  <conditionalFormatting sqref="B683:E684">
    <cfRule type="expression" dxfId="17" priority="764" stopIfTrue="1">
      <formula>OR($A683="date", $A683="datetime", $A683="time")</formula>
    </cfRule>
  </conditionalFormatting>
  <conditionalFormatting sqref="B683:E684">
    <cfRule type="expression" dxfId="18" priority="765" stopIfTrue="1">
      <formula>OR($A683="calculate", $A683="calculate_here")</formula>
    </cfRule>
  </conditionalFormatting>
  <conditionalFormatting sqref="B683:E684">
    <cfRule type="expression" dxfId="19" priority="766" stopIfTrue="1">
      <formula>$A683="note"</formula>
    </cfRule>
  </conditionalFormatting>
  <conditionalFormatting sqref="B683:E684">
    <cfRule type="expression" dxfId="20" priority="767" stopIfTrue="1">
      <formula>$A683="barcode"</formula>
    </cfRule>
  </conditionalFormatting>
  <conditionalFormatting sqref="B683:E684">
    <cfRule type="expression" dxfId="21" priority="768" stopIfTrue="1">
      <formula>OR($A683="geopoint", $A683="geoshape", $A683="geotrace")</formula>
    </cfRule>
  </conditionalFormatting>
  <conditionalFormatting sqref="B683:E684">
    <cfRule type="expression" dxfId="22" priority="769" stopIfTrue="1">
      <formula>OR($A683="audio audit", $A683="text audit", $A683="speed violations count", $A683="speed violations list", $A683="speed violations audit")</formula>
    </cfRule>
  </conditionalFormatting>
  <conditionalFormatting sqref="B683:E684">
    <cfRule type="expression" dxfId="23" priority="770" stopIfTrue="1">
      <formula>OR($A683="username", $A683="phonenumber", $A683="start", $A683="end", $A683="deviceid", $A683="subscriberid", $A683="simserial", $A683="caseid")</formula>
    </cfRule>
  </conditionalFormatting>
  <conditionalFormatting sqref="B683:E684">
    <cfRule type="expression" dxfId="24" priority="771" stopIfTrue="1">
      <formula>OR(AND(LEFT($A683, 16)="select_multiple ", LEN($A683)&gt;16, NOT(ISNUMBER(SEARCH(" ", $A683, 17)))), AND(LEFT($A683, 11)="select_one ", LEN($A683)&gt;11, NOT(ISNUMBER(SEARCH(" ", $A683, 12)))))</formula>
    </cfRule>
  </conditionalFormatting>
  <conditionalFormatting sqref="B683:E684">
    <cfRule type="expression" dxfId="25" priority="772" stopIfTrue="1">
      <formula>$A683="decimal"</formula>
    </cfRule>
  </conditionalFormatting>
  <conditionalFormatting sqref="B683:E684">
    <cfRule type="expression" dxfId="26" priority="773" stopIfTrue="1">
      <formula>$A683="integer"</formula>
    </cfRule>
  </conditionalFormatting>
  <conditionalFormatting sqref="B683:E684">
    <cfRule type="expression" dxfId="27" priority="774" stopIfTrue="1">
      <formula>$A683="text"</formula>
    </cfRule>
  </conditionalFormatting>
  <conditionalFormatting sqref="B683:E684">
    <cfRule type="expression" dxfId="28" priority="775" stopIfTrue="1">
      <formula>$A683="end repeat"</formula>
    </cfRule>
  </conditionalFormatting>
  <conditionalFormatting sqref="B683:E684">
    <cfRule type="expression" dxfId="28" priority="776" stopIfTrue="1">
      <formula>$A683="begin repeat"</formula>
    </cfRule>
  </conditionalFormatting>
  <conditionalFormatting sqref="B683:E684">
    <cfRule type="expression" dxfId="29" priority="777" stopIfTrue="1">
      <formula>$A683="end group"</formula>
    </cfRule>
  </conditionalFormatting>
  <conditionalFormatting sqref="B683:E684">
    <cfRule type="expression" dxfId="29" priority="778" stopIfTrue="1">
      <formula>$A683="begin group"</formula>
    </cfRule>
  </conditionalFormatting>
  <conditionalFormatting sqref="B683:B684">
    <cfRule type="expression" dxfId="30" priority="779" stopIfTrue="1">
      <formula>$A683="comments"</formula>
    </cfRule>
  </conditionalFormatting>
  <conditionalFormatting sqref="B683:B684">
    <cfRule type="expression" dxfId="36" priority="780" stopIfTrue="1">
      <formula>OR(AND(LEFT($A683, 14)="sensor_stream ", LEN($A683)&gt;14, NOT(ISNUMBER(SEARCH(" ", $A683, 15)))), AND(LEFT($A683, 17)="sensor_statistic ", LEN($A683)&gt;17, NOT(ISNUMBER(SEARCH(" ", $A683, 18)))))</formula>
    </cfRule>
  </conditionalFormatting>
  <conditionalFormatting sqref="B681:C681 D681:E681">
    <cfRule type="expression" dxfId="0" priority="781" stopIfTrue="1">
      <formula>$A681="begin group"</formula>
    </cfRule>
  </conditionalFormatting>
  <conditionalFormatting sqref="B681:C681 D681:E681">
    <cfRule type="expression" dxfId="1" priority="782" stopIfTrue="1">
      <formula>$A681="begin repeat"</formula>
    </cfRule>
  </conditionalFormatting>
  <conditionalFormatting sqref="B681:E681">
    <cfRule type="expression" dxfId="31" priority="783" stopIfTrue="1">
      <formula>$A681="enumerator"</formula>
    </cfRule>
  </conditionalFormatting>
  <conditionalFormatting sqref="B681:E681">
    <cfRule type="expression" dxfId="2" priority="784" stopIfTrue="1">
      <formula>$A681="text"</formula>
    </cfRule>
  </conditionalFormatting>
  <conditionalFormatting sqref="B681:E681">
    <cfRule type="expression" dxfId="3" priority="785" stopIfTrue="1">
      <formula>$A681="integer"</formula>
    </cfRule>
  </conditionalFormatting>
  <conditionalFormatting sqref="B681:E681">
    <cfRule type="expression" dxfId="4" priority="786" stopIfTrue="1">
      <formula>$A681="decimal"</formula>
    </cfRule>
  </conditionalFormatting>
  <conditionalFormatting sqref="B681:C681 D681:E681">
    <cfRule type="expression" dxfId="5" priority="787" stopIfTrue="1">
      <formula>OR(AND(LEFT($A681, 16)="select_multiple ", LEN($A681)&gt;16, NOT(ISNUMBER(SEARCH(" ", $A681, 17)))), AND(LEFT($A681, 11)="select_one ", LEN($A681)&gt;11, NOT(ISNUMBER(SEARCH(" ", $A681, 12)))))</formula>
    </cfRule>
  </conditionalFormatting>
  <conditionalFormatting sqref="B681">
    <cfRule type="expression" dxfId="6" priority="788" stopIfTrue="1">
      <formula>OR($A681="audio audit", $A681="text audit", $A681="speed violations count", $A681="speed violations list", $A681="speed violations audit")</formula>
    </cfRule>
  </conditionalFormatting>
  <conditionalFormatting sqref="B681:C681 D681:E681">
    <cfRule type="expression" dxfId="32" priority="789" stopIfTrue="1">
      <formula>$A681="file"</formula>
    </cfRule>
  </conditionalFormatting>
  <conditionalFormatting sqref="B681:C681 D681:E681">
    <cfRule type="expression" dxfId="7" priority="790" stopIfTrue="1">
      <formula>$A681="note"</formula>
    </cfRule>
  </conditionalFormatting>
  <conditionalFormatting sqref="B681:C681 D681:E681">
    <cfRule type="expression" dxfId="8" priority="791" stopIfTrue="1">
      <formula>$A681="barcode"</formula>
    </cfRule>
  </conditionalFormatting>
  <conditionalFormatting sqref="B681:C681 D681:E681">
    <cfRule type="expression" dxfId="9" priority="792" stopIfTrue="1">
      <formula>OR($A681="geopoint", $A681="geoshape", $A681="geotrace")</formula>
    </cfRule>
  </conditionalFormatting>
  <conditionalFormatting sqref="B681">
    <cfRule type="expression" dxfId="10" priority="793" stopIfTrue="1">
      <formula>OR($A681="calculate", $A681="calculate_here")</formula>
    </cfRule>
  </conditionalFormatting>
  <conditionalFormatting sqref="B681:C681 D681:E681">
    <cfRule type="expression" dxfId="11" priority="794" stopIfTrue="1">
      <formula>OR($A681="date", $A681="datetime", $A681="time")</formula>
    </cfRule>
  </conditionalFormatting>
  <conditionalFormatting sqref="B681:C681 D681:E681">
    <cfRule type="expression" dxfId="12" priority="795" stopIfTrue="1">
      <formula>$A681="image"</formula>
    </cfRule>
  </conditionalFormatting>
  <conditionalFormatting sqref="B681:C681 D681:E681">
    <cfRule type="expression" dxfId="13" priority="796" stopIfTrue="1">
      <formula>OR($A681="audio", $A681="video")</formula>
    </cfRule>
  </conditionalFormatting>
  <conditionalFormatting sqref="B681:E681">
    <cfRule type="expression" dxfId="33" priority="797" stopIfTrue="1">
      <formula>$A681="file"</formula>
    </cfRule>
  </conditionalFormatting>
  <conditionalFormatting sqref="B681:E681">
    <cfRule type="expression" dxfId="34" priority="798" stopIfTrue="1">
      <formula>$A681="enumerator"</formula>
    </cfRule>
  </conditionalFormatting>
  <conditionalFormatting sqref="B681:E681">
    <cfRule type="expression" dxfId="35" priority="799" stopIfTrue="1">
      <formula>OR(AND(LEFT($A681, 14)="sensor_stream ", LEN($A681)&gt;14, NOT(ISNUMBER(SEARCH(" ", $A681, 15)))), AND(LEFT($A681, 17)="sensor_statistic ", LEN($A681)&gt;17, NOT(ISNUMBER(SEARCH(" ", $A681, 18)))))</formula>
    </cfRule>
  </conditionalFormatting>
  <conditionalFormatting sqref="B681:E681">
    <cfRule type="expression" dxfId="14" priority="800" stopIfTrue="1">
      <formula>$A681="comments"</formula>
    </cfRule>
  </conditionalFormatting>
  <conditionalFormatting sqref="B681:E681">
    <cfRule type="expression" dxfId="15" priority="801" stopIfTrue="1">
      <formula>OR($A681="audio", $A681="video")</formula>
    </cfRule>
  </conditionalFormatting>
  <conditionalFormatting sqref="B681:E681">
    <cfRule type="expression" dxfId="16" priority="802" stopIfTrue="1">
      <formula>$A681="image"</formula>
    </cfRule>
  </conditionalFormatting>
  <conditionalFormatting sqref="B681:E681">
    <cfRule type="expression" dxfId="17" priority="803" stopIfTrue="1">
      <formula>OR($A681="date", $A681="datetime", $A681="time")</formula>
    </cfRule>
  </conditionalFormatting>
  <conditionalFormatting sqref="B681:E681">
    <cfRule type="expression" dxfId="18" priority="804" stopIfTrue="1">
      <formula>OR($A681="calculate", $A681="calculate_here")</formula>
    </cfRule>
  </conditionalFormatting>
  <conditionalFormatting sqref="B681:E681">
    <cfRule type="expression" dxfId="19" priority="805" stopIfTrue="1">
      <formula>$A681="note"</formula>
    </cfRule>
  </conditionalFormatting>
  <conditionalFormatting sqref="B681:E681">
    <cfRule type="expression" dxfId="20" priority="806" stopIfTrue="1">
      <formula>$A681="barcode"</formula>
    </cfRule>
  </conditionalFormatting>
  <conditionalFormatting sqref="B681:E681">
    <cfRule type="expression" dxfId="21" priority="807" stopIfTrue="1">
      <formula>OR($A681="geopoint", $A681="geoshape", $A681="geotrace")</formula>
    </cfRule>
  </conditionalFormatting>
  <conditionalFormatting sqref="B681:E681">
    <cfRule type="expression" dxfId="22" priority="808" stopIfTrue="1">
      <formula>OR($A681="audio audit", $A681="text audit", $A681="speed violations count", $A681="speed violations list", $A681="speed violations audit")</formula>
    </cfRule>
  </conditionalFormatting>
  <conditionalFormatting sqref="B681:E681">
    <cfRule type="expression" dxfId="23" priority="809" stopIfTrue="1">
      <formula>OR($A681="username", $A681="phonenumber", $A681="start", $A681="end", $A681="deviceid", $A681="subscriberid", $A681="simserial", $A681="caseid")</formula>
    </cfRule>
  </conditionalFormatting>
  <conditionalFormatting sqref="B681:E681">
    <cfRule type="expression" dxfId="24" priority="810" stopIfTrue="1">
      <formula>OR(AND(LEFT($A681, 16)="select_multiple ", LEN($A681)&gt;16, NOT(ISNUMBER(SEARCH(" ", $A681, 17)))), AND(LEFT($A681, 11)="select_one ", LEN($A681)&gt;11, NOT(ISNUMBER(SEARCH(" ", $A681, 12)))))</formula>
    </cfRule>
  </conditionalFormatting>
  <conditionalFormatting sqref="B681:E681">
    <cfRule type="expression" dxfId="25" priority="811" stopIfTrue="1">
      <formula>$A681="decimal"</formula>
    </cfRule>
  </conditionalFormatting>
  <conditionalFormatting sqref="B681:E681">
    <cfRule type="expression" dxfId="26" priority="812" stopIfTrue="1">
      <formula>$A681="integer"</formula>
    </cfRule>
  </conditionalFormatting>
  <conditionalFormatting sqref="B681:E681">
    <cfRule type="expression" dxfId="27" priority="813" stopIfTrue="1">
      <formula>$A681="text"</formula>
    </cfRule>
  </conditionalFormatting>
  <conditionalFormatting sqref="B681:E681">
    <cfRule type="expression" dxfId="28" priority="814" stopIfTrue="1">
      <formula>$A681="end repeat"</formula>
    </cfRule>
  </conditionalFormatting>
  <conditionalFormatting sqref="B681:E681">
    <cfRule type="expression" dxfId="28" priority="815" stopIfTrue="1">
      <formula>$A681="begin repeat"</formula>
    </cfRule>
  </conditionalFormatting>
  <conditionalFormatting sqref="B681:E681">
    <cfRule type="expression" dxfId="29" priority="816" stopIfTrue="1">
      <formula>$A681="end group"</formula>
    </cfRule>
  </conditionalFormatting>
  <conditionalFormatting sqref="B681:E681">
    <cfRule type="expression" dxfId="29" priority="817" stopIfTrue="1">
      <formula>$A681="begin group"</formula>
    </cfRule>
  </conditionalFormatting>
  <conditionalFormatting sqref="B681">
    <cfRule type="expression" dxfId="30" priority="818" stopIfTrue="1">
      <formula>$A681="comments"</formula>
    </cfRule>
  </conditionalFormatting>
  <conditionalFormatting sqref="B681">
    <cfRule type="expression" dxfId="36" priority="819" stopIfTrue="1">
      <formula>OR(AND(LEFT($A681, 14)="sensor_stream ", LEN($A681)&gt;14, NOT(ISNUMBER(SEARCH(" ", $A681, 15)))), AND(LEFT($A681, 17)="sensor_statistic ", LEN($A681)&gt;17, NOT(ISNUMBER(SEARCH(" ", $A681, 18)))))</formula>
    </cfRule>
  </conditionalFormatting>
  <conditionalFormatting sqref="B675:C676 D675:E676">
    <cfRule type="expression" dxfId="0" priority="820" stopIfTrue="1">
      <formula>$A675="begin group"</formula>
    </cfRule>
  </conditionalFormatting>
  <conditionalFormatting sqref="B675:C676 D675:E676">
    <cfRule type="expression" dxfId="1" priority="821" stopIfTrue="1">
      <formula>$A675="begin repeat"</formula>
    </cfRule>
  </conditionalFormatting>
  <conditionalFormatting sqref="B675:E676">
    <cfRule type="expression" dxfId="31" priority="822" stopIfTrue="1">
      <formula>$A675="enumerator"</formula>
    </cfRule>
  </conditionalFormatting>
  <conditionalFormatting sqref="B675:E676">
    <cfRule type="expression" dxfId="2" priority="823" stopIfTrue="1">
      <formula>$A675="text"</formula>
    </cfRule>
  </conditionalFormatting>
  <conditionalFormatting sqref="B675:E676">
    <cfRule type="expression" dxfId="3" priority="824" stopIfTrue="1">
      <formula>$A675="integer"</formula>
    </cfRule>
  </conditionalFormatting>
  <conditionalFormatting sqref="B675:E676">
    <cfRule type="expression" dxfId="4" priority="825" stopIfTrue="1">
      <formula>$A675="decimal"</formula>
    </cfRule>
  </conditionalFormatting>
  <conditionalFormatting sqref="B675:C676 D675:E676">
    <cfRule type="expression" dxfId="5" priority="826" stopIfTrue="1">
      <formula>OR(AND(LEFT($A675, 16)="select_multiple ", LEN($A675)&gt;16, NOT(ISNUMBER(SEARCH(" ", $A675, 17)))), AND(LEFT($A675, 11)="select_one ", LEN($A675)&gt;11, NOT(ISNUMBER(SEARCH(" ", $A675, 12)))))</formula>
    </cfRule>
  </conditionalFormatting>
  <conditionalFormatting sqref="B675:B676">
    <cfRule type="expression" dxfId="6" priority="827" stopIfTrue="1">
      <formula>OR($A675="audio audit", $A675="text audit", $A675="speed violations count", $A675="speed violations list", $A675="speed violations audit")</formula>
    </cfRule>
  </conditionalFormatting>
  <conditionalFormatting sqref="B675:C676 D675:E676">
    <cfRule type="expression" dxfId="32" priority="828" stopIfTrue="1">
      <formula>$A675="file"</formula>
    </cfRule>
  </conditionalFormatting>
  <conditionalFormatting sqref="B675:C676 D675:E676">
    <cfRule type="expression" dxfId="7" priority="829" stopIfTrue="1">
      <formula>$A675="note"</formula>
    </cfRule>
  </conditionalFormatting>
  <conditionalFormatting sqref="B675:C676 D675:E676">
    <cfRule type="expression" dxfId="8" priority="830" stopIfTrue="1">
      <formula>$A675="barcode"</formula>
    </cfRule>
  </conditionalFormatting>
  <conditionalFormatting sqref="B675:C676 D675:E676">
    <cfRule type="expression" dxfId="9" priority="831" stopIfTrue="1">
      <formula>OR($A675="geopoint", $A675="geoshape", $A675="geotrace")</formula>
    </cfRule>
  </conditionalFormatting>
  <conditionalFormatting sqref="B675:B676">
    <cfRule type="expression" dxfId="10" priority="832" stopIfTrue="1">
      <formula>OR($A675="calculate", $A675="calculate_here")</formula>
    </cfRule>
  </conditionalFormatting>
  <conditionalFormatting sqref="B675:C676 D675:E676">
    <cfRule type="expression" dxfId="11" priority="833" stopIfTrue="1">
      <formula>OR($A675="date", $A675="datetime", $A675="time")</formula>
    </cfRule>
  </conditionalFormatting>
  <conditionalFormatting sqref="B675:C676 D675:E676">
    <cfRule type="expression" dxfId="12" priority="834" stopIfTrue="1">
      <formula>$A675="image"</formula>
    </cfRule>
  </conditionalFormatting>
  <conditionalFormatting sqref="B675:C676 D675:E676">
    <cfRule type="expression" dxfId="13" priority="835" stopIfTrue="1">
      <formula>OR($A675="audio", $A675="video")</formula>
    </cfRule>
  </conditionalFormatting>
  <conditionalFormatting sqref="B675:E676">
    <cfRule type="expression" dxfId="33" priority="836" stopIfTrue="1">
      <formula>$A675="file"</formula>
    </cfRule>
  </conditionalFormatting>
  <conditionalFormatting sqref="B675:E676">
    <cfRule type="expression" dxfId="34" priority="837" stopIfTrue="1">
      <formula>$A675="enumerator"</formula>
    </cfRule>
  </conditionalFormatting>
  <conditionalFormatting sqref="B675:E676">
    <cfRule type="expression" dxfId="35" priority="838" stopIfTrue="1">
      <formula>OR(AND(LEFT($A675, 14)="sensor_stream ", LEN($A675)&gt;14, NOT(ISNUMBER(SEARCH(" ", $A675, 15)))), AND(LEFT($A675, 17)="sensor_statistic ", LEN($A675)&gt;17, NOT(ISNUMBER(SEARCH(" ", $A675, 18)))))</formula>
    </cfRule>
  </conditionalFormatting>
  <conditionalFormatting sqref="B675:E676">
    <cfRule type="expression" dxfId="14" priority="839" stopIfTrue="1">
      <formula>$A675="comments"</formula>
    </cfRule>
  </conditionalFormatting>
  <conditionalFormatting sqref="B675:E676">
    <cfRule type="expression" dxfId="15" priority="840" stopIfTrue="1">
      <formula>OR($A675="audio", $A675="video")</formula>
    </cfRule>
  </conditionalFormatting>
  <conditionalFormatting sqref="B675:E676">
    <cfRule type="expression" dxfId="16" priority="841" stopIfTrue="1">
      <formula>$A675="image"</formula>
    </cfRule>
  </conditionalFormatting>
  <conditionalFormatting sqref="B675:E676">
    <cfRule type="expression" dxfId="17" priority="842" stopIfTrue="1">
      <formula>OR($A675="date", $A675="datetime", $A675="time")</formula>
    </cfRule>
  </conditionalFormatting>
  <conditionalFormatting sqref="B675:E676">
    <cfRule type="expression" dxfId="18" priority="843" stopIfTrue="1">
      <formula>OR($A675="calculate", $A675="calculate_here")</formula>
    </cfRule>
  </conditionalFormatting>
  <conditionalFormatting sqref="B675:E676">
    <cfRule type="expression" dxfId="19" priority="844" stopIfTrue="1">
      <formula>$A675="note"</formula>
    </cfRule>
  </conditionalFormatting>
  <conditionalFormatting sqref="B675:E676">
    <cfRule type="expression" dxfId="20" priority="845" stopIfTrue="1">
      <formula>$A675="barcode"</formula>
    </cfRule>
  </conditionalFormatting>
  <conditionalFormatting sqref="B675:E676">
    <cfRule type="expression" dxfId="21" priority="846" stopIfTrue="1">
      <formula>OR($A675="geopoint", $A675="geoshape", $A675="geotrace")</formula>
    </cfRule>
  </conditionalFormatting>
  <conditionalFormatting sqref="B675:E676">
    <cfRule type="expression" dxfId="22" priority="847" stopIfTrue="1">
      <formula>OR($A675="audio audit", $A675="text audit", $A675="speed violations count", $A675="speed violations list", $A675="speed violations audit")</formula>
    </cfRule>
  </conditionalFormatting>
  <conditionalFormatting sqref="B675:E676">
    <cfRule type="expression" dxfId="23" priority="848" stopIfTrue="1">
      <formula>OR($A675="username", $A675="phonenumber", $A675="start", $A675="end", $A675="deviceid", $A675="subscriberid", $A675="simserial", $A675="caseid")</formula>
    </cfRule>
  </conditionalFormatting>
  <conditionalFormatting sqref="B675:E676">
    <cfRule type="expression" dxfId="24" priority="849" stopIfTrue="1">
      <formula>OR(AND(LEFT($A675, 16)="select_multiple ", LEN($A675)&gt;16, NOT(ISNUMBER(SEARCH(" ", $A675, 17)))), AND(LEFT($A675, 11)="select_one ", LEN($A675)&gt;11, NOT(ISNUMBER(SEARCH(" ", $A675, 12)))))</formula>
    </cfRule>
  </conditionalFormatting>
  <conditionalFormatting sqref="B675:E676">
    <cfRule type="expression" dxfId="25" priority="850" stopIfTrue="1">
      <formula>$A675="decimal"</formula>
    </cfRule>
  </conditionalFormatting>
  <conditionalFormatting sqref="B675:E676">
    <cfRule type="expression" dxfId="26" priority="851" stopIfTrue="1">
      <formula>$A675="integer"</formula>
    </cfRule>
  </conditionalFormatting>
  <conditionalFormatting sqref="B675:E676">
    <cfRule type="expression" dxfId="27" priority="852" stopIfTrue="1">
      <formula>$A675="text"</formula>
    </cfRule>
  </conditionalFormatting>
  <conditionalFormatting sqref="B675:E676">
    <cfRule type="expression" dxfId="28" priority="853" stopIfTrue="1">
      <formula>$A675="end repeat"</formula>
    </cfRule>
  </conditionalFormatting>
  <conditionalFormatting sqref="B675:E676">
    <cfRule type="expression" dxfId="28" priority="854" stopIfTrue="1">
      <formula>$A675="begin repeat"</formula>
    </cfRule>
  </conditionalFormatting>
  <conditionalFormatting sqref="B675:E676">
    <cfRule type="expression" dxfId="29" priority="855" stopIfTrue="1">
      <formula>$A675="end group"</formula>
    </cfRule>
  </conditionalFormatting>
  <conditionalFormatting sqref="B675:E676">
    <cfRule type="expression" dxfId="29" priority="856" stopIfTrue="1">
      <formula>$A675="begin group"</formula>
    </cfRule>
  </conditionalFormatting>
  <conditionalFormatting sqref="B675:B676">
    <cfRule type="expression" dxfId="30" priority="857" stopIfTrue="1">
      <formula>$A675="comments"</formula>
    </cfRule>
  </conditionalFormatting>
  <conditionalFormatting sqref="B675:B676">
    <cfRule type="expression" dxfId="36" priority="858" stopIfTrue="1">
      <formula>OR(AND(LEFT($A675, 14)="sensor_stream ", LEN($A675)&gt;14, NOT(ISNUMBER(SEARCH(" ", $A675, 15)))), AND(LEFT($A675, 17)="sensor_statistic ", LEN($A675)&gt;17, NOT(ISNUMBER(SEARCH(" ", $A675, 18)))))</formula>
    </cfRule>
  </conditionalFormatting>
  <conditionalFormatting sqref="B669:C671 D669:E671">
    <cfRule type="expression" dxfId="0" priority="859" stopIfTrue="1">
      <formula>$A669="begin group"</formula>
    </cfRule>
  </conditionalFormatting>
  <conditionalFormatting sqref="B669:C671 D669:E671">
    <cfRule type="expression" dxfId="1" priority="860" stopIfTrue="1">
      <formula>$A669="begin repeat"</formula>
    </cfRule>
  </conditionalFormatting>
  <conditionalFormatting sqref="B669:E671">
    <cfRule type="expression" dxfId="31" priority="861" stopIfTrue="1">
      <formula>$A669="enumerator"</formula>
    </cfRule>
  </conditionalFormatting>
  <conditionalFormatting sqref="B669:E671">
    <cfRule type="expression" dxfId="2" priority="862" stopIfTrue="1">
      <formula>$A669="text"</formula>
    </cfRule>
  </conditionalFormatting>
  <conditionalFormatting sqref="B669:E671">
    <cfRule type="expression" dxfId="3" priority="863" stopIfTrue="1">
      <formula>$A669="integer"</formula>
    </cfRule>
  </conditionalFormatting>
  <conditionalFormatting sqref="B669:E671">
    <cfRule type="expression" dxfId="4" priority="864" stopIfTrue="1">
      <formula>$A669="decimal"</formula>
    </cfRule>
  </conditionalFormatting>
  <conditionalFormatting sqref="B669:C671 D669:E671">
    <cfRule type="expression" dxfId="5" priority="865" stopIfTrue="1">
      <formula>OR(AND(LEFT($A669, 16)="select_multiple ", LEN($A669)&gt;16, NOT(ISNUMBER(SEARCH(" ", $A669, 17)))), AND(LEFT($A669, 11)="select_one ", LEN($A669)&gt;11, NOT(ISNUMBER(SEARCH(" ", $A669, 12)))))</formula>
    </cfRule>
  </conditionalFormatting>
  <conditionalFormatting sqref="B669:B671">
    <cfRule type="expression" dxfId="6" priority="866" stopIfTrue="1">
      <formula>OR($A669="audio audit", $A669="text audit", $A669="speed violations count", $A669="speed violations list", $A669="speed violations audit")</formula>
    </cfRule>
  </conditionalFormatting>
  <conditionalFormatting sqref="B669:C671 D669:E671">
    <cfRule type="expression" dxfId="32" priority="867" stopIfTrue="1">
      <formula>$A669="file"</formula>
    </cfRule>
  </conditionalFormatting>
  <conditionalFormatting sqref="B669:C671 D669:E671">
    <cfRule type="expression" dxfId="7" priority="868" stopIfTrue="1">
      <formula>$A669="note"</formula>
    </cfRule>
  </conditionalFormatting>
  <conditionalFormatting sqref="B669:C671 D669:E671">
    <cfRule type="expression" dxfId="8" priority="869" stopIfTrue="1">
      <formula>$A669="barcode"</formula>
    </cfRule>
  </conditionalFormatting>
  <conditionalFormatting sqref="B669:C671 D669:E671">
    <cfRule type="expression" dxfId="9" priority="870" stopIfTrue="1">
      <formula>OR($A669="geopoint", $A669="geoshape", $A669="geotrace")</formula>
    </cfRule>
  </conditionalFormatting>
  <conditionalFormatting sqref="B669:B671">
    <cfRule type="expression" dxfId="10" priority="871" stopIfTrue="1">
      <formula>OR($A669="calculate", $A669="calculate_here")</formula>
    </cfRule>
  </conditionalFormatting>
  <conditionalFormatting sqref="B669:C671 D669:E671">
    <cfRule type="expression" dxfId="11" priority="872" stopIfTrue="1">
      <formula>OR($A669="date", $A669="datetime", $A669="time")</formula>
    </cfRule>
  </conditionalFormatting>
  <conditionalFormatting sqref="B669:C671 D669:E671">
    <cfRule type="expression" dxfId="12" priority="873" stopIfTrue="1">
      <formula>$A669="image"</formula>
    </cfRule>
  </conditionalFormatting>
  <conditionalFormatting sqref="B669:C671 D669:E671">
    <cfRule type="expression" dxfId="13" priority="874" stopIfTrue="1">
      <formula>OR($A669="audio", $A669="video")</formula>
    </cfRule>
  </conditionalFormatting>
  <conditionalFormatting sqref="B669:E671">
    <cfRule type="expression" dxfId="33" priority="875" stopIfTrue="1">
      <formula>$A669="file"</formula>
    </cfRule>
  </conditionalFormatting>
  <conditionalFormatting sqref="B669:E671">
    <cfRule type="expression" dxfId="34" priority="876" stopIfTrue="1">
      <formula>$A669="enumerator"</formula>
    </cfRule>
  </conditionalFormatting>
  <conditionalFormatting sqref="B669:E671">
    <cfRule type="expression" dxfId="35" priority="877" stopIfTrue="1">
      <formula>OR(AND(LEFT($A669, 14)="sensor_stream ", LEN($A669)&gt;14, NOT(ISNUMBER(SEARCH(" ", $A669, 15)))), AND(LEFT($A669, 17)="sensor_statistic ", LEN($A669)&gt;17, NOT(ISNUMBER(SEARCH(" ", $A669, 18)))))</formula>
    </cfRule>
  </conditionalFormatting>
  <conditionalFormatting sqref="B669:E671">
    <cfRule type="expression" dxfId="14" priority="878" stopIfTrue="1">
      <formula>$A669="comments"</formula>
    </cfRule>
  </conditionalFormatting>
  <conditionalFormatting sqref="B669:E671">
    <cfRule type="expression" dxfId="15" priority="879" stopIfTrue="1">
      <formula>OR($A669="audio", $A669="video")</formula>
    </cfRule>
  </conditionalFormatting>
  <conditionalFormatting sqref="B669:E671">
    <cfRule type="expression" dxfId="16" priority="880" stopIfTrue="1">
      <formula>$A669="image"</formula>
    </cfRule>
  </conditionalFormatting>
  <conditionalFormatting sqref="B669:E671">
    <cfRule type="expression" dxfId="17" priority="881" stopIfTrue="1">
      <formula>OR($A669="date", $A669="datetime", $A669="time")</formula>
    </cfRule>
  </conditionalFormatting>
  <conditionalFormatting sqref="B669:E671">
    <cfRule type="expression" dxfId="18" priority="882" stopIfTrue="1">
      <formula>OR($A669="calculate", $A669="calculate_here")</formula>
    </cfRule>
  </conditionalFormatting>
  <conditionalFormatting sqref="B669:E671">
    <cfRule type="expression" dxfId="19" priority="883" stopIfTrue="1">
      <formula>$A669="note"</formula>
    </cfRule>
  </conditionalFormatting>
  <conditionalFormatting sqref="B669:E671">
    <cfRule type="expression" dxfId="20" priority="884" stopIfTrue="1">
      <formula>$A669="barcode"</formula>
    </cfRule>
  </conditionalFormatting>
  <conditionalFormatting sqref="B669:E671">
    <cfRule type="expression" dxfId="21" priority="885" stopIfTrue="1">
      <formula>OR($A669="geopoint", $A669="geoshape", $A669="geotrace")</formula>
    </cfRule>
  </conditionalFormatting>
  <conditionalFormatting sqref="B669:E671">
    <cfRule type="expression" dxfId="22" priority="886" stopIfTrue="1">
      <formula>OR($A669="audio audit", $A669="text audit", $A669="speed violations count", $A669="speed violations list", $A669="speed violations audit")</formula>
    </cfRule>
  </conditionalFormatting>
  <conditionalFormatting sqref="B669:E671">
    <cfRule type="expression" dxfId="23" priority="887" stopIfTrue="1">
      <formula>OR($A669="username", $A669="phonenumber", $A669="start", $A669="end", $A669="deviceid", $A669="subscriberid", $A669="simserial", $A669="caseid")</formula>
    </cfRule>
  </conditionalFormatting>
  <conditionalFormatting sqref="B669:E671">
    <cfRule type="expression" dxfId="24" priority="888" stopIfTrue="1">
      <formula>OR(AND(LEFT($A669, 16)="select_multiple ", LEN($A669)&gt;16, NOT(ISNUMBER(SEARCH(" ", $A669, 17)))), AND(LEFT($A669, 11)="select_one ", LEN($A669)&gt;11, NOT(ISNUMBER(SEARCH(" ", $A669, 12)))))</formula>
    </cfRule>
  </conditionalFormatting>
  <conditionalFormatting sqref="B669:E671">
    <cfRule type="expression" dxfId="25" priority="889" stopIfTrue="1">
      <formula>$A669="decimal"</formula>
    </cfRule>
  </conditionalFormatting>
  <conditionalFormatting sqref="B669:E671">
    <cfRule type="expression" dxfId="26" priority="890" stopIfTrue="1">
      <formula>$A669="integer"</formula>
    </cfRule>
  </conditionalFormatting>
  <conditionalFormatting sqref="B669:E671">
    <cfRule type="expression" dxfId="27" priority="891" stopIfTrue="1">
      <formula>$A669="text"</formula>
    </cfRule>
  </conditionalFormatting>
  <conditionalFormatting sqref="B669:E671">
    <cfRule type="expression" dxfId="28" priority="892" stopIfTrue="1">
      <formula>$A669="end repeat"</formula>
    </cfRule>
  </conditionalFormatting>
  <conditionalFormatting sqref="B669:E671">
    <cfRule type="expression" dxfId="28" priority="893" stopIfTrue="1">
      <formula>$A669="begin repeat"</formula>
    </cfRule>
  </conditionalFormatting>
  <conditionalFormatting sqref="B669:E671">
    <cfRule type="expression" dxfId="29" priority="894" stopIfTrue="1">
      <formula>$A669="end group"</formula>
    </cfRule>
  </conditionalFormatting>
  <conditionalFormatting sqref="B669:E671">
    <cfRule type="expression" dxfId="29" priority="895" stopIfTrue="1">
      <formula>$A669="begin group"</formula>
    </cfRule>
  </conditionalFormatting>
  <conditionalFormatting sqref="B669:B671">
    <cfRule type="expression" dxfId="30" priority="896" stopIfTrue="1">
      <formula>$A669="comments"</formula>
    </cfRule>
  </conditionalFormatting>
  <conditionalFormatting sqref="B669:B671">
    <cfRule type="expression" dxfId="36" priority="897" stopIfTrue="1">
      <formula>OR(AND(LEFT($A669, 14)="sensor_stream ", LEN($A669)&gt;14, NOT(ISNUMBER(SEARCH(" ", $A669, 15)))), AND(LEFT($A669, 17)="sensor_statistic ", LEN($A669)&gt;17, NOT(ISNUMBER(SEARCH(" ", $A669, 18)))))</formula>
    </cfRule>
  </conditionalFormatting>
  <conditionalFormatting sqref="B660:C665 D660:E665">
    <cfRule type="expression" dxfId="0" priority="898" stopIfTrue="1">
      <formula>$A660="begin group"</formula>
    </cfRule>
  </conditionalFormatting>
  <conditionalFormatting sqref="B660:C665 D660:E665">
    <cfRule type="expression" dxfId="1" priority="899" stopIfTrue="1">
      <formula>$A660="begin repeat"</formula>
    </cfRule>
  </conditionalFormatting>
  <conditionalFormatting sqref="B660:E665">
    <cfRule type="expression" dxfId="31" priority="900" stopIfTrue="1">
      <formula>$A660="enumerator"</formula>
    </cfRule>
  </conditionalFormatting>
  <conditionalFormatting sqref="B660:E665">
    <cfRule type="expression" dxfId="2" priority="901" stopIfTrue="1">
      <formula>$A660="text"</formula>
    </cfRule>
  </conditionalFormatting>
  <conditionalFormatting sqref="B660:E665">
    <cfRule type="expression" dxfId="3" priority="902" stopIfTrue="1">
      <formula>$A660="integer"</formula>
    </cfRule>
  </conditionalFormatting>
  <conditionalFormatting sqref="B660:E665">
    <cfRule type="expression" dxfId="4" priority="903" stopIfTrue="1">
      <formula>$A660="decimal"</formula>
    </cfRule>
  </conditionalFormatting>
  <conditionalFormatting sqref="B660:C665 D660:E665">
    <cfRule type="expression" dxfId="5" priority="904" stopIfTrue="1">
      <formula>OR(AND(LEFT($A660, 16)="select_multiple ", LEN($A660)&gt;16, NOT(ISNUMBER(SEARCH(" ", $A660, 17)))), AND(LEFT($A660, 11)="select_one ", LEN($A660)&gt;11, NOT(ISNUMBER(SEARCH(" ", $A660, 12)))))</formula>
    </cfRule>
  </conditionalFormatting>
  <conditionalFormatting sqref="B660:B665">
    <cfRule type="expression" dxfId="6" priority="905" stopIfTrue="1">
      <formula>OR($A660="audio audit", $A660="text audit", $A660="speed violations count", $A660="speed violations list", $A660="speed violations audit")</formula>
    </cfRule>
  </conditionalFormatting>
  <conditionalFormatting sqref="B660:C665 D660:E665">
    <cfRule type="expression" dxfId="32" priority="906" stopIfTrue="1">
      <formula>$A660="file"</formula>
    </cfRule>
  </conditionalFormatting>
  <conditionalFormatting sqref="B660:C665 D660:E665">
    <cfRule type="expression" dxfId="7" priority="907" stopIfTrue="1">
      <formula>$A660="note"</formula>
    </cfRule>
  </conditionalFormatting>
  <conditionalFormatting sqref="B660:C665 D660:E665">
    <cfRule type="expression" dxfId="8" priority="908" stopIfTrue="1">
      <formula>$A660="barcode"</formula>
    </cfRule>
  </conditionalFormatting>
  <conditionalFormatting sqref="B660:C665 D660:E665">
    <cfRule type="expression" dxfId="9" priority="909" stopIfTrue="1">
      <formula>OR($A660="geopoint", $A660="geoshape", $A660="geotrace")</formula>
    </cfRule>
  </conditionalFormatting>
  <conditionalFormatting sqref="B660:B665">
    <cfRule type="expression" dxfId="10" priority="910" stopIfTrue="1">
      <formula>OR($A660="calculate", $A660="calculate_here")</formula>
    </cfRule>
  </conditionalFormatting>
  <conditionalFormatting sqref="B660:C665 D660:E665">
    <cfRule type="expression" dxfId="11" priority="911" stopIfTrue="1">
      <formula>OR($A660="date", $A660="datetime", $A660="time")</formula>
    </cfRule>
  </conditionalFormatting>
  <conditionalFormatting sqref="B660:C665 D660:E665">
    <cfRule type="expression" dxfId="12" priority="912" stopIfTrue="1">
      <formula>$A660="image"</formula>
    </cfRule>
  </conditionalFormatting>
  <conditionalFormatting sqref="B660:C665 D660:E665">
    <cfRule type="expression" dxfId="13" priority="913" stopIfTrue="1">
      <formula>OR($A660="audio", $A660="video")</formula>
    </cfRule>
  </conditionalFormatting>
  <conditionalFormatting sqref="B660:E665">
    <cfRule type="expression" dxfId="33" priority="914" stopIfTrue="1">
      <formula>$A660="file"</formula>
    </cfRule>
  </conditionalFormatting>
  <conditionalFormatting sqref="B660:E665">
    <cfRule type="expression" dxfId="34" priority="915" stopIfTrue="1">
      <formula>$A660="enumerator"</formula>
    </cfRule>
  </conditionalFormatting>
  <conditionalFormatting sqref="B660:E665">
    <cfRule type="expression" dxfId="35" priority="916" stopIfTrue="1">
      <formula>OR(AND(LEFT($A660, 14)="sensor_stream ", LEN($A660)&gt;14, NOT(ISNUMBER(SEARCH(" ", $A660, 15)))), AND(LEFT($A660, 17)="sensor_statistic ", LEN($A660)&gt;17, NOT(ISNUMBER(SEARCH(" ", $A660, 18)))))</formula>
    </cfRule>
  </conditionalFormatting>
  <conditionalFormatting sqref="B660:E665">
    <cfRule type="expression" dxfId="14" priority="917" stopIfTrue="1">
      <formula>$A660="comments"</formula>
    </cfRule>
  </conditionalFormatting>
  <conditionalFormatting sqref="B660:E665">
    <cfRule type="expression" dxfId="15" priority="918" stopIfTrue="1">
      <formula>OR($A660="audio", $A660="video")</formula>
    </cfRule>
  </conditionalFormatting>
  <conditionalFormatting sqref="B660:E665">
    <cfRule type="expression" dxfId="16" priority="919" stopIfTrue="1">
      <formula>$A660="image"</formula>
    </cfRule>
  </conditionalFormatting>
  <conditionalFormatting sqref="B660:E665">
    <cfRule type="expression" dxfId="17" priority="920" stopIfTrue="1">
      <formula>OR($A660="date", $A660="datetime", $A660="time")</formula>
    </cfRule>
  </conditionalFormatting>
  <conditionalFormatting sqref="B660:E665">
    <cfRule type="expression" dxfId="18" priority="921" stopIfTrue="1">
      <formula>OR($A660="calculate", $A660="calculate_here")</formula>
    </cfRule>
  </conditionalFormatting>
  <conditionalFormatting sqref="B660:E665">
    <cfRule type="expression" dxfId="19" priority="922" stopIfTrue="1">
      <formula>$A660="note"</formula>
    </cfRule>
  </conditionalFormatting>
  <conditionalFormatting sqref="B660:E665">
    <cfRule type="expression" dxfId="20" priority="923" stopIfTrue="1">
      <formula>$A660="barcode"</formula>
    </cfRule>
  </conditionalFormatting>
  <conditionalFormatting sqref="B660:E665">
    <cfRule type="expression" dxfId="21" priority="924" stopIfTrue="1">
      <formula>OR($A660="geopoint", $A660="geoshape", $A660="geotrace")</formula>
    </cfRule>
  </conditionalFormatting>
  <conditionalFormatting sqref="B660:E665">
    <cfRule type="expression" dxfId="22" priority="925" stopIfTrue="1">
      <formula>OR($A660="audio audit", $A660="text audit", $A660="speed violations count", $A660="speed violations list", $A660="speed violations audit")</formula>
    </cfRule>
  </conditionalFormatting>
  <conditionalFormatting sqref="B660:E665">
    <cfRule type="expression" dxfId="23" priority="926" stopIfTrue="1">
      <formula>OR($A660="username", $A660="phonenumber", $A660="start", $A660="end", $A660="deviceid", $A660="subscriberid", $A660="simserial", $A660="caseid")</formula>
    </cfRule>
  </conditionalFormatting>
  <conditionalFormatting sqref="B660:E665">
    <cfRule type="expression" dxfId="24" priority="927" stopIfTrue="1">
      <formula>OR(AND(LEFT($A660, 16)="select_multiple ", LEN($A660)&gt;16, NOT(ISNUMBER(SEARCH(" ", $A660, 17)))), AND(LEFT($A660, 11)="select_one ", LEN($A660)&gt;11, NOT(ISNUMBER(SEARCH(" ", $A660, 12)))))</formula>
    </cfRule>
  </conditionalFormatting>
  <conditionalFormatting sqref="B660:E665">
    <cfRule type="expression" dxfId="25" priority="928" stopIfTrue="1">
      <formula>$A660="decimal"</formula>
    </cfRule>
  </conditionalFormatting>
  <conditionalFormatting sqref="B660:E665">
    <cfRule type="expression" dxfId="26" priority="929" stopIfTrue="1">
      <formula>$A660="integer"</formula>
    </cfRule>
  </conditionalFormatting>
  <conditionalFormatting sqref="B660:E665">
    <cfRule type="expression" dxfId="27" priority="930" stopIfTrue="1">
      <formula>$A660="text"</formula>
    </cfRule>
  </conditionalFormatting>
  <conditionalFormatting sqref="B660:E665">
    <cfRule type="expression" dxfId="28" priority="931" stopIfTrue="1">
      <formula>$A660="end repeat"</formula>
    </cfRule>
  </conditionalFormatting>
  <conditionalFormatting sqref="B660:E665">
    <cfRule type="expression" dxfId="28" priority="932" stopIfTrue="1">
      <formula>$A660="begin repeat"</formula>
    </cfRule>
  </conditionalFormatting>
  <conditionalFormatting sqref="B660:E665">
    <cfRule type="expression" dxfId="29" priority="933" stopIfTrue="1">
      <formula>$A660="end group"</formula>
    </cfRule>
  </conditionalFormatting>
  <conditionalFormatting sqref="B660:E665">
    <cfRule type="expression" dxfId="29" priority="934" stopIfTrue="1">
      <formula>$A660="begin group"</formula>
    </cfRule>
  </conditionalFormatting>
  <conditionalFormatting sqref="B660:B665">
    <cfRule type="expression" dxfId="30" priority="935" stopIfTrue="1">
      <formula>$A660="comments"</formula>
    </cfRule>
  </conditionalFormatting>
  <conditionalFormatting sqref="B660:B665">
    <cfRule type="expression" dxfId="36" priority="936" stopIfTrue="1">
      <formula>OR(AND(LEFT($A660, 14)="sensor_stream ", LEN($A660)&gt;14, NOT(ISNUMBER(SEARCH(" ", $A660, 15)))), AND(LEFT($A660, 17)="sensor_statistic ", LEN($A660)&gt;17, NOT(ISNUMBER(SEARCH(" ", $A660, 18)))))</formula>
    </cfRule>
  </conditionalFormatting>
  <conditionalFormatting sqref="B653:C658 D653:E658">
    <cfRule type="expression" dxfId="0" priority="937" stopIfTrue="1">
      <formula>$A653="begin group"</formula>
    </cfRule>
  </conditionalFormatting>
  <conditionalFormatting sqref="B653:C658 D653:E658">
    <cfRule type="expression" dxfId="1" priority="938" stopIfTrue="1">
      <formula>$A653="begin repeat"</formula>
    </cfRule>
  </conditionalFormatting>
  <conditionalFormatting sqref="B653:E658">
    <cfRule type="expression" dxfId="31" priority="939" stopIfTrue="1">
      <formula>$A653="enumerator"</formula>
    </cfRule>
  </conditionalFormatting>
  <conditionalFormatting sqref="B653:E658">
    <cfRule type="expression" dxfId="2" priority="940" stopIfTrue="1">
      <formula>$A653="text"</formula>
    </cfRule>
  </conditionalFormatting>
  <conditionalFormatting sqref="B653:E658">
    <cfRule type="expression" dxfId="3" priority="941" stopIfTrue="1">
      <formula>$A653="integer"</formula>
    </cfRule>
  </conditionalFormatting>
  <conditionalFormatting sqref="B653:E658">
    <cfRule type="expression" dxfId="4" priority="942" stopIfTrue="1">
      <formula>$A653="decimal"</formula>
    </cfRule>
  </conditionalFormatting>
  <conditionalFormatting sqref="B653:C658 D653:E658">
    <cfRule type="expression" dxfId="5" priority="943" stopIfTrue="1">
      <formula>OR(AND(LEFT($A653, 16)="select_multiple ", LEN($A653)&gt;16, NOT(ISNUMBER(SEARCH(" ", $A653, 17)))), AND(LEFT($A653, 11)="select_one ", LEN($A653)&gt;11, NOT(ISNUMBER(SEARCH(" ", $A653, 12)))))</formula>
    </cfRule>
  </conditionalFormatting>
  <conditionalFormatting sqref="B653:B658">
    <cfRule type="expression" dxfId="6" priority="944" stopIfTrue="1">
      <formula>OR($A653="audio audit", $A653="text audit", $A653="speed violations count", $A653="speed violations list", $A653="speed violations audit")</formula>
    </cfRule>
  </conditionalFormatting>
  <conditionalFormatting sqref="B653:C658 D653:E658">
    <cfRule type="expression" dxfId="32" priority="945" stopIfTrue="1">
      <formula>$A653="file"</formula>
    </cfRule>
  </conditionalFormatting>
  <conditionalFormatting sqref="B653:C658 D653:E658">
    <cfRule type="expression" dxfId="7" priority="946" stopIfTrue="1">
      <formula>$A653="note"</formula>
    </cfRule>
  </conditionalFormatting>
  <conditionalFormatting sqref="B653:C658 D653:E658">
    <cfRule type="expression" dxfId="8" priority="947" stopIfTrue="1">
      <formula>$A653="barcode"</formula>
    </cfRule>
  </conditionalFormatting>
  <conditionalFormatting sqref="B653:C658 D653:E658">
    <cfRule type="expression" dxfId="9" priority="948" stopIfTrue="1">
      <formula>OR($A653="geopoint", $A653="geoshape", $A653="geotrace")</formula>
    </cfRule>
  </conditionalFormatting>
  <conditionalFormatting sqref="B653:B658">
    <cfRule type="expression" dxfId="10" priority="949" stopIfTrue="1">
      <formula>OR($A653="calculate", $A653="calculate_here")</formula>
    </cfRule>
  </conditionalFormatting>
  <conditionalFormatting sqref="B653:C658 D653:E658">
    <cfRule type="expression" dxfId="11" priority="950" stopIfTrue="1">
      <formula>OR($A653="date", $A653="datetime", $A653="time")</formula>
    </cfRule>
  </conditionalFormatting>
  <conditionalFormatting sqref="B653:C658 D653:E658">
    <cfRule type="expression" dxfId="12" priority="951" stopIfTrue="1">
      <formula>$A653="image"</formula>
    </cfRule>
  </conditionalFormatting>
  <conditionalFormatting sqref="B653:C658 D653:E658">
    <cfRule type="expression" dxfId="13" priority="952" stopIfTrue="1">
      <formula>OR($A653="audio", $A653="video")</formula>
    </cfRule>
  </conditionalFormatting>
  <conditionalFormatting sqref="B653:E658">
    <cfRule type="expression" dxfId="33" priority="953" stopIfTrue="1">
      <formula>$A653="file"</formula>
    </cfRule>
  </conditionalFormatting>
  <conditionalFormatting sqref="B653:E658">
    <cfRule type="expression" dxfId="34" priority="954" stopIfTrue="1">
      <formula>$A653="enumerator"</formula>
    </cfRule>
  </conditionalFormatting>
  <conditionalFormatting sqref="B653:E658">
    <cfRule type="expression" dxfId="35" priority="955" stopIfTrue="1">
      <formula>OR(AND(LEFT($A653, 14)="sensor_stream ", LEN($A653)&gt;14, NOT(ISNUMBER(SEARCH(" ", $A653, 15)))), AND(LEFT($A653, 17)="sensor_statistic ", LEN($A653)&gt;17, NOT(ISNUMBER(SEARCH(" ", $A653, 18)))))</formula>
    </cfRule>
  </conditionalFormatting>
  <conditionalFormatting sqref="B653:E658">
    <cfRule type="expression" dxfId="14" priority="956" stopIfTrue="1">
      <formula>$A653="comments"</formula>
    </cfRule>
  </conditionalFormatting>
  <conditionalFormatting sqref="B653:E658">
    <cfRule type="expression" dxfId="15" priority="957" stopIfTrue="1">
      <formula>OR($A653="audio", $A653="video")</formula>
    </cfRule>
  </conditionalFormatting>
  <conditionalFormatting sqref="B653:E658">
    <cfRule type="expression" dxfId="16" priority="958" stopIfTrue="1">
      <formula>$A653="image"</formula>
    </cfRule>
  </conditionalFormatting>
  <conditionalFormatting sqref="B653:E658">
    <cfRule type="expression" dxfId="17" priority="959" stopIfTrue="1">
      <formula>OR($A653="date", $A653="datetime", $A653="time")</formula>
    </cfRule>
  </conditionalFormatting>
  <conditionalFormatting sqref="B653:E658">
    <cfRule type="expression" dxfId="18" priority="960" stopIfTrue="1">
      <formula>OR($A653="calculate", $A653="calculate_here")</formula>
    </cfRule>
  </conditionalFormatting>
  <conditionalFormatting sqref="B653:E658">
    <cfRule type="expression" dxfId="19" priority="961" stopIfTrue="1">
      <formula>$A653="note"</formula>
    </cfRule>
  </conditionalFormatting>
  <conditionalFormatting sqref="B653:E658">
    <cfRule type="expression" dxfId="20" priority="962" stopIfTrue="1">
      <formula>$A653="barcode"</formula>
    </cfRule>
  </conditionalFormatting>
  <conditionalFormatting sqref="B653:E658">
    <cfRule type="expression" dxfId="21" priority="963" stopIfTrue="1">
      <formula>OR($A653="geopoint", $A653="geoshape", $A653="geotrace")</formula>
    </cfRule>
  </conditionalFormatting>
  <conditionalFormatting sqref="B653:E658">
    <cfRule type="expression" dxfId="22" priority="964" stopIfTrue="1">
      <formula>OR($A653="audio audit", $A653="text audit", $A653="speed violations count", $A653="speed violations list", $A653="speed violations audit")</formula>
    </cfRule>
  </conditionalFormatting>
  <conditionalFormatting sqref="B653:E658">
    <cfRule type="expression" dxfId="23" priority="965" stopIfTrue="1">
      <formula>OR($A653="username", $A653="phonenumber", $A653="start", $A653="end", $A653="deviceid", $A653="subscriberid", $A653="simserial", $A653="caseid")</formula>
    </cfRule>
  </conditionalFormatting>
  <conditionalFormatting sqref="B653:E658">
    <cfRule type="expression" dxfId="24" priority="966" stopIfTrue="1">
      <formula>OR(AND(LEFT($A653, 16)="select_multiple ", LEN($A653)&gt;16, NOT(ISNUMBER(SEARCH(" ", $A653, 17)))), AND(LEFT($A653, 11)="select_one ", LEN($A653)&gt;11, NOT(ISNUMBER(SEARCH(" ", $A653, 12)))))</formula>
    </cfRule>
  </conditionalFormatting>
  <conditionalFormatting sqref="B653:E658">
    <cfRule type="expression" dxfId="25" priority="967" stopIfTrue="1">
      <formula>$A653="decimal"</formula>
    </cfRule>
  </conditionalFormatting>
  <conditionalFormatting sqref="B653:E658">
    <cfRule type="expression" dxfId="26" priority="968" stopIfTrue="1">
      <formula>$A653="integer"</formula>
    </cfRule>
  </conditionalFormatting>
  <conditionalFormatting sqref="B653:E658">
    <cfRule type="expression" dxfId="27" priority="969" stopIfTrue="1">
      <formula>$A653="text"</formula>
    </cfRule>
  </conditionalFormatting>
  <conditionalFormatting sqref="B653:E658">
    <cfRule type="expression" dxfId="28" priority="970" stopIfTrue="1">
      <formula>$A653="end repeat"</formula>
    </cfRule>
  </conditionalFormatting>
  <conditionalFormatting sqref="B653:E658">
    <cfRule type="expression" dxfId="28" priority="971" stopIfTrue="1">
      <formula>$A653="begin repeat"</formula>
    </cfRule>
  </conditionalFormatting>
  <conditionalFormatting sqref="B653:E658">
    <cfRule type="expression" dxfId="29" priority="972" stopIfTrue="1">
      <formula>$A653="end group"</formula>
    </cfRule>
  </conditionalFormatting>
  <conditionalFormatting sqref="B653:E658">
    <cfRule type="expression" dxfId="29" priority="973" stopIfTrue="1">
      <formula>$A653="begin group"</formula>
    </cfRule>
  </conditionalFormatting>
  <conditionalFormatting sqref="B653:B658">
    <cfRule type="expression" dxfId="30" priority="974" stopIfTrue="1">
      <formula>$A653="comments"</formula>
    </cfRule>
  </conditionalFormatting>
  <conditionalFormatting sqref="B653:B658">
    <cfRule type="expression" dxfId="36" priority="975" stopIfTrue="1">
      <formula>OR(AND(LEFT($A653, 14)="sensor_stream ", LEN($A653)&gt;14, NOT(ISNUMBER(SEARCH(" ", $A653, 15)))), AND(LEFT($A653, 17)="sensor_statistic ", LEN($A653)&gt;17, NOT(ISNUMBER(SEARCH(" ", $A653, 18)))))</formula>
    </cfRule>
  </conditionalFormatting>
  <conditionalFormatting sqref="B613:C647 D613:E647">
    <cfRule type="expression" dxfId="0" priority="976" stopIfTrue="1">
      <formula>$A613="begin group"</formula>
    </cfRule>
  </conditionalFormatting>
  <conditionalFormatting sqref="B613:C647 D613:E647">
    <cfRule type="expression" dxfId="1" priority="977" stopIfTrue="1">
      <formula>$A613="begin repeat"</formula>
    </cfRule>
  </conditionalFormatting>
  <conditionalFormatting sqref="B613:E647">
    <cfRule type="expression" dxfId="31" priority="978" stopIfTrue="1">
      <formula>$A613="enumerator"</formula>
    </cfRule>
  </conditionalFormatting>
  <conditionalFormatting sqref="B613:E647">
    <cfRule type="expression" dxfId="2" priority="979" stopIfTrue="1">
      <formula>$A613="text"</formula>
    </cfRule>
  </conditionalFormatting>
  <conditionalFormatting sqref="B613:E647">
    <cfRule type="expression" dxfId="3" priority="980" stopIfTrue="1">
      <formula>$A613="integer"</formula>
    </cfRule>
  </conditionalFormatting>
  <conditionalFormatting sqref="B613:E647">
    <cfRule type="expression" dxfId="4" priority="981" stopIfTrue="1">
      <formula>$A613="decimal"</formula>
    </cfRule>
  </conditionalFormatting>
  <conditionalFormatting sqref="B613:C647 D613:E647">
    <cfRule type="expression" dxfId="5" priority="982" stopIfTrue="1">
      <formula>OR(AND(LEFT($A613, 16)="select_multiple ", LEN($A613)&gt;16, NOT(ISNUMBER(SEARCH(" ", $A613, 17)))), AND(LEFT($A613, 11)="select_one ", LEN($A613)&gt;11, NOT(ISNUMBER(SEARCH(" ", $A613, 12)))))</formula>
    </cfRule>
  </conditionalFormatting>
  <conditionalFormatting sqref="B613:B647">
    <cfRule type="expression" dxfId="6" priority="983" stopIfTrue="1">
      <formula>OR($A613="audio audit", $A613="text audit", $A613="speed violations count", $A613="speed violations list", $A613="speed violations audit")</formula>
    </cfRule>
  </conditionalFormatting>
  <conditionalFormatting sqref="B613:C647 D613:E647">
    <cfRule type="expression" dxfId="32" priority="984" stopIfTrue="1">
      <formula>$A613="file"</formula>
    </cfRule>
  </conditionalFormatting>
  <conditionalFormatting sqref="B613:C647 D613:E647">
    <cfRule type="expression" dxfId="7" priority="985" stopIfTrue="1">
      <formula>$A613="note"</formula>
    </cfRule>
  </conditionalFormatting>
  <conditionalFormatting sqref="B613:C647 D613:E647">
    <cfRule type="expression" dxfId="8" priority="986" stopIfTrue="1">
      <formula>$A613="barcode"</formula>
    </cfRule>
  </conditionalFormatting>
  <conditionalFormatting sqref="B613:C647 D613:E647">
    <cfRule type="expression" dxfId="9" priority="987" stopIfTrue="1">
      <formula>OR($A613="geopoint", $A613="geoshape", $A613="geotrace")</formula>
    </cfRule>
  </conditionalFormatting>
  <conditionalFormatting sqref="B613:B647">
    <cfRule type="expression" dxfId="10" priority="988" stopIfTrue="1">
      <formula>OR($A613="calculate", $A613="calculate_here")</formula>
    </cfRule>
  </conditionalFormatting>
  <conditionalFormatting sqref="B613:C647 D613:E647">
    <cfRule type="expression" dxfId="11" priority="989" stopIfTrue="1">
      <formula>OR($A613="date", $A613="datetime", $A613="time")</formula>
    </cfRule>
  </conditionalFormatting>
  <conditionalFormatting sqref="B613:C647 D613:E647">
    <cfRule type="expression" dxfId="12" priority="990" stopIfTrue="1">
      <formula>$A613="image"</formula>
    </cfRule>
  </conditionalFormatting>
  <conditionalFormatting sqref="B613:C647 D613:E647">
    <cfRule type="expression" dxfId="13" priority="991" stopIfTrue="1">
      <formula>OR($A613="audio", $A613="video")</formula>
    </cfRule>
  </conditionalFormatting>
  <conditionalFormatting sqref="B613:E647">
    <cfRule type="expression" dxfId="33" priority="992" stopIfTrue="1">
      <formula>$A613="file"</formula>
    </cfRule>
  </conditionalFormatting>
  <conditionalFormatting sqref="B613:E647">
    <cfRule type="expression" dxfId="34" priority="993" stopIfTrue="1">
      <formula>$A613="enumerator"</formula>
    </cfRule>
  </conditionalFormatting>
  <conditionalFormatting sqref="B613:E647">
    <cfRule type="expression" dxfId="35" priority="994" stopIfTrue="1">
      <formula>OR(AND(LEFT($A613, 14)="sensor_stream ", LEN($A613)&gt;14, NOT(ISNUMBER(SEARCH(" ", $A613, 15)))), AND(LEFT($A613, 17)="sensor_statistic ", LEN($A613)&gt;17, NOT(ISNUMBER(SEARCH(" ", $A613, 18)))))</formula>
    </cfRule>
  </conditionalFormatting>
  <conditionalFormatting sqref="B613:E647">
    <cfRule type="expression" dxfId="14" priority="995" stopIfTrue="1">
      <formula>$A613="comments"</formula>
    </cfRule>
  </conditionalFormatting>
  <conditionalFormatting sqref="B613:E647">
    <cfRule type="expression" dxfId="15" priority="996" stopIfTrue="1">
      <formula>OR($A613="audio", $A613="video")</formula>
    </cfRule>
  </conditionalFormatting>
  <conditionalFormatting sqref="B613:E647">
    <cfRule type="expression" dxfId="16" priority="997" stopIfTrue="1">
      <formula>$A613="image"</formula>
    </cfRule>
  </conditionalFormatting>
  <conditionalFormatting sqref="B613:E647">
    <cfRule type="expression" dxfId="17" priority="998" stopIfTrue="1">
      <formula>OR($A613="date", $A613="datetime", $A613="time")</formula>
    </cfRule>
  </conditionalFormatting>
  <conditionalFormatting sqref="B613:E647">
    <cfRule type="expression" dxfId="18" priority="999" stopIfTrue="1">
      <formula>OR($A613="calculate", $A613="calculate_here")</formula>
    </cfRule>
  </conditionalFormatting>
  <conditionalFormatting sqref="B613:E647">
    <cfRule type="expression" dxfId="19" priority="1000" stopIfTrue="1">
      <formula>$A613="note"</formula>
    </cfRule>
  </conditionalFormatting>
  <conditionalFormatting sqref="B613:E647">
    <cfRule type="expression" dxfId="20" priority="1001" stopIfTrue="1">
      <formula>$A613="barcode"</formula>
    </cfRule>
  </conditionalFormatting>
  <conditionalFormatting sqref="B613:E647">
    <cfRule type="expression" dxfId="21" priority="1002" stopIfTrue="1">
      <formula>OR($A613="geopoint", $A613="geoshape", $A613="geotrace")</formula>
    </cfRule>
  </conditionalFormatting>
  <conditionalFormatting sqref="B613:E647">
    <cfRule type="expression" dxfId="22" priority="1003" stopIfTrue="1">
      <formula>OR($A613="audio audit", $A613="text audit", $A613="speed violations count", $A613="speed violations list", $A613="speed violations audit")</formula>
    </cfRule>
  </conditionalFormatting>
  <conditionalFormatting sqref="B613:E647">
    <cfRule type="expression" dxfId="23" priority="1004" stopIfTrue="1">
      <formula>OR($A613="username", $A613="phonenumber", $A613="start", $A613="end", $A613="deviceid", $A613="subscriberid", $A613="simserial", $A613="caseid")</formula>
    </cfRule>
  </conditionalFormatting>
  <conditionalFormatting sqref="B613:E647">
    <cfRule type="expression" dxfId="24" priority="1005" stopIfTrue="1">
      <formula>OR(AND(LEFT($A613, 16)="select_multiple ", LEN($A613)&gt;16, NOT(ISNUMBER(SEARCH(" ", $A613, 17)))), AND(LEFT($A613, 11)="select_one ", LEN($A613)&gt;11, NOT(ISNUMBER(SEARCH(" ", $A613, 12)))))</formula>
    </cfRule>
  </conditionalFormatting>
  <conditionalFormatting sqref="B613:E647">
    <cfRule type="expression" dxfId="25" priority="1006" stopIfTrue="1">
      <formula>$A613="decimal"</formula>
    </cfRule>
  </conditionalFormatting>
  <conditionalFormatting sqref="B613:E647">
    <cfRule type="expression" dxfId="26" priority="1007" stopIfTrue="1">
      <formula>$A613="integer"</formula>
    </cfRule>
  </conditionalFormatting>
  <conditionalFormatting sqref="B613:E647">
    <cfRule type="expression" dxfId="27" priority="1008" stopIfTrue="1">
      <formula>$A613="text"</formula>
    </cfRule>
  </conditionalFormatting>
  <conditionalFormatting sqref="B613:E647">
    <cfRule type="expression" dxfId="28" priority="1009" stopIfTrue="1">
      <formula>$A613="end repeat"</formula>
    </cfRule>
  </conditionalFormatting>
  <conditionalFormatting sqref="B613:E647">
    <cfRule type="expression" dxfId="28" priority="1010" stopIfTrue="1">
      <formula>$A613="begin repeat"</formula>
    </cfRule>
  </conditionalFormatting>
  <conditionalFormatting sqref="B613:E647">
    <cfRule type="expression" dxfId="29" priority="1011" stopIfTrue="1">
      <formula>$A613="end group"</formula>
    </cfRule>
  </conditionalFormatting>
  <conditionalFormatting sqref="B613:E647">
    <cfRule type="expression" dxfId="29" priority="1012" stopIfTrue="1">
      <formula>$A613="begin group"</formula>
    </cfRule>
  </conditionalFormatting>
  <conditionalFormatting sqref="B613:B647">
    <cfRule type="expression" dxfId="30" priority="1013" stopIfTrue="1">
      <formula>$A613="comments"</formula>
    </cfRule>
  </conditionalFormatting>
  <conditionalFormatting sqref="B613:B647">
    <cfRule type="expression" dxfId="36" priority="1014" stopIfTrue="1">
      <formula>OR(AND(LEFT($A613, 14)="sensor_stream ", LEN($A613)&gt;14, NOT(ISNUMBER(SEARCH(" ", $A613, 15)))), AND(LEFT($A613, 17)="sensor_statistic ", LEN($A613)&gt;17, NOT(ISNUMBER(SEARCH(" ", $A613, 18)))))</formula>
    </cfRule>
  </conditionalFormatting>
  <conditionalFormatting sqref="B604:C606 D604:E606">
    <cfRule type="expression" dxfId="0" priority="1015" stopIfTrue="1">
      <formula>$A604="begin group"</formula>
    </cfRule>
  </conditionalFormatting>
  <conditionalFormatting sqref="B604:C606 D604:E606">
    <cfRule type="expression" dxfId="1" priority="1016" stopIfTrue="1">
      <formula>$A604="begin repeat"</formula>
    </cfRule>
  </conditionalFormatting>
  <conditionalFormatting sqref="B604:E606">
    <cfRule type="expression" dxfId="31" priority="1017" stopIfTrue="1">
      <formula>$A604="enumerator"</formula>
    </cfRule>
  </conditionalFormatting>
  <conditionalFormatting sqref="B604:E606">
    <cfRule type="expression" dxfId="2" priority="1018" stopIfTrue="1">
      <formula>$A604="text"</formula>
    </cfRule>
  </conditionalFormatting>
  <conditionalFormatting sqref="B604:E606">
    <cfRule type="expression" dxfId="3" priority="1019" stopIfTrue="1">
      <formula>$A604="integer"</formula>
    </cfRule>
  </conditionalFormatting>
  <conditionalFormatting sqref="B604:E606">
    <cfRule type="expression" dxfId="4" priority="1020" stopIfTrue="1">
      <formula>$A604="decimal"</formula>
    </cfRule>
  </conditionalFormatting>
  <conditionalFormatting sqref="B604:C606 D604:E606">
    <cfRule type="expression" dxfId="5" priority="1021" stopIfTrue="1">
      <formula>OR(AND(LEFT($A604, 16)="select_multiple ", LEN($A604)&gt;16, NOT(ISNUMBER(SEARCH(" ", $A604, 17)))), AND(LEFT($A604, 11)="select_one ", LEN($A604)&gt;11, NOT(ISNUMBER(SEARCH(" ", $A604, 12)))))</formula>
    </cfRule>
  </conditionalFormatting>
  <conditionalFormatting sqref="B604:B606">
    <cfRule type="expression" dxfId="6" priority="1022" stopIfTrue="1">
      <formula>OR($A604="audio audit", $A604="text audit", $A604="speed violations count", $A604="speed violations list", $A604="speed violations audit")</formula>
    </cfRule>
  </conditionalFormatting>
  <conditionalFormatting sqref="B604:C606 D604:E606">
    <cfRule type="expression" dxfId="32" priority="1023" stopIfTrue="1">
      <formula>$A604="file"</formula>
    </cfRule>
  </conditionalFormatting>
  <conditionalFormatting sqref="B604:C606 D604:E606">
    <cfRule type="expression" dxfId="7" priority="1024" stopIfTrue="1">
      <formula>$A604="note"</formula>
    </cfRule>
  </conditionalFormatting>
  <conditionalFormatting sqref="B604:C606 D604:E606">
    <cfRule type="expression" dxfId="8" priority="1025" stopIfTrue="1">
      <formula>$A604="barcode"</formula>
    </cfRule>
  </conditionalFormatting>
  <conditionalFormatting sqref="B604:C606 D604:E606">
    <cfRule type="expression" dxfId="9" priority="1026" stopIfTrue="1">
      <formula>OR($A604="geopoint", $A604="geoshape", $A604="geotrace")</formula>
    </cfRule>
  </conditionalFormatting>
  <conditionalFormatting sqref="B604:B606">
    <cfRule type="expression" dxfId="10" priority="1027" stopIfTrue="1">
      <formula>OR($A604="calculate", $A604="calculate_here")</formula>
    </cfRule>
  </conditionalFormatting>
  <conditionalFormatting sqref="B604:C606 D604:E606">
    <cfRule type="expression" dxfId="11" priority="1028" stopIfTrue="1">
      <formula>OR($A604="date", $A604="datetime", $A604="time")</formula>
    </cfRule>
  </conditionalFormatting>
  <conditionalFormatting sqref="B604:C606 D604:E606">
    <cfRule type="expression" dxfId="12" priority="1029" stopIfTrue="1">
      <formula>$A604="image"</formula>
    </cfRule>
  </conditionalFormatting>
  <conditionalFormatting sqref="B604:C606 D604:E606">
    <cfRule type="expression" dxfId="13" priority="1030" stopIfTrue="1">
      <formula>OR($A604="audio", $A604="video")</formula>
    </cfRule>
  </conditionalFormatting>
  <conditionalFormatting sqref="B604:E606">
    <cfRule type="expression" dxfId="33" priority="1031" stopIfTrue="1">
      <formula>$A604="file"</formula>
    </cfRule>
  </conditionalFormatting>
  <conditionalFormatting sqref="B604:E606">
    <cfRule type="expression" dxfId="34" priority="1032" stopIfTrue="1">
      <formula>$A604="enumerator"</formula>
    </cfRule>
  </conditionalFormatting>
  <conditionalFormatting sqref="B604:E606">
    <cfRule type="expression" dxfId="35" priority="1033" stopIfTrue="1">
      <formula>OR(AND(LEFT($A604, 14)="sensor_stream ", LEN($A604)&gt;14, NOT(ISNUMBER(SEARCH(" ", $A604, 15)))), AND(LEFT($A604, 17)="sensor_statistic ", LEN($A604)&gt;17, NOT(ISNUMBER(SEARCH(" ", $A604, 18)))))</formula>
    </cfRule>
  </conditionalFormatting>
  <conditionalFormatting sqref="B604:E606">
    <cfRule type="expression" dxfId="14" priority="1034" stopIfTrue="1">
      <formula>$A604="comments"</formula>
    </cfRule>
  </conditionalFormatting>
  <conditionalFormatting sqref="B604:E606">
    <cfRule type="expression" dxfId="15" priority="1035" stopIfTrue="1">
      <formula>OR($A604="audio", $A604="video")</formula>
    </cfRule>
  </conditionalFormatting>
  <conditionalFormatting sqref="B604:E606">
    <cfRule type="expression" dxfId="16" priority="1036" stopIfTrue="1">
      <formula>$A604="image"</formula>
    </cfRule>
  </conditionalFormatting>
  <conditionalFormatting sqref="B604:E606">
    <cfRule type="expression" dxfId="17" priority="1037" stopIfTrue="1">
      <formula>OR($A604="date", $A604="datetime", $A604="time")</formula>
    </cfRule>
  </conditionalFormatting>
  <conditionalFormatting sqref="B604:E606">
    <cfRule type="expression" dxfId="18" priority="1038" stopIfTrue="1">
      <formula>OR($A604="calculate", $A604="calculate_here")</formula>
    </cfRule>
  </conditionalFormatting>
  <conditionalFormatting sqref="B604:E606">
    <cfRule type="expression" dxfId="19" priority="1039" stopIfTrue="1">
      <formula>$A604="note"</formula>
    </cfRule>
  </conditionalFormatting>
  <conditionalFormatting sqref="B604:E606">
    <cfRule type="expression" dxfId="20" priority="1040" stopIfTrue="1">
      <formula>$A604="barcode"</formula>
    </cfRule>
  </conditionalFormatting>
  <conditionalFormatting sqref="B604:E606">
    <cfRule type="expression" dxfId="21" priority="1041" stopIfTrue="1">
      <formula>OR($A604="geopoint", $A604="geoshape", $A604="geotrace")</formula>
    </cfRule>
  </conditionalFormatting>
  <conditionalFormatting sqref="B604:E606">
    <cfRule type="expression" dxfId="22" priority="1042" stopIfTrue="1">
      <formula>OR($A604="audio audit", $A604="text audit", $A604="speed violations count", $A604="speed violations list", $A604="speed violations audit")</formula>
    </cfRule>
  </conditionalFormatting>
  <conditionalFormatting sqref="B604:E606">
    <cfRule type="expression" dxfId="23" priority="1043" stopIfTrue="1">
      <formula>OR($A604="username", $A604="phonenumber", $A604="start", $A604="end", $A604="deviceid", $A604="subscriberid", $A604="simserial", $A604="caseid")</formula>
    </cfRule>
  </conditionalFormatting>
  <conditionalFormatting sqref="B604:E606">
    <cfRule type="expression" dxfId="24" priority="1044" stopIfTrue="1">
      <formula>OR(AND(LEFT($A604, 16)="select_multiple ", LEN($A604)&gt;16, NOT(ISNUMBER(SEARCH(" ", $A604, 17)))), AND(LEFT($A604, 11)="select_one ", LEN($A604)&gt;11, NOT(ISNUMBER(SEARCH(" ", $A604, 12)))))</formula>
    </cfRule>
  </conditionalFormatting>
  <conditionalFormatting sqref="B604:E606">
    <cfRule type="expression" dxfId="25" priority="1045" stopIfTrue="1">
      <formula>$A604="decimal"</formula>
    </cfRule>
  </conditionalFormatting>
  <conditionalFormatting sqref="B604:E606">
    <cfRule type="expression" dxfId="26" priority="1046" stopIfTrue="1">
      <formula>$A604="integer"</formula>
    </cfRule>
  </conditionalFormatting>
  <conditionalFormatting sqref="B604:E606">
    <cfRule type="expression" dxfId="27" priority="1047" stopIfTrue="1">
      <formula>$A604="text"</formula>
    </cfRule>
  </conditionalFormatting>
  <conditionalFormatting sqref="B604:E606">
    <cfRule type="expression" dxfId="28" priority="1048" stopIfTrue="1">
      <formula>$A604="end repeat"</formula>
    </cfRule>
  </conditionalFormatting>
  <conditionalFormatting sqref="B604:E606">
    <cfRule type="expression" dxfId="28" priority="1049" stopIfTrue="1">
      <formula>$A604="begin repeat"</formula>
    </cfRule>
  </conditionalFormatting>
  <conditionalFormatting sqref="B604:E606">
    <cfRule type="expression" dxfId="29" priority="1050" stopIfTrue="1">
      <formula>$A604="end group"</formula>
    </cfRule>
  </conditionalFormatting>
  <conditionalFormatting sqref="B604:E606">
    <cfRule type="expression" dxfId="29" priority="1051" stopIfTrue="1">
      <formula>$A604="begin group"</formula>
    </cfRule>
  </conditionalFormatting>
  <conditionalFormatting sqref="B604:B606">
    <cfRule type="expression" dxfId="30" priority="1052" stopIfTrue="1">
      <formula>$A604="comments"</formula>
    </cfRule>
  </conditionalFormatting>
  <conditionalFormatting sqref="B604:B606">
    <cfRule type="expression" dxfId="36" priority="1053" stopIfTrue="1">
      <formula>OR(AND(LEFT($A604, 14)="sensor_stream ", LEN($A604)&gt;14, NOT(ISNUMBER(SEARCH(" ", $A604, 15)))), AND(LEFT($A604, 17)="sensor_statistic ", LEN($A604)&gt;17, NOT(ISNUMBER(SEARCH(" ", $A604, 18)))))</formula>
    </cfRule>
  </conditionalFormatting>
  <conditionalFormatting sqref="B600:C602 D600:E602">
    <cfRule type="expression" dxfId="0" priority="1054" stopIfTrue="1">
      <formula>$A600="begin group"</formula>
    </cfRule>
  </conditionalFormatting>
  <conditionalFormatting sqref="B600:C602 D600:E602">
    <cfRule type="expression" dxfId="1" priority="1055" stopIfTrue="1">
      <formula>$A600="begin repeat"</formula>
    </cfRule>
  </conditionalFormatting>
  <conditionalFormatting sqref="B600:E602">
    <cfRule type="expression" dxfId="31" priority="1056" stopIfTrue="1">
      <formula>$A600="enumerator"</formula>
    </cfRule>
  </conditionalFormatting>
  <conditionalFormatting sqref="B600:E602">
    <cfRule type="expression" dxfId="2" priority="1057" stopIfTrue="1">
      <formula>$A600="text"</formula>
    </cfRule>
  </conditionalFormatting>
  <conditionalFormatting sqref="B600:E602">
    <cfRule type="expression" dxfId="3" priority="1058" stopIfTrue="1">
      <formula>$A600="integer"</formula>
    </cfRule>
  </conditionalFormatting>
  <conditionalFormatting sqref="B600:E602">
    <cfRule type="expression" dxfId="4" priority="1059" stopIfTrue="1">
      <formula>$A600="decimal"</formula>
    </cfRule>
  </conditionalFormatting>
  <conditionalFormatting sqref="B600:C602 D600:E602">
    <cfRule type="expression" dxfId="5" priority="1060" stopIfTrue="1">
      <formula>OR(AND(LEFT($A600, 16)="select_multiple ", LEN($A600)&gt;16, NOT(ISNUMBER(SEARCH(" ", $A600, 17)))), AND(LEFT($A600, 11)="select_one ", LEN($A600)&gt;11, NOT(ISNUMBER(SEARCH(" ", $A600, 12)))))</formula>
    </cfRule>
  </conditionalFormatting>
  <conditionalFormatting sqref="B600:B602">
    <cfRule type="expression" dxfId="6" priority="1061" stopIfTrue="1">
      <formula>OR($A600="audio audit", $A600="text audit", $A600="speed violations count", $A600="speed violations list", $A600="speed violations audit")</formula>
    </cfRule>
  </conditionalFormatting>
  <conditionalFormatting sqref="B600:C602 D600:E602">
    <cfRule type="expression" dxfId="32" priority="1062" stopIfTrue="1">
      <formula>$A600="file"</formula>
    </cfRule>
  </conditionalFormatting>
  <conditionalFormatting sqref="B600:C602 D600:E602">
    <cfRule type="expression" dxfId="7" priority="1063" stopIfTrue="1">
      <formula>$A600="note"</formula>
    </cfRule>
  </conditionalFormatting>
  <conditionalFormatting sqref="B600:C602 D600:E602">
    <cfRule type="expression" dxfId="8" priority="1064" stopIfTrue="1">
      <formula>$A600="barcode"</formula>
    </cfRule>
  </conditionalFormatting>
  <conditionalFormatting sqref="B600:C602 D600:E602">
    <cfRule type="expression" dxfId="9" priority="1065" stopIfTrue="1">
      <formula>OR($A600="geopoint", $A600="geoshape", $A600="geotrace")</formula>
    </cfRule>
  </conditionalFormatting>
  <conditionalFormatting sqref="B600:B602">
    <cfRule type="expression" dxfId="10" priority="1066" stopIfTrue="1">
      <formula>OR($A600="calculate", $A600="calculate_here")</formula>
    </cfRule>
  </conditionalFormatting>
  <conditionalFormatting sqref="B600:C602 D600:E602">
    <cfRule type="expression" dxfId="11" priority="1067" stopIfTrue="1">
      <formula>OR($A600="date", $A600="datetime", $A600="time")</formula>
    </cfRule>
  </conditionalFormatting>
  <conditionalFormatting sqref="B600:C602 D600:E602">
    <cfRule type="expression" dxfId="12" priority="1068" stopIfTrue="1">
      <formula>$A600="image"</formula>
    </cfRule>
  </conditionalFormatting>
  <conditionalFormatting sqref="B600:C602 D600:E602">
    <cfRule type="expression" dxfId="13" priority="1069" stopIfTrue="1">
      <formula>OR($A600="audio", $A600="video")</formula>
    </cfRule>
  </conditionalFormatting>
  <conditionalFormatting sqref="B600:E602">
    <cfRule type="expression" dxfId="33" priority="1070" stopIfTrue="1">
      <formula>$A600="file"</formula>
    </cfRule>
  </conditionalFormatting>
  <conditionalFormatting sqref="B600:E602">
    <cfRule type="expression" dxfId="34" priority="1071" stopIfTrue="1">
      <formula>$A600="enumerator"</formula>
    </cfRule>
  </conditionalFormatting>
  <conditionalFormatting sqref="B600:E602">
    <cfRule type="expression" dxfId="35" priority="1072" stopIfTrue="1">
      <formula>OR(AND(LEFT($A600, 14)="sensor_stream ", LEN($A600)&gt;14, NOT(ISNUMBER(SEARCH(" ", $A600, 15)))), AND(LEFT($A600, 17)="sensor_statistic ", LEN($A600)&gt;17, NOT(ISNUMBER(SEARCH(" ", $A600, 18)))))</formula>
    </cfRule>
  </conditionalFormatting>
  <conditionalFormatting sqref="B600:E602">
    <cfRule type="expression" dxfId="14" priority="1073" stopIfTrue="1">
      <formula>$A600="comments"</formula>
    </cfRule>
  </conditionalFormatting>
  <conditionalFormatting sqref="B600:E602">
    <cfRule type="expression" dxfId="15" priority="1074" stopIfTrue="1">
      <formula>OR($A600="audio", $A600="video")</formula>
    </cfRule>
  </conditionalFormatting>
  <conditionalFormatting sqref="B600:E602">
    <cfRule type="expression" dxfId="16" priority="1075" stopIfTrue="1">
      <formula>$A600="image"</formula>
    </cfRule>
  </conditionalFormatting>
  <conditionalFormatting sqref="B600:E602">
    <cfRule type="expression" dxfId="17" priority="1076" stopIfTrue="1">
      <formula>OR($A600="date", $A600="datetime", $A600="time")</formula>
    </cfRule>
  </conditionalFormatting>
  <conditionalFormatting sqref="B600:E602">
    <cfRule type="expression" dxfId="18" priority="1077" stopIfTrue="1">
      <formula>OR($A600="calculate", $A600="calculate_here")</formula>
    </cfRule>
  </conditionalFormatting>
  <conditionalFormatting sqref="B600:E602">
    <cfRule type="expression" dxfId="19" priority="1078" stopIfTrue="1">
      <formula>$A600="note"</formula>
    </cfRule>
  </conditionalFormatting>
  <conditionalFormatting sqref="B600:E602">
    <cfRule type="expression" dxfId="20" priority="1079" stopIfTrue="1">
      <formula>$A600="barcode"</formula>
    </cfRule>
  </conditionalFormatting>
  <conditionalFormatting sqref="B600:E602">
    <cfRule type="expression" dxfId="21" priority="1080" stopIfTrue="1">
      <formula>OR($A600="geopoint", $A600="geoshape", $A600="geotrace")</formula>
    </cfRule>
  </conditionalFormatting>
  <conditionalFormatting sqref="B600:E602">
    <cfRule type="expression" dxfId="22" priority="1081" stopIfTrue="1">
      <formula>OR($A600="audio audit", $A600="text audit", $A600="speed violations count", $A600="speed violations list", $A600="speed violations audit")</formula>
    </cfRule>
  </conditionalFormatting>
  <conditionalFormatting sqref="B600:E602">
    <cfRule type="expression" dxfId="23" priority="1082" stopIfTrue="1">
      <formula>OR($A600="username", $A600="phonenumber", $A600="start", $A600="end", $A600="deviceid", $A600="subscriberid", $A600="simserial", $A600="caseid")</formula>
    </cfRule>
  </conditionalFormatting>
  <conditionalFormatting sqref="B600:E602">
    <cfRule type="expression" dxfId="24" priority="1083" stopIfTrue="1">
      <formula>OR(AND(LEFT($A600, 16)="select_multiple ", LEN($A600)&gt;16, NOT(ISNUMBER(SEARCH(" ", $A600, 17)))), AND(LEFT($A600, 11)="select_one ", LEN($A600)&gt;11, NOT(ISNUMBER(SEARCH(" ", $A600, 12)))))</formula>
    </cfRule>
  </conditionalFormatting>
  <conditionalFormatting sqref="B600:E602">
    <cfRule type="expression" dxfId="25" priority="1084" stopIfTrue="1">
      <formula>$A600="decimal"</formula>
    </cfRule>
  </conditionalFormatting>
  <conditionalFormatting sqref="B600:E602">
    <cfRule type="expression" dxfId="26" priority="1085" stopIfTrue="1">
      <formula>$A600="integer"</formula>
    </cfRule>
  </conditionalFormatting>
  <conditionalFormatting sqref="B600:E602">
    <cfRule type="expression" dxfId="27" priority="1086" stopIfTrue="1">
      <formula>$A600="text"</formula>
    </cfRule>
  </conditionalFormatting>
  <conditionalFormatting sqref="B600:E602">
    <cfRule type="expression" dxfId="28" priority="1087" stopIfTrue="1">
      <formula>$A600="end repeat"</formula>
    </cfRule>
  </conditionalFormatting>
  <conditionalFormatting sqref="B600:E602">
    <cfRule type="expression" dxfId="28" priority="1088" stopIfTrue="1">
      <formula>$A600="begin repeat"</formula>
    </cfRule>
  </conditionalFormatting>
  <conditionalFormatting sqref="B600:E602">
    <cfRule type="expression" dxfId="29" priority="1089" stopIfTrue="1">
      <formula>$A600="end group"</formula>
    </cfRule>
  </conditionalFormatting>
  <conditionalFormatting sqref="B600:E602">
    <cfRule type="expression" dxfId="29" priority="1090" stopIfTrue="1">
      <formula>$A600="begin group"</formula>
    </cfRule>
  </conditionalFormatting>
  <conditionalFormatting sqref="B600:B602">
    <cfRule type="expression" dxfId="30" priority="1091" stopIfTrue="1">
      <formula>$A600="comments"</formula>
    </cfRule>
  </conditionalFormatting>
  <conditionalFormatting sqref="B600:B602">
    <cfRule type="expression" dxfId="36" priority="1092" stopIfTrue="1">
      <formula>OR(AND(LEFT($A600, 14)="sensor_stream ", LEN($A600)&gt;14, NOT(ISNUMBER(SEARCH(" ", $A600, 15)))), AND(LEFT($A600, 17)="sensor_statistic ", LEN($A600)&gt;17, NOT(ISNUMBER(SEARCH(" ", $A600, 18)))))</formula>
    </cfRule>
  </conditionalFormatting>
  <conditionalFormatting sqref="B594:C595 D594:E595">
    <cfRule type="expression" dxfId="0" priority="1093" stopIfTrue="1">
      <formula>$A594="begin group"</formula>
    </cfRule>
  </conditionalFormatting>
  <conditionalFormatting sqref="B594:C595 D594:E595">
    <cfRule type="expression" dxfId="1" priority="1094" stopIfTrue="1">
      <formula>$A594="begin repeat"</formula>
    </cfRule>
  </conditionalFormatting>
  <conditionalFormatting sqref="B594:E595">
    <cfRule type="expression" dxfId="31" priority="1095" stopIfTrue="1">
      <formula>$A594="enumerator"</formula>
    </cfRule>
  </conditionalFormatting>
  <conditionalFormatting sqref="B594:E595">
    <cfRule type="expression" dxfId="2" priority="1096" stopIfTrue="1">
      <formula>$A594="text"</formula>
    </cfRule>
  </conditionalFormatting>
  <conditionalFormatting sqref="B594:E595">
    <cfRule type="expression" dxfId="3" priority="1097" stopIfTrue="1">
      <formula>$A594="integer"</formula>
    </cfRule>
  </conditionalFormatting>
  <conditionalFormatting sqref="B594:E595">
    <cfRule type="expression" dxfId="4" priority="1098" stopIfTrue="1">
      <formula>$A594="decimal"</formula>
    </cfRule>
  </conditionalFormatting>
  <conditionalFormatting sqref="B594:C595 D594:E595">
    <cfRule type="expression" dxfId="5" priority="1099" stopIfTrue="1">
      <formula>OR(AND(LEFT($A594, 16)="select_multiple ", LEN($A594)&gt;16, NOT(ISNUMBER(SEARCH(" ", $A594, 17)))), AND(LEFT($A594, 11)="select_one ", LEN($A594)&gt;11, NOT(ISNUMBER(SEARCH(" ", $A594, 12)))))</formula>
    </cfRule>
  </conditionalFormatting>
  <conditionalFormatting sqref="B594:B595">
    <cfRule type="expression" dxfId="6" priority="1100" stopIfTrue="1">
      <formula>OR($A594="audio audit", $A594="text audit", $A594="speed violations count", $A594="speed violations list", $A594="speed violations audit")</formula>
    </cfRule>
  </conditionalFormatting>
  <conditionalFormatting sqref="B594:C595 D594:E595">
    <cfRule type="expression" dxfId="32" priority="1101" stopIfTrue="1">
      <formula>$A594="file"</formula>
    </cfRule>
  </conditionalFormatting>
  <conditionalFormatting sqref="B594:C595 D594:E595">
    <cfRule type="expression" dxfId="7" priority="1102" stopIfTrue="1">
      <formula>$A594="note"</formula>
    </cfRule>
  </conditionalFormatting>
  <conditionalFormatting sqref="B594:C595 D594:E595">
    <cfRule type="expression" dxfId="8" priority="1103" stopIfTrue="1">
      <formula>$A594="barcode"</formula>
    </cfRule>
  </conditionalFormatting>
  <conditionalFormatting sqref="B594:C595 D594:E595">
    <cfRule type="expression" dxfId="9" priority="1104" stopIfTrue="1">
      <formula>OR($A594="geopoint", $A594="geoshape", $A594="geotrace")</formula>
    </cfRule>
  </conditionalFormatting>
  <conditionalFormatting sqref="B594:B595">
    <cfRule type="expression" dxfId="10" priority="1105" stopIfTrue="1">
      <formula>OR($A594="calculate", $A594="calculate_here")</formula>
    </cfRule>
  </conditionalFormatting>
  <conditionalFormatting sqref="B594:C595 D594:E595">
    <cfRule type="expression" dxfId="11" priority="1106" stopIfTrue="1">
      <formula>OR($A594="date", $A594="datetime", $A594="time")</formula>
    </cfRule>
  </conditionalFormatting>
  <conditionalFormatting sqref="B594:C595 D594:E595">
    <cfRule type="expression" dxfId="12" priority="1107" stopIfTrue="1">
      <formula>$A594="image"</formula>
    </cfRule>
  </conditionalFormatting>
  <conditionalFormatting sqref="B594:C595 D594:E595">
    <cfRule type="expression" dxfId="13" priority="1108" stopIfTrue="1">
      <formula>OR($A594="audio", $A594="video")</formula>
    </cfRule>
  </conditionalFormatting>
  <conditionalFormatting sqref="B594:E595">
    <cfRule type="expression" dxfId="33" priority="1109" stopIfTrue="1">
      <formula>$A594="file"</formula>
    </cfRule>
  </conditionalFormatting>
  <conditionalFormatting sqref="B594:E595">
    <cfRule type="expression" dxfId="34" priority="1110" stopIfTrue="1">
      <formula>$A594="enumerator"</formula>
    </cfRule>
  </conditionalFormatting>
  <conditionalFormatting sqref="B594:E595">
    <cfRule type="expression" dxfId="35" priority="1111" stopIfTrue="1">
      <formula>OR(AND(LEFT($A594, 14)="sensor_stream ", LEN($A594)&gt;14, NOT(ISNUMBER(SEARCH(" ", $A594, 15)))), AND(LEFT($A594, 17)="sensor_statistic ", LEN($A594)&gt;17, NOT(ISNUMBER(SEARCH(" ", $A594, 18)))))</formula>
    </cfRule>
  </conditionalFormatting>
  <conditionalFormatting sqref="B594:E595">
    <cfRule type="expression" dxfId="14" priority="1112" stopIfTrue="1">
      <formula>$A594="comments"</formula>
    </cfRule>
  </conditionalFormatting>
  <conditionalFormatting sqref="B594:E595">
    <cfRule type="expression" dxfId="15" priority="1113" stopIfTrue="1">
      <formula>OR($A594="audio", $A594="video")</formula>
    </cfRule>
  </conditionalFormatting>
  <conditionalFormatting sqref="B594:E595">
    <cfRule type="expression" dxfId="16" priority="1114" stopIfTrue="1">
      <formula>$A594="image"</formula>
    </cfRule>
  </conditionalFormatting>
  <conditionalFormatting sqref="B594:E595">
    <cfRule type="expression" dxfId="17" priority="1115" stopIfTrue="1">
      <formula>OR($A594="date", $A594="datetime", $A594="time")</formula>
    </cfRule>
  </conditionalFormatting>
  <conditionalFormatting sqref="B594:E595">
    <cfRule type="expression" dxfId="18" priority="1116" stopIfTrue="1">
      <formula>OR($A594="calculate", $A594="calculate_here")</formula>
    </cfRule>
  </conditionalFormatting>
  <conditionalFormatting sqref="B594:E595">
    <cfRule type="expression" dxfId="19" priority="1117" stopIfTrue="1">
      <formula>$A594="note"</formula>
    </cfRule>
  </conditionalFormatting>
  <conditionalFormatting sqref="B594:E595">
    <cfRule type="expression" dxfId="20" priority="1118" stopIfTrue="1">
      <formula>$A594="barcode"</formula>
    </cfRule>
  </conditionalFormatting>
  <conditionalFormatting sqref="B594:E595">
    <cfRule type="expression" dxfId="21" priority="1119" stopIfTrue="1">
      <formula>OR($A594="geopoint", $A594="geoshape", $A594="geotrace")</formula>
    </cfRule>
  </conditionalFormatting>
  <conditionalFormatting sqref="B594:E595">
    <cfRule type="expression" dxfId="22" priority="1120" stopIfTrue="1">
      <formula>OR($A594="audio audit", $A594="text audit", $A594="speed violations count", $A594="speed violations list", $A594="speed violations audit")</formula>
    </cfRule>
  </conditionalFormatting>
  <conditionalFormatting sqref="B594:E595">
    <cfRule type="expression" dxfId="23" priority="1121" stopIfTrue="1">
      <formula>OR($A594="username", $A594="phonenumber", $A594="start", $A594="end", $A594="deviceid", $A594="subscriberid", $A594="simserial", $A594="caseid")</formula>
    </cfRule>
  </conditionalFormatting>
  <conditionalFormatting sqref="B594:E595">
    <cfRule type="expression" dxfId="24" priority="1122" stopIfTrue="1">
      <formula>OR(AND(LEFT($A594, 16)="select_multiple ", LEN($A594)&gt;16, NOT(ISNUMBER(SEARCH(" ", $A594, 17)))), AND(LEFT($A594, 11)="select_one ", LEN($A594)&gt;11, NOT(ISNUMBER(SEARCH(" ", $A594, 12)))))</formula>
    </cfRule>
  </conditionalFormatting>
  <conditionalFormatting sqref="B594:E595">
    <cfRule type="expression" dxfId="25" priority="1123" stopIfTrue="1">
      <formula>$A594="decimal"</formula>
    </cfRule>
  </conditionalFormatting>
  <conditionalFormatting sqref="B594:E595">
    <cfRule type="expression" dxfId="26" priority="1124" stopIfTrue="1">
      <formula>$A594="integer"</formula>
    </cfRule>
  </conditionalFormatting>
  <conditionalFormatting sqref="B594:E595">
    <cfRule type="expression" dxfId="27" priority="1125" stopIfTrue="1">
      <formula>$A594="text"</formula>
    </cfRule>
  </conditionalFormatting>
  <conditionalFormatting sqref="B594:E595">
    <cfRule type="expression" dxfId="28" priority="1126" stopIfTrue="1">
      <formula>$A594="end repeat"</formula>
    </cfRule>
  </conditionalFormatting>
  <conditionalFormatting sqref="B594:E595">
    <cfRule type="expression" dxfId="28" priority="1127" stopIfTrue="1">
      <formula>$A594="begin repeat"</formula>
    </cfRule>
  </conditionalFormatting>
  <conditionalFormatting sqref="B594:E595">
    <cfRule type="expression" dxfId="29" priority="1128" stopIfTrue="1">
      <formula>$A594="end group"</formula>
    </cfRule>
  </conditionalFormatting>
  <conditionalFormatting sqref="B594:E595">
    <cfRule type="expression" dxfId="29" priority="1129" stopIfTrue="1">
      <formula>$A594="begin group"</formula>
    </cfRule>
  </conditionalFormatting>
  <conditionalFormatting sqref="B594:B595">
    <cfRule type="expression" dxfId="30" priority="1130" stopIfTrue="1">
      <formula>$A594="comments"</formula>
    </cfRule>
  </conditionalFormatting>
  <conditionalFormatting sqref="B594:B595">
    <cfRule type="expression" dxfId="36" priority="1131" stopIfTrue="1">
      <formula>OR(AND(LEFT($A594, 14)="sensor_stream ", LEN($A594)&gt;14, NOT(ISNUMBER(SEARCH(" ", $A594, 15)))), AND(LEFT($A594, 17)="sensor_statistic ", LEN($A594)&gt;17, NOT(ISNUMBER(SEARCH(" ", $A594, 18)))))</formula>
    </cfRule>
  </conditionalFormatting>
  <conditionalFormatting sqref="B591:C592 D591:E592">
    <cfRule type="expression" dxfId="0" priority="1132" stopIfTrue="1">
      <formula>$A591="begin group"</formula>
    </cfRule>
  </conditionalFormatting>
  <conditionalFormatting sqref="B591:C592 D591:E592">
    <cfRule type="expression" dxfId="1" priority="1133" stopIfTrue="1">
      <formula>$A591="begin repeat"</formula>
    </cfRule>
  </conditionalFormatting>
  <conditionalFormatting sqref="B591:E592">
    <cfRule type="expression" dxfId="31" priority="1134" stopIfTrue="1">
      <formula>$A591="enumerator"</formula>
    </cfRule>
  </conditionalFormatting>
  <conditionalFormatting sqref="B591:E592">
    <cfRule type="expression" dxfId="2" priority="1135" stopIfTrue="1">
      <formula>$A591="text"</formula>
    </cfRule>
  </conditionalFormatting>
  <conditionalFormatting sqref="B591:E592">
    <cfRule type="expression" dxfId="3" priority="1136" stopIfTrue="1">
      <formula>$A591="integer"</formula>
    </cfRule>
  </conditionalFormatting>
  <conditionalFormatting sqref="B591:E592">
    <cfRule type="expression" dxfId="4" priority="1137" stopIfTrue="1">
      <formula>$A591="decimal"</formula>
    </cfRule>
  </conditionalFormatting>
  <conditionalFormatting sqref="B591:C592 D591:E592">
    <cfRule type="expression" dxfId="5" priority="1138" stopIfTrue="1">
      <formula>OR(AND(LEFT($A591, 16)="select_multiple ", LEN($A591)&gt;16, NOT(ISNUMBER(SEARCH(" ", $A591, 17)))), AND(LEFT($A591, 11)="select_one ", LEN($A591)&gt;11, NOT(ISNUMBER(SEARCH(" ", $A591, 12)))))</formula>
    </cfRule>
  </conditionalFormatting>
  <conditionalFormatting sqref="B591:B592">
    <cfRule type="expression" dxfId="6" priority="1139" stopIfTrue="1">
      <formula>OR($A591="audio audit", $A591="text audit", $A591="speed violations count", $A591="speed violations list", $A591="speed violations audit")</formula>
    </cfRule>
  </conditionalFormatting>
  <conditionalFormatting sqref="B591:C592 D591:E592">
    <cfRule type="expression" dxfId="32" priority="1140" stopIfTrue="1">
      <formula>$A591="file"</formula>
    </cfRule>
  </conditionalFormatting>
  <conditionalFormatting sqref="B591:C592 D591:E592">
    <cfRule type="expression" dxfId="7" priority="1141" stopIfTrue="1">
      <formula>$A591="note"</formula>
    </cfRule>
  </conditionalFormatting>
  <conditionalFormatting sqref="B591:C592 D591:E592">
    <cfRule type="expression" dxfId="8" priority="1142" stopIfTrue="1">
      <formula>$A591="barcode"</formula>
    </cfRule>
  </conditionalFormatting>
  <conditionalFormatting sqref="B591:C592 D591:E592">
    <cfRule type="expression" dxfId="9" priority="1143" stopIfTrue="1">
      <formula>OR($A591="geopoint", $A591="geoshape", $A591="geotrace")</formula>
    </cfRule>
  </conditionalFormatting>
  <conditionalFormatting sqref="B591:B592">
    <cfRule type="expression" dxfId="10" priority="1144" stopIfTrue="1">
      <formula>OR($A591="calculate", $A591="calculate_here")</formula>
    </cfRule>
  </conditionalFormatting>
  <conditionalFormatting sqref="B591:C592 D591:E592">
    <cfRule type="expression" dxfId="11" priority="1145" stopIfTrue="1">
      <formula>OR($A591="date", $A591="datetime", $A591="time")</formula>
    </cfRule>
  </conditionalFormatting>
  <conditionalFormatting sqref="B591:C592 D591:E592">
    <cfRule type="expression" dxfId="12" priority="1146" stopIfTrue="1">
      <formula>$A591="image"</formula>
    </cfRule>
  </conditionalFormatting>
  <conditionalFormatting sqref="B591:C592 D591:E592">
    <cfRule type="expression" dxfId="13" priority="1147" stopIfTrue="1">
      <formula>OR($A591="audio", $A591="video")</formula>
    </cfRule>
  </conditionalFormatting>
  <conditionalFormatting sqref="B591:E592">
    <cfRule type="expression" dxfId="33" priority="1148" stopIfTrue="1">
      <formula>$A591="file"</formula>
    </cfRule>
  </conditionalFormatting>
  <conditionalFormatting sqref="B591:E592">
    <cfRule type="expression" dxfId="34" priority="1149" stopIfTrue="1">
      <formula>$A591="enumerator"</formula>
    </cfRule>
  </conditionalFormatting>
  <conditionalFormatting sqref="B591:E592">
    <cfRule type="expression" dxfId="35" priority="1150" stopIfTrue="1">
      <formula>OR(AND(LEFT($A591, 14)="sensor_stream ", LEN($A591)&gt;14, NOT(ISNUMBER(SEARCH(" ", $A591, 15)))), AND(LEFT($A591, 17)="sensor_statistic ", LEN($A591)&gt;17, NOT(ISNUMBER(SEARCH(" ", $A591, 18)))))</formula>
    </cfRule>
  </conditionalFormatting>
  <conditionalFormatting sqref="B591:E592">
    <cfRule type="expression" dxfId="14" priority="1151" stopIfTrue="1">
      <formula>$A591="comments"</formula>
    </cfRule>
  </conditionalFormatting>
  <conditionalFormatting sqref="B591:E592">
    <cfRule type="expression" dxfId="15" priority="1152" stopIfTrue="1">
      <formula>OR($A591="audio", $A591="video")</formula>
    </cfRule>
  </conditionalFormatting>
  <conditionalFormatting sqref="B591:E592">
    <cfRule type="expression" dxfId="16" priority="1153" stopIfTrue="1">
      <formula>$A591="image"</formula>
    </cfRule>
  </conditionalFormatting>
  <conditionalFormatting sqref="B591:E592">
    <cfRule type="expression" dxfId="17" priority="1154" stopIfTrue="1">
      <formula>OR($A591="date", $A591="datetime", $A591="time")</formula>
    </cfRule>
  </conditionalFormatting>
  <conditionalFormatting sqref="B591:E592">
    <cfRule type="expression" dxfId="18" priority="1155" stopIfTrue="1">
      <formula>OR($A591="calculate", $A591="calculate_here")</formula>
    </cfRule>
  </conditionalFormatting>
  <conditionalFormatting sqref="B591:E592">
    <cfRule type="expression" dxfId="19" priority="1156" stopIfTrue="1">
      <formula>$A591="note"</formula>
    </cfRule>
  </conditionalFormatting>
  <conditionalFormatting sqref="B591:E592">
    <cfRule type="expression" dxfId="20" priority="1157" stopIfTrue="1">
      <formula>$A591="barcode"</formula>
    </cfRule>
  </conditionalFormatting>
  <conditionalFormatting sqref="B591:E592">
    <cfRule type="expression" dxfId="21" priority="1158" stopIfTrue="1">
      <formula>OR($A591="geopoint", $A591="geoshape", $A591="geotrace")</formula>
    </cfRule>
  </conditionalFormatting>
  <conditionalFormatting sqref="B591:E592">
    <cfRule type="expression" dxfId="22" priority="1159" stopIfTrue="1">
      <formula>OR($A591="audio audit", $A591="text audit", $A591="speed violations count", $A591="speed violations list", $A591="speed violations audit")</formula>
    </cfRule>
  </conditionalFormatting>
  <conditionalFormatting sqref="B591:E592">
    <cfRule type="expression" dxfId="23" priority="1160" stopIfTrue="1">
      <formula>OR($A591="username", $A591="phonenumber", $A591="start", $A591="end", $A591="deviceid", $A591="subscriberid", $A591="simserial", $A591="caseid")</formula>
    </cfRule>
  </conditionalFormatting>
  <conditionalFormatting sqref="B591:E592">
    <cfRule type="expression" dxfId="24" priority="1161" stopIfTrue="1">
      <formula>OR(AND(LEFT($A591, 16)="select_multiple ", LEN($A591)&gt;16, NOT(ISNUMBER(SEARCH(" ", $A591, 17)))), AND(LEFT($A591, 11)="select_one ", LEN($A591)&gt;11, NOT(ISNUMBER(SEARCH(" ", $A591, 12)))))</formula>
    </cfRule>
  </conditionalFormatting>
  <conditionalFormatting sqref="B591:E592">
    <cfRule type="expression" dxfId="25" priority="1162" stopIfTrue="1">
      <formula>$A591="decimal"</formula>
    </cfRule>
  </conditionalFormatting>
  <conditionalFormatting sqref="B591:E592">
    <cfRule type="expression" dxfId="26" priority="1163" stopIfTrue="1">
      <formula>$A591="integer"</formula>
    </cfRule>
  </conditionalFormatting>
  <conditionalFormatting sqref="B591:E592">
    <cfRule type="expression" dxfId="27" priority="1164" stopIfTrue="1">
      <formula>$A591="text"</formula>
    </cfRule>
  </conditionalFormatting>
  <conditionalFormatting sqref="B591:E592">
    <cfRule type="expression" dxfId="28" priority="1165" stopIfTrue="1">
      <formula>$A591="end repeat"</formula>
    </cfRule>
  </conditionalFormatting>
  <conditionalFormatting sqref="B591:E592">
    <cfRule type="expression" dxfId="28" priority="1166" stopIfTrue="1">
      <formula>$A591="begin repeat"</formula>
    </cfRule>
  </conditionalFormatting>
  <conditionalFormatting sqref="B591:E592">
    <cfRule type="expression" dxfId="29" priority="1167" stopIfTrue="1">
      <formula>$A591="end group"</formula>
    </cfRule>
  </conditionalFormatting>
  <conditionalFormatting sqref="B591:E592">
    <cfRule type="expression" dxfId="29" priority="1168" stopIfTrue="1">
      <formula>$A591="begin group"</formula>
    </cfRule>
  </conditionalFormatting>
  <conditionalFormatting sqref="B591:B592">
    <cfRule type="expression" dxfId="30" priority="1169" stopIfTrue="1">
      <formula>$A591="comments"</formula>
    </cfRule>
  </conditionalFormatting>
  <conditionalFormatting sqref="B591:B592">
    <cfRule type="expression" dxfId="36" priority="1170" stopIfTrue="1">
      <formula>OR(AND(LEFT($A591, 14)="sensor_stream ", LEN($A591)&gt;14, NOT(ISNUMBER(SEARCH(" ", $A591, 15)))), AND(LEFT($A591, 17)="sensor_statistic ", LEN($A591)&gt;17, NOT(ISNUMBER(SEARCH(" ", $A591, 18)))))</formula>
    </cfRule>
  </conditionalFormatting>
  <conditionalFormatting sqref="B587:C587 D587:E587">
    <cfRule type="expression" dxfId="0" priority="1171" stopIfTrue="1">
      <formula>$A587="begin group"</formula>
    </cfRule>
  </conditionalFormatting>
  <conditionalFormatting sqref="B587:C587 D587:E587">
    <cfRule type="expression" dxfId="1" priority="1172" stopIfTrue="1">
      <formula>$A587="begin repeat"</formula>
    </cfRule>
  </conditionalFormatting>
  <conditionalFormatting sqref="B587:E587">
    <cfRule type="expression" dxfId="31" priority="1173" stopIfTrue="1">
      <formula>$A587="enumerator"</formula>
    </cfRule>
  </conditionalFormatting>
  <conditionalFormatting sqref="B587:E587">
    <cfRule type="expression" dxfId="2" priority="1174" stopIfTrue="1">
      <formula>$A587="text"</formula>
    </cfRule>
  </conditionalFormatting>
  <conditionalFormatting sqref="B587:E587">
    <cfRule type="expression" dxfId="3" priority="1175" stopIfTrue="1">
      <formula>$A587="integer"</formula>
    </cfRule>
  </conditionalFormatting>
  <conditionalFormatting sqref="B587:E587">
    <cfRule type="expression" dxfId="4" priority="1176" stopIfTrue="1">
      <formula>$A587="decimal"</formula>
    </cfRule>
  </conditionalFormatting>
  <conditionalFormatting sqref="B587:C587 D587:E587">
    <cfRule type="expression" dxfId="5" priority="1177" stopIfTrue="1">
      <formula>OR(AND(LEFT($A587, 16)="select_multiple ", LEN($A587)&gt;16, NOT(ISNUMBER(SEARCH(" ", $A587, 17)))), AND(LEFT($A587, 11)="select_one ", LEN($A587)&gt;11, NOT(ISNUMBER(SEARCH(" ", $A587, 12)))))</formula>
    </cfRule>
  </conditionalFormatting>
  <conditionalFormatting sqref="B587">
    <cfRule type="expression" dxfId="6" priority="1178" stopIfTrue="1">
      <formula>OR($A587="audio audit", $A587="text audit", $A587="speed violations count", $A587="speed violations list", $A587="speed violations audit")</formula>
    </cfRule>
  </conditionalFormatting>
  <conditionalFormatting sqref="B587:C587 D587:E587">
    <cfRule type="expression" dxfId="32" priority="1179" stopIfTrue="1">
      <formula>$A587="file"</formula>
    </cfRule>
  </conditionalFormatting>
  <conditionalFormatting sqref="B587:C587 D587:E587">
    <cfRule type="expression" dxfId="7" priority="1180" stopIfTrue="1">
      <formula>$A587="note"</formula>
    </cfRule>
  </conditionalFormatting>
  <conditionalFormatting sqref="B587:C587 D587:E587">
    <cfRule type="expression" dxfId="8" priority="1181" stopIfTrue="1">
      <formula>$A587="barcode"</formula>
    </cfRule>
  </conditionalFormatting>
  <conditionalFormatting sqref="B587:C587 D587:E587">
    <cfRule type="expression" dxfId="9" priority="1182" stopIfTrue="1">
      <formula>OR($A587="geopoint", $A587="geoshape", $A587="geotrace")</formula>
    </cfRule>
  </conditionalFormatting>
  <conditionalFormatting sqref="B587">
    <cfRule type="expression" dxfId="10" priority="1183" stopIfTrue="1">
      <formula>OR($A587="calculate", $A587="calculate_here")</formula>
    </cfRule>
  </conditionalFormatting>
  <conditionalFormatting sqref="B587:C587 D587:E587">
    <cfRule type="expression" dxfId="11" priority="1184" stopIfTrue="1">
      <formula>OR($A587="date", $A587="datetime", $A587="time")</formula>
    </cfRule>
  </conditionalFormatting>
  <conditionalFormatting sqref="B587:C587 D587:E587">
    <cfRule type="expression" dxfId="12" priority="1185" stopIfTrue="1">
      <formula>$A587="image"</formula>
    </cfRule>
  </conditionalFormatting>
  <conditionalFormatting sqref="B587:C587 D587:E587">
    <cfRule type="expression" dxfId="13" priority="1186" stopIfTrue="1">
      <formula>OR($A587="audio", $A587="video")</formula>
    </cfRule>
  </conditionalFormatting>
  <conditionalFormatting sqref="B587:E587">
    <cfRule type="expression" dxfId="33" priority="1187" stopIfTrue="1">
      <formula>$A587="file"</formula>
    </cfRule>
  </conditionalFormatting>
  <conditionalFormatting sqref="B587:E587">
    <cfRule type="expression" dxfId="34" priority="1188" stopIfTrue="1">
      <formula>$A587="enumerator"</formula>
    </cfRule>
  </conditionalFormatting>
  <conditionalFormatting sqref="B587:E587">
    <cfRule type="expression" dxfId="35" priority="1189" stopIfTrue="1">
      <formula>OR(AND(LEFT($A587, 14)="sensor_stream ", LEN($A587)&gt;14, NOT(ISNUMBER(SEARCH(" ", $A587, 15)))), AND(LEFT($A587, 17)="sensor_statistic ", LEN($A587)&gt;17, NOT(ISNUMBER(SEARCH(" ", $A587, 18)))))</formula>
    </cfRule>
  </conditionalFormatting>
  <conditionalFormatting sqref="B587:E587">
    <cfRule type="expression" dxfId="14" priority="1190" stopIfTrue="1">
      <formula>$A587="comments"</formula>
    </cfRule>
  </conditionalFormatting>
  <conditionalFormatting sqref="B587:E587">
    <cfRule type="expression" dxfId="15" priority="1191" stopIfTrue="1">
      <formula>OR($A587="audio", $A587="video")</formula>
    </cfRule>
  </conditionalFormatting>
  <conditionalFormatting sqref="B587:E587">
    <cfRule type="expression" dxfId="16" priority="1192" stopIfTrue="1">
      <formula>$A587="image"</formula>
    </cfRule>
  </conditionalFormatting>
  <conditionalFormatting sqref="B587:E587">
    <cfRule type="expression" dxfId="17" priority="1193" stopIfTrue="1">
      <formula>OR($A587="date", $A587="datetime", $A587="time")</formula>
    </cfRule>
  </conditionalFormatting>
  <conditionalFormatting sqref="B587:E587">
    <cfRule type="expression" dxfId="18" priority="1194" stopIfTrue="1">
      <formula>OR($A587="calculate", $A587="calculate_here")</formula>
    </cfRule>
  </conditionalFormatting>
  <conditionalFormatting sqref="B587:E587">
    <cfRule type="expression" dxfId="19" priority="1195" stopIfTrue="1">
      <formula>$A587="note"</formula>
    </cfRule>
  </conditionalFormatting>
  <conditionalFormatting sqref="B587:E587">
    <cfRule type="expression" dxfId="20" priority="1196" stopIfTrue="1">
      <formula>$A587="barcode"</formula>
    </cfRule>
  </conditionalFormatting>
  <conditionalFormatting sqref="B587:E587">
    <cfRule type="expression" dxfId="21" priority="1197" stopIfTrue="1">
      <formula>OR($A587="geopoint", $A587="geoshape", $A587="geotrace")</formula>
    </cfRule>
  </conditionalFormatting>
  <conditionalFormatting sqref="B587:E587">
    <cfRule type="expression" dxfId="22" priority="1198" stopIfTrue="1">
      <formula>OR($A587="audio audit", $A587="text audit", $A587="speed violations count", $A587="speed violations list", $A587="speed violations audit")</formula>
    </cfRule>
  </conditionalFormatting>
  <conditionalFormatting sqref="B587:E587">
    <cfRule type="expression" dxfId="23" priority="1199" stopIfTrue="1">
      <formula>OR($A587="username", $A587="phonenumber", $A587="start", $A587="end", $A587="deviceid", $A587="subscriberid", $A587="simserial", $A587="caseid")</formula>
    </cfRule>
  </conditionalFormatting>
  <conditionalFormatting sqref="B587:E587">
    <cfRule type="expression" dxfId="24" priority="1200" stopIfTrue="1">
      <formula>OR(AND(LEFT($A587, 16)="select_multiple ", LEN($A587)&gt;16, NOT(ISNUMBER(SEARCH(" ", $A587, 17)))), AND(LEFT($A587, 11)="select_one ", LEN($A587)&gt;11, NOT(ISNUMBER(SEARCH(" ", $A587, 12)))))</formula>
    </cfRule>
  </conditionalFormatting>
  <conditionalFormatting sqref="B587:E587">
    <cfRule type="expression" dxfId="25" priority="1201" stopIfTrue="1">
      <formula>$A587="decimal"</formula>
    </cfRule>
  </conditionalFormatting>
  <conditionalFormatting sqref="B587:E587">
    <cfRule type="expression" dxfId="26" priority="1202" stopIfTrue="1">
      <formula>$A587="integer"</formula>
    </cfRule>
  </conditionalFormatting>
  <conditionalFormatting sqref="B587:E587">
    <cfRule type="expression" dxfId="27" priority="1203" stopIfTrue="1">
      <formula>$A587="text"</formula>
    </cfRule>
  </conditionalFormatting>
  <conditionalFormatting sqref="B587:E587">
    <cfRule type="expression" dxfId="28" priority="1204" stopIfTrue="1">
      <formula>$A587="end repeat"</formula>
    </cfRule>
  </conditionalFormatting>
  <conditionalFormatting sqref="B587:E587">
    <cfRule type="expression" dxfId="28" priority="1205" stopIfTrue="1">
      <formula>$A587="begin repeat"</formula>
    </cfRule>
  </conditionalFormatting>
  <conditionalFormatting sqref="B587:E587">
    <cfRule type="expression" dxfId="29" priority="1206" stopIfTrue="1">
      <formula>$A587="end group"</formula>
    </cfRule>
  </conditionalFormatting>
  <conditionalFormatting sqref="B587:E587">
    <cfRule type="expression" dxfId="29" priority="1207" stopIfTrue="1">
      <formula>$A587="begin group"</formula>
    </cfRule>
  </conditionalFormatting>
  <conditionalFormatting sqref="B587">
    <cfRule type="expression" dxfId="30" priority="1208" stopIfTrue="1">
      <formula>$A587="comments"</formula>
    </cfRule>
  </conditionalFormatting>
  <conditionalFormatting sqref="B587">
    <cfRule type="expression" dxfId="36" priority="1209" stopIfTrue="1">
      <formula>OR(AND(LEFT($A587, 14)="sensor_stream ", LEN($A587)&gt;14, NOT(ISNUMBER(SEARCH(" ", $A587, 15)))), AND(LEFT($A587, 17)="sensor_statistic ", LEN($A587)&gt;17, NOT(ISNUMBER(SEARCH(" ", $A587, 18)))))</formula>
    </cfRule>
  </conditionalFormatting>
  <conditionalFormatting sqref="B579:C581 D579:E581">
    <cfRule type="expression" dxfId="0" priority="1210" stopIfTrue="1">
      <formula>$A579="begin group"</formula>
    </cfRule>
  </conditionalFormatting>
  <conditionalFormatting sqref="B579:C581 D579:E581">
    <cfRule type="expression" dxfId="1" priority="1211" stopIfTrue="1">
      <formula>$A579="begin repeat"</formula>
    </cfRule>
  </conditionalFormatting>
  <conditionalFormatting sqref="B579:E581">
    <cfRule type="expression" dxfId="31" priority="1212" stopIfTrue="1">
      <formula>$A579="enumerator"</formula>
    </cfRule>
  </conditionalFormatting>
  <conditionalFormatting sqref="B579:E581">
    <cfRule type="expression" dxfId="2" priority="1213" stopIfTrue="1">
      <formula>$A579="text"</formula>
    </cfRule>
  </conditionalFormatting>
  <conditionalFormatting sqref="B579:E581">
    <cfRule type="expression" dxfId="3" priority="1214" stopIfTrue="1">
      <formula>$A579="integer"</formula>
    </cfRule>
  </conditionalFormatting>
  <conditionalFormatting sqref="B579:E581">
    <cfRule type="expression" dxfId="4" priority="1215" stopIfTrue="1">
      <formula>$A579="decimal"</formula>
    </cfRule>
  </conditionalFormatting>
  <conditionalFormatting sqref="B579:C581 D579:E581">
    <cfRule type="expression" dxfId="5" priority="1216" stopIfTrue="1">
      <formula>OR(AND(LEFT($A579, 16)="select_multiple ", LEN($A579)&gt;16, NOT(ISNUMBER(SEARCH(" ", $A579, 17)))), AND(LEFT($A579, 11)="select_one ", LEN($A579)&gt;11, NOT(ISNUMBER(SEARCH(" ", $A579, 12)))))</formula>
    </cfRule>
  </conditionalFormatting>
  <conditionalFormatting sqref="B579:B581">
    <cfRule type="expression" dxfId="6" priority="1217" stopIfTrue="1">
      <formula>OR($A579="audio audit", $A579="text audit", $A579="speed violations count", $A579="speed violations list", $A579="speed violations audit")</formula>
    </cfRule>
  </conditionalFormatting>
  <conditionalFormatting sqref="B579:C581 D579:E581">
    <cfRule type="expression" dxfId="32" priority="1218" stopIfTrue="1">
      <formula>$A579="file"</formula>
    </cfRule>
  </conditionalFormatting>
  <conditionalFormatting sqref="B579:C581 D579:E581">
    <cfRule type="expression" dxfId="7" priority="1219" stopIfTrue="1">
      <formula>$A579="note"</formula>
    </cfRule>
  </conditionalFormatting>
  <conditionalFormatting sqref="B579:C581 D579:E581">
    <cfRule type="expression" dxfId="8" priority="1220" stopIfTrue="1">
      <formula>$A579="barcode"</formula>
    </cfRule>
  </conditionalFormatting>
  <conditionalFormatting sqref="B579:C581 D579:E581">
    <cfRule type="expression" dxfId="9" priority="1221" stopIfTrue="1">
      <formula>OR($A579="geopoint", $A579="geoshape", $A579="geotrace")</formula>
    </cfRule>
  </conditionalFormatting>
  <conditionalFormatting sqref="B579:B581">
    <cfRule type="expression" dxfId="10" priority="1222" stopIfTrue="1">
      <formula>OR($A579="calculate", $A579="calculate_here")</formula>
    </cfRule>
  </conditionalFormatting>
  <conditionalFormatting sqref="B579:C581 D579:E581">
    <cfRule type="expression" dxfId="11" priority="1223" stopIfTrue="1">
      <formula>OR($A579="date", $A579="datetime", $A579="time")</formula>
    </cfRule>
  </conditionalFormatting>
  <conditionalFormatting sqref="B579:C581 D579:E581">
    <cfRule type="expression" dxfId="12" priority="1224" stopIfTrue="1">
      <formula>$A579="image"</formula>
    </cfRule>
  </conditionalFormatting>
  <conditionalFormatting sqref="B579:C581 D579:E581">
    <cfRule type="expression" dxfId="13" priority="1225" stopIfTrue="1">
      <formula>OR($A579="audio", $A579="video")</formula>
    </cfRule>
  </conditionalFormatting>
  <conditionalFormatting sqref="B579:E581">
    <cfRule type="expression" dxfId="33" priority="1226" stopIfTrue="1">
      <formula>$A579="file"</formula>
    </cfRule>
  </conditionalFormatting>
  <conditionalFormatting sqref="B579:E581">
    <cfRule type="expression" dxfId="34" priority="1227" stopIfTrue="1">
      <formula>$A579="enumerator"</formula>
    </cfRule>
  </conditionalFormatting>
  <conditionalFormatting sqref="B579:E581">
    <cfRule type="expression" dxfId="35" priority="1228" stopIfTrue="1">
      <formula>OR(AND(LEFT($A579, 14)="sensor_stream ", LEN($A579)&gt;14, NOT(ISNUMBER(SEARCH(" ", $A579, 15)))), AND(LEFT($A579, 17)="sensor_statistic ", LEN($A579)&gt;17, NOT(ISNUMBER(SEARCH(" ", $A579, 18)))))</formula>
    </cfRule>
  </conditionalFormatting>
  <conditionalFormatting sqref="B579:E581">
    <cfRule type="expression" dxfId="14" priority="1229" stopIfTrue="1">
      <formula>$A579="comments"</formula>
    </cfRule>
  </conditionalFormatting>
  <conditionalFormatting sqref="B579:E581">
    <cfRule type="expression" dxfId="15" priority="1230" stopIfTrue="1">
      <formula>OR($A579="audio", $A579="video")</formula>
    </cfRule>
  </conditionalFormatting>
  <conditionalFormatting sqref="B579:E581">
    <cfRule type="expression" dxfId="16" priority="1231" stopIfTrue="1">
      <formula>$A579="image"</formula>
    </cfRule>
  </conditionalFormatting>
  <conditionalFormatting sqref="B579:E581">
    <cfRule type="expression" dxfId="17" priority="1232" stopIfTrue="1">
      <formula>OR($A579="date", $A579="datetime", $A579="time")</formula>
    </cfRule>
  </conditionalFormatting>
  <conditionalFormatting sqref="B579:E581">
    <cfRule type="expression" dxfId="18" priority="1233" stopIfTrue="1">
      <formula>OR($A579="calculate", $A579="calculate_here")</formula>
    </cfRule>
  </conditionalFormatting>
  <conditionalFormatting sqref="B579:E581">
    <cfRule type="expression" dxfId="19" priority="1234" stopIfTrue="1">
      <formula>$A579="note"</formula>
    </cfRule>
  </conditionalFormatting>
  <conditionalFormatting sqref="B579:E581">
    <cfRule type="expression" dxfId="20" priority="1235" stopIfTrue="1">
      <formula>$A579="barcode"</formula>
    </cfRule>
  </conditionalFormatting>
  <conditionalFormatting sqref="B579:E581">
    <cfRule type="expression" dxfId="21" priority="1236" stopIfTrue="1">
      <formula>OR($A579="geopoint", $A579="geoshape", $A579="geotrace")</formula>
    </cfRule>
  </conditionalFormatting>
  <conditionalFormatting sqref="B579:E581">
    <cfRule type="expression" dxfId="22" priority="1237" stopIfTrue="1">
      <formula>OR($A579="audio audit", $A579="text audit", $A579="speed violations count", $A579="speed violations list", $A579="speed violations audit")</formula>
    </cfRule>
  </conditionalFormatting>
  <conditionalFormatting sqref="B579:E581">
    <cfRule type="expression" dxfId="23" priority="1238" stopIfTrue="1">
      <formula>OR($A579="username", $A579="phonenumber", $A579="start", $A579="end", $A579="deviceid", $A579="subscriberid", $A579="simserial", $A579="caseid")</formula>
    </cfRule>
  </conditionalFormatting>
  <conditionalFormatting sqref="B579:E581">
    <cfRule type="expression" dxfId="24" priority="1239" stopIfTrue="1">
      <formula>OR(AND(LEFT($A579, 16)="select_multiple ", LEN($A579)&gt;16, NOT(ISNUMBER(SEARCH(" ", $A579, 17)))), AND(LEFT($A579, 11)="select_one ", LEN($A579)&gt;11, NOT(ISNUMBER(SEARCH(" ", $A579, 12)))))</formula>
    </cfRule>
  </conditionalFormatting>
  <conditionalFormatting sqref="B579:E581">
    <cfRule type="expression" dxfId="25" priority="1240" stopIfTrue="1">
      <formula>$A579="decimal"</formula>
    </cfRule>
  </conditionalFormatting>
  <conditionalFormatting sqref="B579:E581">
    <cfRule type="expression" dxfId="26" priority="1241" stopIfTrue="1">
      <formula>$A579="integer"</formula>
    </cfRule>
  </conditionalFormatting>
  <conditionalFormatting sqref="B579:E581">
    <cfRule type="expression" dxfId="27" priority="1242" stopIfTrue="1">
      <formula>$A579="text"</formula>
    </cfRule>
  </conditionalFormatting>
  <conditionalFormatting sqref="B579:E581">
    <cfRule type="expression" dxfId="28" priority="1243" stopIfTrue="1">
      <formula>$A579="end repeat"</formula>
    </cfRule>
  </conditionalFormatting>
  <conditionalFormatting sqref="B579:E581">
    <cfRule type="expression" dxfId="28" priority="1244" stopIfTrue="1">
      <formula>$A579="begin repeat"</formula>
    </cfRule>
  </conditionalFormatting>
  <conditionalFormatting sqref="B579:E581">
    <cfRule type="expression" dxfId="29" priority="1245" stopIfTrue="1">
      <formula>$A579="end group"</formula>
    </cfRule>
  </conditionalFormatting>
  <conditionalFormatting sqref="B579:E581">
    <cfRule type="expression" dxfId="29" priority="1246" stopIfTrue="1">
      <formula>$A579="begin group"</formula>
    </cfRule>
  </conditionalFormatting>
  <conditionalFormatting sqref="B579:B581">
    <cfRule type="expression" dxfId="30" priority="1247" stopIfTrue="1">
      <formula>$A579="comments"</formula>
    </cfRule>
  </conditionalFormatting>
  <conditionalFormatting sqref="B579:B581">
    <cfRule type="expression" dxfId="36" priority="1248" stopIfTrue="1">
      <formula>OR(AND(LEFT($A579, 14)="sensor_stream ", LEN($A579)&gt;14, NOT(ISNUMBER(SEARCH(" ", $A579, 15)))), AND(LEFT($A579, 17)="sensor_statistic ", LEN($A579)&gt;17, NOT(ISNUMBER(SEARCH(" ", $A579, 18)))))</formula>
    </cfRule>
  </conditionalFormatting>
  <conditionalFormatting sqref="B575:C577 D575:E577">
    <cfRule type="expression" dxfId="0" priority="1249" stopIfTrue="1">
      <formula>$A575="begin group"</formula>
    </cfRule>
  </conditionalFormatting>
  <conditionalFormatting sqref="B575:C577 D575:E577">
    <cfRule type="expression" dxfId="1" priority="1250" stopIfTrue="1">
      <formula>$A575="begin repeat"</formula>
    </cfRule>
  </conditionalFormatting>
  <conditionalFormatting sqref="B575:E577">
    <cfRule type="expression" dxfId="31" priority="1251" stopIfTrue="1">
      <formula>$A575="enumerator"</formula>
    </cfRule>
  </conditionalFormatting>
  <conditionalFormatting sqref="B575:E577">
    <cfRule type="expression" dxfId="2" priority="1252" stopIfTrue="1">
      <formula>$A575="text"</formula>
    </cfRule>
  </conditionalFormatting>
  <conditionalFormatting sqref="B575:E577">
    <cfRule type="expression" dxfId="3" priority="1253" stopIfTrue="1">
      <formula>$A575="integer"</formula>
    </cfRule>
  </conditionalFormatting>
  <conditionalFormatting sqref="B575:E577">
    <cfRule type="expression" dxfId="4" priority="1254" stopIfTrue="1">
      <formula>$A575="decimal"</formula>
    </cfRule>
  </conditionalFormatting>
  <conditionalFormatting sqref="B575:C577 D575:E577">
    <cfRule type="expression" dxfId="5" priority="1255" stopIfTrue="1">
      <formula>OR(AND(LEFT($A575, 16)="select_multiple ", LEN($A575)&gt;16, NOT(ISNUMBER(SEARCH(" ", $A575, 17)))), AND(LEFT($A575, 11)="select_one ", LEN($A575)&gt;11, NOT(ISNUMBER(SEARCH(" ", $A575, 12)))))</formula>
    </cfRule>
  </conditionalFormatting>
  <conditionalFormatting sqref="B575:B577">
    <cfRule type="expression" dxfId="6" priority="1256" stopIfTrue="1">
      <formula>OR($A575="audio audit", $A575="text audit", $A575="speed violations count", $A575="speed violations list", $A575="speed violations audit")</formula>
    </cfRule>
  </conditionalFormatting>
  <conditionalFormatting sqref="B575:C577 D575:E577">
    <cfRule type="expression" dxfId="32" priority="1257" stopIfTrue="1">
      <formula>$A575="file"</formula>
    </cfRule>
  </conditionalFormatting>
  <conditionalFormatting sqref="B575:C577 D575:E577">
    <cfRule type="expression" dxfId="7" priority="1258" stopIfTrue="1">
      <formula>$A575="note"</formula>
    </cfRule>
  </conditionalFormatting>
  <conditionalFormatting sqref="B575:C577 D575:E577">
    <cfRule type="expression" dxfId="8" priority="1259" stopIfTrue="1">
      <formula>$A575="barcode"</formula>
    </cfRule>
  </conditionalFormatting>
  <conditionalFormatting sqref="B575:C577 D575:E577">
    <cfRule type="expression" dxfId="9" priority="1260" stopIfTrue="1">
      <formula>OR($A575="geopoint", $A575="geoshape", $A575="geotrace")</formula>
    </cfRule>
  </conditionalFormatting>
  <conditionalFormatting sqref="B575:B577">
    <cfRule type="expression" dxfId="10" priority="1261" stopIfTrue="1">
      <formula>OR($A575="calculate", $A575="calculate_here")</formula>
    </cfRule>
  </conditionalFormatting>
  <conditionalFormatting sqref="B575:C577 D575:E577">
    <cfRule type="expression" dxfId="11" priority="1262" stopIfTrue="1">
      <formula>OR($A575="date", $A575="datetime", $A575="time")</formula>
    </cfRule>
  </conditionalFormatting>
  <conditionalFormatting sqref="B575:C577 D575:E577">
    <cfRule type="expression" dxfId="12" priority="1263" stopIfTrue="1">
      <formula>$A575="image"</formula>
    </cfRule>
  </conditionalFormatting>
  <conditionalFormatting sqref="B575:C577 D575:E577">
    <cfRule type="expression" dxfId="13" priority="1264" stopIfTrue="1">
      <formula>OR($A575="audio", $A575="video")</formula>
    </cfRule>
  </conditionalFormatting>
  <conditionalFormatting sqref="B575:E577">
    <cfRule type="expression" dxfId="33" priority="1265" stopIfTrue="1">
      <formula>$A575="file"</formula>
    </cfRule>
  </conditionalFormatting>
  <conditionalFormatting sqref="B575:E577">
    <cfRule type="expression" dxfId="34" priority="1266" stopIfTrue="1">
      <formula>$A575="enumerator"</formula>
    </cfRule>
  </conditionalFormatting>
  <conditionalFormatting sqref="B575:E577">
    <cfRule type="expression" dxfId="35" priority="1267" stopIfTrue="1">
      <formula>OR(AND(LEFT($A575, 14)="sensor_stream ", LEN($A575)&gt;14, NOT(ISNUMBER(SEARCH(" ", $A575, 15)))), AND(LEFT($A575, 17)="sensor_statistic ", LEN($A575)&gt;17, NOT(ISNUMBER(SEARCH(" ", $A575, 18)))))</formula>
    </cfRule>
  </conditionalFormatting>
  <conditionalFormatting sqref="B575:E577">
    <cfRule type="expression" dxfId="14" priority="1268" stopIfTrue="1">
      <formula>$A575="comments"</formula>
    </cfRule>
  </conditionalFormatting>
  <conditionalFormatting sqref="B575:E577">
    <cfRule type="expression" dxfId="15" priority="1269" stopIfTrue="1">
      <formula>OR($A575="audio", $A575="video")</formula>
    </cfRule>
  </conditionalFormatting>
  <conditionalFormatting sqref="B575:E577">
    <cfRule type="expression" dxfId="16" priority="1270" stopIfTrue="1">
      <formula>$A575="image"</formula>
    </cfRule>
  </conditionalFormatting>
  <conditionalFormatting sqref="B575:E577">
    <cfRule type="expression" dxfId="17" priority="1271" stopIfTrue="1">
      <formula>OR($A575="date", $A575="datetime", $A575="time")</formula>
    </cfRule>
  </conditionalFormatting>
  <conditionalFormatting sqref="B575:E577">
    <cfRule type="expression" dxfId="18" priority="1272" stopIfTrue="1">
      <formula>OR($A575="calculate", $A575="calculate_here")</formula>
    </cfRule>
  </conditionalFormatting>
  <conditionalFormatting sqref="B575:E577">
    <cfRule type="expression" dxfId="19" priority="1273" stopIfTrue="1">
      <formula>$A575="note"</formula>
    </cfRule>
  </conditionalFormatting>
  <conditionalFormatting sqref="B575:E577">
    <cfRule type="expression" dxfId="20" priority="1274" stopIfTrue="1">
      <formula>$A575="barcode"</formula>
    </cfRule>
  </conditionalFormatting>
  <conditionalFormatting sqref="B575:E577">
    <cfRule type="expression" dxfId="21" priority="1275" stopIfTrue="1">
      <formula>OR($A575="geopoint", $A575="geoshape", $A575="geotrace")</formula>
    </cfRule>
  </conditionalFormatting>
  <conditionalFormatting sqref="B575:E577">
    <cfRule type="expression" dxfId="22" priority="1276" stopIfTrue="1">
      <formula>OR($A575="audio audit", $A575="text audit", $A575="speed violations count", $A575="speed violations list", $A575="speed violations audit")</formula>
    </cfRule>
  </conditionalFormatting>
  <conditionalFormatting sqref="B575:E577">
    <cfRule type="expression" dxfId="23" priority="1277" stopIfTrue="1">
      <formula>OR($A575="username", $A575="phonenumber", $A575="start", $A575="end", $A575="deviceid", $A575="subscriberid", $A575="simserial", $A575="caseid")</formula>
    </cfRule>
  </conditionalFormatting>
  <conditionalFormatting sqref="B575:E577">
    <cfRule type="expression" dxfId="24" priority="1278" stopIfTrue="1">
      <formula>OR(AND(LEFT($A575, 16)="select_multiple ", LEN($A575)&gt;16, NOT(ISNUMBER(SEARCH(" ", $A575, 17)))), AND(LEFT($A575, 11)="select_one ", LEN($A575)&gt;11, NOT(ISNUMBER(SEARCH(" ", $A575, 12)))))</formula>
    </cfRule>
  </conditionalFormatting>
  <conditionalFormatting sqref="B575:E577">
    <cfRule type="expression" dxfId="25" priority="1279" stopIfTrue="1">
      <formula>$A575="decimal"</formula>
    </cfRule>
  </conditionalFormatting>
  <conditionalFormatting sqref="B575:E577">
    <cfRule type="expression" dxfId="26" priority="1280" stopIfTrue="1">
      <formula>$A575="integer"</formula>
    </cfRule>
  </conditionalFormatting>
  <conditionalFormatting sqref="B575:E577">
    <cfRule type="expression" dxfId="27" priority="1281" stopIfTrue="1">
      <formula>$A575="text"</formula>
    </cfRule>
  </conditionalFormatting>
  <conditionalFormatting sqref="B575:E577">
    <cfRule type="expression" dxfId="28" priority="1282" stopIfTrue="1">
      <formula>$A575="end repeat"</formula>
    </cfRule>
  </conditionalFormatting>
  <conditionalFormatting sqref="B575:E577">
    <cfRule type="expression" dxfId="28" priority="1283" stopIfTrue="1">
      <formula>$A575="begin repeat"</formula>
    </cfRule>
  </conditionalFormatting>
  <conditionalFormatting sqref="B575:E577">
    <cfRule type="expression" dxfId="29" priority="1284" stopIfTrue="1">
      <formula>$A575="end group"</formula>
    </cfRule>
  </conditionalFormatting>
  <conditionalFormatting sqref="B575:E577">
    <cfRule type="expression" dxfId="29" priority="1285" stopIfTrue="1">
      <formula>$A575="begin group"</formula>
    </cfRule>
  </conditionalFormatting>
  <conditionalFormatting sqref="B575:B577">
    <cfRule type="expression" dxfId="30" priority="1286" stopIfTrue="1">
      <formula>$A575="comments"</formula>
    </cfRule>
  </conditionalFormatting>
  <conditionalFormatting sqref="B575:B577">
    <cfRule type="expression" dxfId="36" priority="1287" stopIfTrue="1">
      <formula>OR(AND(LEFT($A575, 14)="sensor_stream ", LEN($A575)&gt;14, NOT(ISNUMBER(SEARCH(" ", $A575, 15)))), AND(LEFT($A575, 17)="sensor_statistic ", LEN($A575)&gt;17, NOT(ISNUMBER(SEARCH(" ", $A575, 18)))))</formula>
    </cfRule>
  </conditionalFormatting>
  <conditionalFormatting sqref="B563:C570 D563:E570">
    <cfRule type="expression" dxfId="0" priority="1288" stopIfTrue="1">
      <formula>$A563="begin group"</formula>
    </cfRule>
  </conditionalFormatting>
  <conditionalFormatting sqref="B563:C570 D563:E570">
    <cfRule type="expression" dxfId="1" priority="1289" stopIfTrue="1">
      <formula>$A563="begin repeat"</formula>
    </cfRule>
  </conditionalFormatting>
  <conditionalFormatting sqref="B563:E570">
    <cfRule type="expression" dxfId="31" priority="1290" stopIfTrue="1">
      <formula>$A563="enumerator"</formula>
    </cfRule>
  </conditionalFormatting>
  <conditionalFormatting sqref="B563:E570">
    <cfRule type="expression" dxfId="2" priority="1291" stopIfTrue="1">
      <formula>$A563="text"</formula>
    </cfRule>
  </conditionalFormatting>
  <conditionalFormatting sqref="B563:E570">
    <cfRule type="expression" dxfId="3" priority="1292" stopIfTrue="1">
      <formula>$A563="integer"</formula>
    </cfRule>
  </conditionalFormatting>
  <conditionalFormatting sqref="B563:E570">
    <cfRule type="expression" dxfId="4" priority="1293" stopIfTrue="1">
      <formula>$A563="decimal"</formula>
    </cfRule>
  </conditionalFormatting>
  <conditionalFormatting sqref="B563:C570 D563:E570">
    <cfRule type="expression" dxfId="5" priority="1294" stopIfTrue="1">
      <formula>OR(AND(LEFT($A563, 16)="select_multiple ", LEN($A563)&gt;16, NOT(ISNUMBER(SEARCH(" ", $A563, 17)))), AND(LEFT($A563, 11)="select_one ", LEN($A563)&gt;11, NOT(ISNUMBER(SEARCH(" ", $A563, 12)))))</formula>
    </cfRule>
  </conditionalFormatting>
  <conditionalFormatting sqref="B563:B570">
    <cfRule type="expression" dxfId="6" priority="1295" stopIfTrue="1">
      <formula>OR($A563="audio audit", $A563="text audit", $A563="speed violations count", $A563="speed violations list", $A563="speed violations audit")</formula>
    </cfRule>
  </conditionalFormatting>
  <conditionalFormatting sqref="B563:C570 D563:E570">
    <cfRule type="expression" dxfId="32" priority="1296" stopIfTrue="1">
      <formula>$A563="file"</formula>
    </cfRule>
  </conditionalFormatting>
  <conditionalFormatting sqref="B563:C570 D563:E570">
    <cfRule type="expression" dxfId="7" priority="1297" stopIfTrue="1">
      <formula>$A563="note"</formula>
    </cfRule>
  </conditionalFormatting>
  <conditionalFormatting sqref="B563:C570 D563:E570">
    <cfRule type="expression" dxfId="8" priority="1298" stopIfTrue="1">
      <formula>$A563="barcode"</formula>
    </cfRule>
  </conditionalFormatting>
  <conditionalFormatting sqref="B563:C570 D563:E570">
    <cfRule type="expression" dxfId="9" priority="1299" stopIfTrue="1">
      <formula>OR($A563="geopoint", $A563="geoshape", $A563="geotrace")</formula>
    </cfRule>
  </conditionalFormatting>
  <conditionalFormatting sqref="B563:B570">
    <cfRule type="expression" dxfId="10" priority="1300" stopIfTrue="1">
      <formula>OR($A563="calculate", $A563="calculate_here")</formula>
    </cfRule>
  </conditionalFormatting>
  <conditionalFormatting sqref="B563:C570 D563:E570">
    <cfRule type="expression" dxfId="11" priority="1301" stopIfTrue="1">
      <formula>OR($A563="date", $A563="datetime", $A563="time")</formula>
    </cfRule>
  </conditionalFormatting>
  <conditionalFormatting sqref="B563:C570 D563:E570">
    <cfRule type="expression" dxfId="12" priority="1302" stopIfTrue="1">
      <formula>$A563="image"</formula>
    </cfRule>
  </conditionalFormatting>
  <conditionalFormatting sqref="B563:C570 D563:E570">
    <cfRule type="expression" dxfId="13" priority="1303" stopIfTrue="1">
      <formula>OR($A563="audio", $A563="video")</formula>
    </cfRule>
  </conditionalFormatting>
  <conditionalFormatting sqref="B563:E570">
    <cfRule type="expression" dxfId="33" priority="1304" stopIfTrue="1">
      <formula>$A563="file"</formula>
    </cfRule>
  </conditionalFormatting>
  <conditionalFormatting sqref="B563:E570">
    <cfRule type="expression" dxfId="34" priority="1305" stopIfTrue="1">
      <formula>$A563="enumerator"</formula>
    </cfRule>
  </conditionalFormatting>
  <conditionalFormatting sqref="B563:E570">
    <cfRule type="expression" dxfId="35" priority="1306" stopIfTrue="1">
      <formula>OR(AND(LEFT($A563, 14)="sensor_stream ", LEN($A563)&gt;14, NOT(ISNUMBER(SEARCH(" ", $A563, 15)))), AND(LEFT($A563, 17)="sensor_statistic ", LEN($A563)&gt;17, NOT(ISNUMBER(SEARCH(" ", $A563, 18)))))</formula>
    </cfRule>
  </conditionalFormatting>
  <conditionalFormatting sqref="B563:E570">
    <cfRule type="expression" dxfId="14" priority="1307" stopIfTrue="1">
      <formula>$A563="comments"</formula>
    </cfRule>
  </conditionalFormatting>
  <conditionalFormatting sqref="B563:E570">
    <cfRule type="expression" dxfId="15" priority="1308" stopIfTrue="1">
      <formula>OR($A563="audio", $A563="video")</formula>
    </cfRule>
  </conditionalFormatting>
  <conditionalFormatting sqref="B563:E570">
    <cfRule type="expression" dxfId="16" priority="1309" stopIfTrue="1">
      <formula>$A563="image"</formula>
    </cfRule>
  </conditionalFormatting>
  <conditionalFormatting sqref="B563:E570">
    <cfRule type="expression" dxfId="17" priority="1310" stopIfTrue="1">
      <formula>OR($A563="date", $A563="datetime", $A563="time")</formula>
    </cfRule>
  </conditionalFormatting>
  <conditionalFormatting sqref="B563:E570">
    <cfRule type="expression" dxfId="18" priority="1311" stopIfTrue="1">
      <formula>OR($A563="calculate", $A563="calculate_here")</formula>
    </cfRule>
  </conditionalFormatting>
  <conditionalFormatting sqref="B563:E570">
    <cfRule type="expression" dxfId="19" priority="1312" stopIfTrue="1">
      <formula>$A563="note"</formula>
    </cfRule>
  </conditionalFormatting>
  <conditionalFormatting sqref="B563:E570">
    <cfRule type="expression" dxfId="20" priority="1313" stopIfTrue="1">
      <formula>$A563="barcode"</formula>
    </cfRule>
  </conditionalFormatting>
  <conditionalFormatting sqref="B563:E570">
    <cfRule type="expression" dxfId="21" priority="1314" stopIfTrue="1">
      <formula>OR($A563="geopoint", $A563="geoshape", $A563="geotrace")</formula>
    </cfRule>
  </conditionalFormatting>
  <conditionalFormatting sqref="B563:E570">
    <cfRule type="expression" dxfId="22" priority="1315" stopIfTrue="1">
      <formula>OR($A563="audio audit", $A563="text audit", $A563="speed violations count", $A563="speed violations list", $A563="speed violations audit")</formula>
    </cfRule>
  </conditionalFormatting>
  <conditionalFormatting sqref="B563:E570">
    <cfRule type="expression" dxfId="23" priority="1316" stopIfTrue="1">
      <formula>OR($A563="username", $A563="phonenumber", $A563="start", $A563="end", $A563="deviceid", $A563="subscriberid", $A563="simserial", $A563="caseid")</formula>
    </cfRule>
  </conditionalFormatting>
  <conditionalFormatting sqref="B563:E570">
    <cfRule type="expression" dxfId="24" priority="1317" stopIfTrue="1">
      <formula>OR(AND(LEFT($A563, 16)="select_multiple ", LEN($A563)&gt;16, NOT(ISNUMBER(SEARCH(" ", $A563, 17)))), AND(LEFT($A563, 11)="select_one ", LEN($A563)&gt;11, NOT(ISNUMBER(SEARCH(" ", $A563, 12)))))</formula>
    </cfRule>
  </conditionalFormatting>
  <conditionalFormatting sqref="B563:E570">
    <cfRule type="expression" dxfId="25" priority="1318" stopIfTrue="1">
      <formula>$A563="decimal"</formula>
    </cfRule>
  </conditionalFormatting>
  <conditionalFormatting sqref="B563:E570">
    <cfRule type="expression" dxfId="26" priority="1319" stopIfTrue="1">
      <formula>$A563="integer"</formula>
    </cfRule>
  </conditionalFormatting>
  <conditionalFormatting sqref="B563:E570">
    <cfRule type="expression" dxfId="27" priority="1320" stopIfTrue="1">
      <formula>$A563="text"</formula>
    </cfRule>
  </conditionalFormatting>
  <conditionalFormatting sqref="B563:E570">
    <cfRule type="expression" dxfId="28" priority="1321" stopIfTrue="1">
      <formula>$A563="end repeat"</formula>
    </cfRule>
  </conditionalFormatting>
  <conditionalFormatting sqref="B563:E570">
    <cfRule type="expression" dxfId="28" priority="1322" stopIfTrue="1">
      <formula>$A563="begin repeat"</formula>
    </cfRule>
  </conditionalFormatting>
  <conditionalFormatting sqref="B563:E570">
    <cfRule type="expression" dxfId="29" priority="1323" stopIfTrue="1">
      <formula>$A563="end group"</formula>
    </cfRule>
  </conditionalFormatting>
  <conditionalFormatting sqref="B563:E570">
    <cfRule type="expression" dxfId="29" priority="1324" stopIfTrue="1">
      <formula>$A563="begin group"</formula>
    </cfRule>
  </conditionalFormatting>
  <conditionalFormatting sqref="B563:B570">
    <cfRule type="expression" dxfId="30" priority="1325" stopIfTrue="1">
      <formula>$A563="comments"</formula>
    </cfRule>
  </conditionalFormatting>
  <conditionalFormatting sqref="B563:B570">
    <cfRule type="expression" dxfId="36" priority="1326" stopIfTrue="1">
      <formula>OR(AND(LEFT($A563, 14)="sensor_stream ", LEN($A563)&gt;14, NOT(ISNUMBER(SEARCH(" ", $A563, 15)))), AND(LEFT($A563, 17)="sensor_statistic ", LEN($A563)&gt;17, NOT(ISNUMBER(SEARCH(" ", $A563, 18)))))</formula>
    </cfRule>
  </conditionalFormatting>
  <conditionalFormatting sqref="B556:C561 D556:E561">
    <cfRule type="expression" dxfId="0" priority="1327" stopIfTrue="1">
      <formula>$A556="begin group"</formula>
    </cfRule>
  </conditionalFormatting>
  <conditionalFormatting sqref="B556:C561 D556:E561">
    <cfRule type="expression" dxfId="1" priority="1328" stopIfTrue="1">
      <formula>$A556="begin repeat"</formula>
    </cfRule>
  </conditionalFormatting>
  <conditionalFormatting sqref="B556:E561">
    <cfRule type="expression" dxfId="31" priority="1329" stopIfTrue="1">
      <formula>$A556="enumerator"</formula>
    </cfRule>
  </conditionalFormatting>
  <conditionalFormatting sqref="B556:E561">
    <cfRule type="expression" dxfId="2" priority="1330" stopIfTrue="1">
      <formula>$A556="text"</formula>
    </cfRule>
  </conditionalFormatting>
  <conditionalFormatting sqref="B556:E561">
    <cfRule type="expression" dxfId="3" priority="1331" stopIfTrue="1">
      <formula>$A556="integer"</formula>
    </cfRule>
  </conditionalFormatting>
  <conditionalFormatting sqref="B556:E561">
    <cfRule type="expression" dxfId="4" priority="1332" stopIfTrue="1">
      <formula>$A556="decimal"</formula>
    </cfRule>
  </conditionalFormatting>
  <conditionalFormatting sqref="B556:C561 D556:E561">
    <cfRule type="expression" dxfId="5" priority="1333" stopIfTrue="1">
      <formula>OR(AND(LEFT($A556, 16)="select_multiple ", LEN($A556)&gt;16, NOT(ISNUMBER(SEARCH(" ", $A556, 17)))), AND(LEFT($A556, 11)="select_one ", LEN($A556)&gt;11, NOT(ISNUMBER(SEARCH(" ", $A556, 12)))))</formula>
    </cfRule>
  </conditionalFormatting>
  <conditionalFormatting sqref="B556:B561">
    <cfRule type="expression" dxfId="6" priority="1334" stopIfTrue="1">
      <formula>OR($A556="audio audit", $A556="text audit", $A556="speed violations count", $A556="speed violations list", $A556="speed violations audit")</formula>
    </cfRule>
  </conditionalFormatting>
  <conditionalFormatting sqref="B556:C561 D556:E561">
    <cfRule type="expression" dxfId="32" priority="1335" stopIfTrue="1">
      <formula>$A556="file"</formula>
    </cfRule>
  </conditionalFormatting>
  <conditionalFormatting sqref="B556:C561 D556:E561">
    <cfRule type="expression" dxfId="7" priority="1336" stopIfTrue="1">
      <formula>$A556="note"</formula>
    </cfRule>
  </conditionalFormatting>
  <conditionalFormatting sqref="B556:C561 D556:E561">
    <cfRule type="expression" dxfId="8" priority="1337" stopIfTrue="1">
      <formula>$A556="barcode"</formula>
    </cfRule>
  </conditionalFormatting>
  <conditionalFormatting sqref="B556:C561 D556:E561">
    <cfRule type="expression" dxfId="9" priority="1338" stopIfTrue="1">
      <formula>OR($A556="geopoint", $A556="geoshape", $A556="geotrace")</formula>
    </cfRule>
  </conditionalFormatting>
  <conditionalFormatting sqref="B556:B561">
    <cfRule type="expression" dxfId="10" priority="1339" stopIfTrue="1">
      <formula>OR($A556="calculate", $A556="calculate_here")</formula>
    </cfRule>
  </conditionalFormatting>
  <conditionalFormatting sqref="B556:C561 D556:E561">
    <cfRule type="expression" dxfId="11" priority="1340" stopIfTrue="1">
      <formula>OR($A556="date", $A556="datetime", $A556="time")</formula>
    </cfRule>
  </conditionalFormatting>
  <conditionalFormatting sqref="B556:C561 D556:E561">
    <cfRule type="expression" dxfId="12" priority="1341" stopIfTrue="1">
      <formula>$A556="image"</formula>
    </cfRule>
  </conditionalFormatting>
  <conditionalFormatting sqref="B556:C561 D556:E561">
    <cfRule type="expression" dxfId="13" priority="1342" stopIfTrue="1">
      <formula>OR($A556="audio", $A556="video")</formula>
    </cfRule>
  </conditionalFormatting>
  <conditionalFormatting sqref="B556:E561">
    <cfRule type="expression" dxfId="33" priority="1343" stopIfTrue="1">
      <formula>$A556="file"</formula>
    </cfRule>
  </conditionalFormatting>
  <conditionalFormatting sqref="B556:E561">
    <cfRule type="expression" dxfId="34" priority="1344" stopIfTrue="1">
      <formula>$A556="enumerator"</formula>
    </cfRule>
  </conditionalFormatting>
  <conditionalFormatting sqref="B556:E561">
    <cfRule type="expression" dxfId="35" priority="1345" stopIfTrue="1">
      <formula>OR(AND(LEFT($A556, 14)="sensor_stream ", LEN($A556)&gt;14, NOT(ISNUMBER(SEARCH(" ", $A556, 15)))), AND(LEFT($A556, 17)="sensor_statistic ", LEN($A556)&gt;17, NOT(ISNUMBER(SEARCH(" ", $A556, 18)))))</formula>
    </cfRule>
  </conditionalFormatting>
  <conditionalFormatting sqref="B556:E561">
    <cfRule type="expression" dxfId="14" priority="1346" stopIfTrue="1">
      <formula>$A556="comments"</formula>
    </cfRule>
  </conditionalFormatting>
  <conditionalFormatting sqref="B556:E561">
    <cfRule type="expression" dxfId="15" priority="1347" stopIfTrue="1">
      <formula>OR($A556="audio", $A556="video")</formula>
    </cfRule>
  </conditionalFormatting>
  <conditionalFormatting sqref="B556:E561">
    <cfRule type="expression" dxfId="16" priority="1348" stopIfTrue="1">
      <formula>$A556="image"</formula>
    </cfRule>
  </conditionalFormatting>
  <conditionalFormatting sqref="B556:E561">
    <cfRule type="expression" dxfId="17" priority="1349" stopIfTrue="1">
      <formula>OR($A556="date", $A556="datetime", $A556="time")</formula>
    </cfRule>
  </conditionalFormatting>
  <conditionalFormatting sqref="B556:E561">
    <cfRule type="expression" dxfId="18" priority="1350" stopIfTrue="1">
      <formula>OR($A556="calculate", $A556="calculate_here")</formula>
    </cfRule>
  </conditionalFormatting>
  <conditionalFormatting sqref="B556:E561">
    <cfRule type="expression" dxfId="19" priority="1351" stopIfTrue="1">
      <formula>$A556="note"</formula>
    </cfRule>
  </conditionalFormatting>
  <conditionalFormatting sqref="B556:E561">
    <cfRule type="expression" dxfId="20" priority="1352" stopIfTrue="1">
      <formula>$A556="barcode"</formula>
    </cfRule>
  </conditionalFormatting>
  <conditionalFormatting sqref="B556:E561">
    <cfRule type="expression" dxfId="21" priority="1353" stopIfTrue="1">
      <formula>OR($A556="geopoint", $A556="geoshape", $A556="geotrace")</formula>
    </cfRule>
  </conditionalFormatting>
  <conditionalFormatting sqref="B556:E561">
    <cfRule type="expression" dxfId="22" priority="1354" stopIfTrue="1">
      <formula>OR($A556="audio audit", $A556="text audit", $A556="speed violations count", $A556="speed violations list", $A556="speed violations audit")</formula>
    </cfRule>
  </conditionalFormatting>
  <conditionalFormatting sqref="B556:E561">
    <cfRule type="expression" dxfId="23" priority="1355" stopIfTrue="1">
      <formula>OR($A556="username", $A556="phonenumber", $A556="start", $A556="end", $A556="deviceid", $A556="subscriberid", $A556="simserial", $A556="caseid")</formula>
    </cfRule>
  </conditionalFormatting>
  <conditionalFormatting sqref="B556:E561">
    <cfRule type="expression" dxfId="24" priority="1356" stopIfTrue="1">
      <formula>OR(AND(LEFT($A556, 16)="select_multiple ", LEN($A556)&gt;16, NOT(ISNUMBER(SEARCH(" ", $A556, 17)))), AND(LEFT($A556, 11)="select_one ", LEN($A556)&gt;11, NOT(ISNUMBER(SEARCH(" ", $A556, 12)))))</formula>
    </cfRule>
  </conditionalFormatting>
  <conditionalFormatting sqref="B556:E561">
    <cfRule type="expression" dxfId="25" priority="1357" stopIfTrue="1">
      <formula>$A556="decimal"</formula>
    </cfRule>
  </conditionalFormatting>
  <conditionalFormatting sqref="B556:E561">
    <cfRule type="expression" dxfId="26" priority="1358" stopIfTrue="1">
      <formula>$A556="integer"</formula>
    </cfRule>
  </conditionalFormatting>
  <conditionalFormatting sqref="B556:E561">
    <cfRule type="expression" dxfId="27" priority="1359" stopIfTrue="1">
      <formula>$A556="text"</formula>
    </cfRule>
  </conditionalFormatting>
  <conditionalFormatting sqref="B556:E561">
    <cfRule type="expression" dxfId="28" priority="1360" stopIfTrue="1">
      <formula>$A556="end repeat"</formula>
    </cfRule>
  </conditionalFormatting>
  <conditionalFormatting sqref="B556:E561">
    <cfRule type="expression" dxfId="28" priority="1361" stopIfTrue="1">
      <formula>$A556="begin repeat"</formula>
    </cfRule>
  </conditionalFormatting>
  <conditionalFormatting sqref="B556:E561">
    <cfRule type="expression" dxfId="29" priority="1362" stopIfTrue="1">
      <formula>$A556="end group"</formula>
    </cfRule>
  </conditionalFormatting>
  <conditionalFormatting sqref="B556:E561">
    <cfRule type="expression" dxfId="29" priority="1363" stopIfTrue="1">
      <formula>$A556="begin group"</formula>
    </cfRule>
  </conditionalFormatting>
  <conditionalFormatting sqref="B556:B561">
    <cfRule type="expression" dxfId="30" priority="1364" stopIfTrue="1">
      <formula>$A556="comments"</formula>
    </cfRule>
  </conditionalFormatting>
  <conditionalFormatting sqref="B556:B561">
    <cfRule type="expression" dxfId="36" priority="1365" stopIfTrue="1">
      <formula>OR(AND(LEFT($A556, 14)="sensor_stream ", LEN($A556)&gt;14, NOT(ISNUMBER(SEARCH(" ", $A556, 15)))), AND(LEFT($A556, 17)="sensor_statistic ", LEN($A556)&gt;17, NOT(ISNUMBER(SEARCH(" ", $A556, 18)))))</formula>
    </cfRule>
  </conditionalFormatting>
  <conditionalFormatting sqref="B550:C552 D550:E552">
    <cfRule type="expression" dxfId="0" priority="1366" stopIfTrue="1">
      <formula>$A550="begin group"</formula>
    </cfRule>
  </conditionalFormatting>
  <conditionalFormatting sqref="B550:C552 D550:E552">
    <cfRule type="expression" dxfId="1" priority="1367" stopIfTrue="1">
      <formula>$A550="begin repeat"</formula>
    </cfRule>
  </conditionalFormatting>
  <conditionalFormatting sqref="B550:E552">
    <cfRule type="expression" dxfId="31" priority="1368" stopIfTrue="1">
      <formula>$A550="enumerator"</formula>
    </cfRule>
  </conditionalFormatting>
  <conditionalFormatting sqref="B550:E552">
    <cfRule type="expression" dxfId="2" priority="1369" stopIfTrue="1">
      <formula>$A550="text"</formula>
    </cfRule>
  </conditionalFormatting>
  <conditionalFormatting sqref="B550:E552">
    <cfRule type="expression" dxfId="3" priority="1370" stopIfTrue="1">
      <formula>$A550="integer"</formula>
    </cfRule>
  </conditionalFormatting>
  <conditionalFormatting sqref="B550:E552">
    <cfRule type="expression" dxfId="4" priority="1371" stopIfTrue="1">
      <formula>$A550="decimal"</formula>
    </cfRule>
  </conditionalFormatting>
  <conditionalFormatting sqref="B550:C552 D550:E552">
    <cfRule type="expression" dxfId="5" priority="1372" stopIfTrue="1">
      <formula>OR(AND(LEFT($A550, 16)="select_multiple ", LEN($A550)&gt;16, NOT(ISNUMBER(SEARCH(" ", $A550, 17)))), AND(LEFT($A550, 11)="select_one ", LEN($A550)&gt;11, NOT(ISNUMBER(SEARCH(" ", $A550, 12)))))</formula>
    </cfRule>
  </conditionalFormatting>
  <conditionalFormatting sqref="B550:B552">
    <cfRule type="expression" dxfId="6" priority="1373" stopIfTrue="1">
      <formula>OR($A550="audio audit", $A550="text audit", $A550="speed violations count", $A550="speed violations list", $A550="speed violations audit")</formula>
    </cfRule>
  </conditionalFormatting>
  <conditionalFormatting sqref="B550:C552 D550:E552">
    <cfRule type="expression" dxfId="32" priority="1374" stopIfTrue="1">
      <formula>$A550="file"</formula>
    </cfRule>
  </conditionalFormatting>
  <conditionalFormatting sqref="B550:C552 D550:E552">
    <cfRule type="expression" dxfId="7" priority="1375" stopIfTrue="1">
      <formula>$A550="note"</formula>
    </cfRule>
  </conditionalFormatting>
  <conditionalFormatting sqref="B550:C552 D550:E552">
    <cfRule type="expression" dxfId="8" priority="1376" stopIfTrue="1">
      <formula>$A550="barcode"</formula>
    </cfRule>
  </conditionalFormatting>
  <conditionalFormatting sqref="B550:C552 D550:E552">
    <cfRule type="expression" dxfId="9" priority="1377" stopIfTrue="1">
      <formula>OR($A550="geopoint", $A550="geoshape", $A550="geotrace")</formula>
    </cfRule>
  </conditionalFormatting>
  <conditionalFormatting sqref="B550:B552">
    <cfRule type="expression" dxfId="10" priority="1378" stopIfTrue="1">
      <formula>OR($A550="calculate", $A550="calculate_here")</formula>
    </cfRule>
  </conditionalFormatting>
  <conditionalFormatting sqref="B550:C552 D550:E552">
    <cfRule type="expression" dxfId="11" priority="1379" stopIfTrue="1">
      <formula>OR($A550="date", $A550="datetime", $A550="time")</formula>
    </cfRule>
  </conditionalFormatting>
  <conditionalFormatting sqref="B550:C552 D550:E552">
    <cfRule type="expression" dxfId="12" priority="1380" stopIfTrue="1">
      <formula>$A550="image"</formula>
    </cfRule>
  </conditionalFormatting>
  <conditionalFormatting sqref="B550:C552 D550:E552">
    <cfRule type="expression" dxfId="13" priority="1381" stopIfTrue="1">
      <formula>OR($A550="audio", $A550="video")</formula>
    </cfRule>
  </conditionalFormatting>
  <conditionalFormatting sqref="B550:E552">
    <cfRule type="expression" dxfId="33" priority="1382" stopIfTrue="1">
      <formula>$A550="file"</formula>
    </cfRule>
  </conditionalFormatting>
  <conditionalFormatting sqref="B550:E552">
    <cfRule type="expression" dxfId="34" priority="1383" stopIfTrue="1">
      <formula>$A550="enumerator"</formula>
    </cfRule>
  </conditionalFormatting>
  <conditionalFormatting sqref="B550:E552">
    <cfRule type="expression" dxfId="35" priority="1384" stopIfTrue="1">
      <formula>OR(AND(LEFT($A550, 14)="sensor_stream ", LEN($A550)&gt;14, NOT(ISNUMBER(SEARCH(" ", $A550, 15)))), AND(LEFT($A550, 17)="sensor_statistic ", LEN($A550)&gt;17, NOT(ISNUMBER(SEARCH(" ", $A550, 18)))))</formula>
    </cfRule>
  </conditionalFormatting>
  <conditionalFormatting sqref="B550:E552">
    <cfRule type="expression" dxfId="14" priority="1385" stopIfTrue="1">
      <formula>$A550="comments"</formula>
    </cfRule>
  </conditionalFormatting>
  <conditionalFormatting sqref="B550:E552">
    <cfRule type="expression" dxfId="15" priority="1386" stopIfTrue="1">
      <formula>OR($A550="audio", $A550="video")</formula>
    </cfRule>
  </conditionalFormatting>
  <conditionalFormatting sqref="B550:E552">
    <cfRule type="expression" dxfId="16" priority="1387" stopIfTrue="1">
      <formula>$A550="image"</formula>
    </cfRule>
  </conditionalFormatting>
  <conditionalFormatting sqref="B550:E552">
    <cfRule type="expression" dxfId="17" priority="1388" stopIfTrue="1">
      <formula>OR($A550="date", $A550="datetime", $A550="time")</formula>
    </cfRule>
  </conditionalFormatting>
  <conditionalFormatting sqref="B550:E552">
    <cfRule type="expression" dxfId="18" priority="1389" stopIfTrue="1">
      <formula>OR($A550="calculate", $A550="calculate_here")</formula>
    </cfRule>
  </conditionalFormatting>
  <conditionalFormatting sqref="B550:E552">
    <cfRule type="expression" dxfId="19" priority="1390" stopIfTrue="1">
      <formula>$A550="note"</formula>
    </cfRule>
  </conditionalFormatting>
  <conditionalFormatting sqref="B550:E552">
    <cfRule type="expression" dxfId="20" priority="1391" stopIfTrue="1">
      <formula>$A550="barcode"</formula>
    </cfRule>
  </conditionalFormatting>
  <conditionalFormatting sqref="B550:E552">
    <cfRule type="expression" dxfId="21" priority="1392" stopIfTrue="1">
      <formula>OR($A550="geopoint", $A550="geoshape", $A550="geotrace")</formula>
    </cfRule>
  </conditionalFormatting>
  <conditionalFormatting sqref="B550:E552">
    <cfRule type="expression" dxfId="22" priority="1393" stopIfTrue="1">
      <formula>OR($A550="audio audit", $A550="text audit", $A550="speed violations count", $A550="speed violations list", $A550="speed violations audit")</formula>
    </cfRule>
  </conditionalFormatting>
  <conditionalFormatting sqref="B550:E552">
    <cfRule type="expression" dxfId="23" priority="1394" stopIfTrue="1">
      <formula>OR($A550="username", $A550="phonenumber", $A550="start", $A550="end", $A550="deviceid", $A550="subscriberid", $A550="simserial", $A550="caseid")</formula>
    </cfRule>
  </conditionalFormatting>
  <conditionalFormatting sqref="B550:E552">
    <cfRule type="expression" dxfId="24" priority="1395" stopIfTrue="1">
      <formula>OR(AND(LEFT($A550, 16)="select_multiple ", LEN($A550)&gt;16, NOT(ISNUMBER(SEARCH(" ", $A550, 17)))), AND(LEFT($A550, 11)="select_one ", LEN($A550)&gt;11, NOT(ISNUMBER(SEARCH(" ", $A550, 12)))))</formula>
    </cfRule>
  </conditionalFormatting>
  <conditionalFormatting sqref="B550:E552">
    <cfRule type="expression" dxfId="25" priority="1396" stopIfTrue="1">
      <formula>$A550="decimal"</formula>
    </cfRule>
  </conditionalFormatting>
  <conditionalFormatting sqref="B550:E552">
    <cfRule type="expression" dxfId="26" priority="1397" stopIfTrue="1">
      <formula>$A550="integer"</formula>
    </cfRule>
  </conditionalFormatting>
  <conditionalFormatting sqref="B550:E552">
    <cfRule type="expression" dxfId="27" priority="1398" stopIfTrue="1">
      <formula>$A550="text"</formula>
    </cfRule>
  </conditionalFormatting>
  <conditionalFormatting sqref="B550:E552">
    <cfRule type="expression" dxfId="28" priority="1399" stopIfTrue="1">
      <formula>$A550="end repeat"</formula>
    </cfRule>
  </conditionalFormatting>
  <conditionalFormatting sqref="B550:E552">
    <cfRule type="expression" dxfId="28" priority="1400" stopIfTrue="1">
      <formula>$A550="begin repeat"</formula>
    </cfRule>
  </conditionalFormatting>
  <conditionalFormatting sqref="B550:E552">
    <cfRule type="expression" dxfId="29" priority="1401" stopIfTrue="1">
      <formula>$A550="end group"</formula>
    </cfRule>
  </conditionalFormatting>
  <conditionalFormatting sqref="B550:E552">
    <cfRule type="expression" dxfId="29" priority="1402" stopIfTrue="1">
      <formula>$A550="begin group"</formula>
    </cfRule>
  </conditionalFormatting>
  <conditionalFormatting sqref="B550:B552">
    <cfRule type="expression" dxfId="30" priority="1403" stopIfTrue="1">
      <formula>$A550="comments"</formula>
    </cfRule>
  </conditionalFormatting>
  <conditionalFormatting sqref="B550:B552">
    <cfRule type="expression" dxfId="36" priority="1404" stopIfTrue="1">
      <formula>OR(AND(LEFT($A550, 14)="sensor_stream ", LEN($A550)&gt;14, NOT(ISNUMBER(SEARCH(" ", $A550, 15)))), AND(LEFT($A550, 17)="sensor_statistic ", LEN($A550)&gt;17, NOT(ISNUMBER(SEARCH(" ", $A550, 18)))))</formula>
    </cfRule>
  </conditionalFormatting>
  <conditionalFormatting sqref="B545:C546 D545:E546">
    <cfRule type="expression" dxfId="0" priority="1405" stopIfTrue="1">
      <formula>$A545="begin group"</formula>
    </cfRule>
  </conditionalFormatting>
  <conditionalFormatting sqref="B545:C546 D545:E546">
    <cfRule type="expression" dxfId="1" priority="1406" stopIfTrue="1">
      <formula>$A545="begin repeat"</formula>
    </cfRule>
  </conditionalFormatting>
  <conditionalFormatting sqref="B545:E546">
    <cfRule type="expression" dxfId="31" priority="1407" stopIfTrue="1">
      <formula>$A545="enumerator"</formula>
    </cfRule>
  </conditionalFormatting>
  <conditionalFormatting sqref="B545:E546">
    <cfRule type="expression" dxfId="2" priority="1408" stopIfTrue="1">
      <formula>$A545="text"</formula>
    </cfRule>
  </conditionalFormatting>
  <conditionalFormatting sqref="B545:E546">
    <cfRule type="expression" dxfId="3" priority="1409" stopIfTrue="1">
      <formula>$A545="integer"</formula>
    </cfRule>
  </conditionalFormatting>
  <conditionalFormatting sqref="B545:E546">
    <cfRule type="expression" dxfId="4" priority="1410" stopIfTrue="1">
      <formula>$A545="decimal"</formula>
    </cfRule>
  </conditionalFormatting>
  <conditionalFormatting sqref="B545:C546 D545:E546">
    <cfRule type="expression" dxfId="5" priority="1411" stopIfTrue="1">
      <formula>OR(AND(LEFT($A545, 16)="select_multiple ", LEN($A545)&gt;16, NOT(ISNUMBER(SEARCH(" ", $A545, 17)))), AND(LEFT($A545, 11)="select_one ", LEN($A545)&gt;11, NOT(ISNUMBER(SEARCH(" ", $A545, 12)))))</formula>
    </cfRule>
  </conditionalFormatting>
  <conditionalFormatting sqref="B545:B546">
    <cfRule type="expression" dxfId="6" priority="1412" stopIfTrue="1">
      <formula>OR($A545="audio audit", $A545="text audit", $A545="speed violations count", $A545="speed violations list", $A545="speed violations audit")</formula>
    </cfRule>
  </conditionalFormatting>
  <conditionalFormatting sqref="B545:C546 D545:E546">
    <cfRule type="expression" dxfId="32" priority="1413" stopIfTrue="1">
      <formula>$A545="file"</formula>
    </cfRule>
  </conditionalFormatting>
  <conditionalFormatting sqref="B545:C546 D545:E546">
    <cfRule type="expression" dxfId="7" priority="1414" stopIfTrue="1">
      <formula>$A545="note"</formula>
    </cfRule>
  </conditionalFormatting>
  <conditionalFormatting sqref="B545:C546 D545:E546">
    <cfRule type="expression" dxfId="8" priority="1415" stopIfTrue="1">
      <formula>$A545="barcode"</formula>
    </cfRule>
  </conditionalFormatting>
  <conditionalFormatting sqref="B545:C546 D545:E546">
    <cfRule type="expression" dxfId="9" priority="1416" stopIfTrue="1">
      <formula>OR($A545="geopoint", $A545="geoshape", $A545="geotrace")</formula>
    </cfRule>
  </conditionalFormatting>
  <conditionalFormatting sqref="B545:B546">
    <cfRule type="expression" dxfId="10" priority="1417" stopIfTrue="1">
      <formula>OR($A545="calculate", $A545="calculate_here")</formula>
    </cfRule>
  </conditionalFormatting>
  <conditionalFormatting sqref="B545:C546 D545:E546">
    <cfRule type="expression" dxfId="11" priority="1418" stopIfTrue="1">
      <formula>OR($A545="date", $A545="datetime", $A545="time")</formula>
    </cfRule>
  </conditionalFormatting>
  <conditionalFormatting sqref="B545:C546 D545:E546">
    <cfRule type="expression" dxfId="12" priority="1419" stopIfTrue="1">
      <formula>$A545="image"</formula>
    </cfRule>
  </conditionalFormatting>
  <conditionalFormatting sqref="B545:C546 D545:E546">
    <cfRule type="expression" dxfId="13" priority="1420" stopIfTrue="1">
      <formula>OR($A545="audio", $A545="video")</formula>
    </cfRule>
  </conditionalFormatting>
  <conditionalFormatting sqref="B545:E546">
    <cfRule type="expression" dxfId="33" priority="1421" stopIfTrue="1">
      <formula>$A545="file"</formula>
    </cfRule>
  </conditionalFormatting>
  <conditionalFormatting sqref="B545:E546">
    <cfRule type="expression" dxfId="34" priority="1422" stopIfTrue="1">
      <formula>$A545="enumerator"</formula>
    </cfRule>
  </conditionalFormatting>
  <conditionalFormatting sqref="B545:E546">
    <cfRule type="expression" dxfId="35" priority="1423" stopIfTrue="1">
      <formula>OR(AND(LEFT($A545, 14)="sensor_stream ", LEN($A545)&gt;14, NOT(ISNUMBER(SEARCH(" ", $A545, 15)))), AND(LEFT($A545, 17)="sensor_statistic ", LEN($A545)&gt;17, NOT(ISNUMBER(SEARCH(" ", $A545, 18)))))</formula>
    </cfRule>
  </conditionalFormatting>
  <conditionalFormatting sqref="B545:E546">
    <cfRule type="expression" dxfId="14" priority="1424" stopIfTrue="1">
      <formula>$A545="comments"</formula>
    </cfRule>
  </conditionalFormatting>
  <conditionalFormatting sqref="B545:E546">
    <cfRule type="expression" dxfId="15" priority="1425" stopIfTrue="1">
      <formula>OR($A545="audio", $A545="video")</formula>
    </cfRule>
  </conditionalFormatting>
  <conditionalFormatting sqref="B545:E546">
    <cfRule type="expression" dxfId="16" priority="1426" stopIfTrue="1">
      <formula>$A545="image"</formula>
    </cfRule>
  </conditionalFormatting>
  <conditionalFormatting sqref="B545:E546">
    <cfRule type="expression" dxfId="17" priority="1427" stopIfTrue="1">
      <formula>OR($A545="date", $A545="datetime", $A545="time")</formula>
    </cfRule>
  </conditionalFormatting>
  <conditionalFormatting sqref="B545:E546">
    <cfRule type="expression" dxfId="18" priority="1428" stopIfTrue="1">
      <formula>OR($A545="calculate", $A545="calculate_here")</formula>
    </cfRule>
  </conditionalFormatting>
  <conditionalFormatting sqref="B545:E546">
    <cfRule type="expression" dxfId="19" priority="1429" stopIfTrue="1">
      <formula>$A545="note"</formula>
    </cfRule>
  </conditionalFormatting>
  <conditionalFormatting sqref="B545:E546">
    <cfRule type="expression" dxfId="20" priority="1430" stopIfTrue="1">
      <formula>$A545="barcode"</formula>
    </cfRule>
  </conditionalFormatting>
  <conditionalFormatting sqref="B545:E546">
    <cfRule type="expression" dxfId="21" priority="1431" stopIfTrue="1">
      <formula>OR($A545="geopoint", $A545="geoshape", $A545="geotrace")</formula>
    </cfRule>
  </conditionalFormatting>
  <conditionalFormatting sqref="B545:E546">
    <cfRule type="expression" dxfId="22" priority="1432" stopIfTrue="1">
      <formula>OR($A545="audio audit", $A545="text audit", $A545="speed violations count", $A545="speed violations list", $A545="speed violations audit")</formula>
    </cfRule>
  </conditionalFormatting>
  <conditionalFormatting sqref="B545:E546">
    <cfRule type="expression" dxfId="23" priority="1433" stopIfTrue="1">
      <formula>OR($A545="username", $A545="phonenumber", $A545="start", $A545="end", $A545="deviceid", $A545="subscriberid", $A545="simserial", $A545="caseid")</formula>
    </cfRule>
  </conditionalFormatting>
  <conditionalFormatting sqref="B545:E546">
    <cfRule type="expression" dxfId="24" priority="1434" stopIfTrue="1">
      <formula>OR(AND(LEFT($A545, 16)="select_multiple ", LEN($A545)&gt;16, NOT(ISNUMBER(SEARCH(" ", $A545, 17)))), AND(LEFT($A545, 11)="select_one ", LEN($A545)&gt;11, NOT(ISNUMBER(SEARCH(" ", $A545, 12)))))</formula>
    </cfRule>
  </conditionalFormatting>
  <conditionalFormatting sqref="B545:E546">
    <cfRule type="expression" dxfId="25" priority="1435" stopIfTrue="1">
      <formula>$A545="decimal"</formula>
    </cfRule>
  </conditionalFormatting>
  <conditionalFormatting sqref="B545:E546">
    <cfRule type="expression" dxfId="26" priority="1436" stopIfTrue="1">
      <formula>$A545="integer"</formula>
    </cfRule>
  </conditionalFormatting>
  <conditionalFormatting sqref="B545:E546">
    <cfRule type="expression" dxfId="27" priority="1437" stopIfTrue="1">
      <formula>$A545="text"</formula>
    </cfRule>
  </conditionalFormatting>
  <conditionalFormatting sqref="B545:E546">
    <cfRule type="expression" dxfId="28" priority="1438" stopIfTrue="1">
      <formula>$A545="end repeat"</formula>
    </cfRule>
  </conditionalFormatting>
  <conditionalFormatting sqref="B545:E546">
    <cfRule type="expression" dxfId="28" priority="1439" stopIfTrue="1">
      <formula>$A545="begin repeat"</formula>
    </cfRule>
  </conditionalFormatting>
  <conditionalFormatting sqref="B545:E546">
    <cfRule type="expression" dxfId="29" priority="1440" stopIfTrue="1">
      <formula>$A545="end group"</formula>
    </cfRule>
  </conditionalFormatting>
  <conditionalFormatting sqref="B545:E546">
    <cfRule type="expression" dxfId="29" priority="1441" stopIfTrue="1">
      <formula>$A545="begin group"</formula>
    </cfRule>
  </conditionalFormatting>
  <conditionalFormatting sqref="B545:B546">
    <cfRule type="expression" dxfId="30" priority="1442" stopIfTrue="1">
      <formula>$A545="comments"</formula>
    </cfRule>
  </conditionalFormatting>
  <conditionalFormatting sqref="B545:B546">
    <cfRule type="expression" dxfId="36" priority="1443" stopIfTrue="1">
      <formula>OR(AND(LEFT($A545, 14)="sensor_stream ", LEN($A545)&gt;14, NOT(ISNUMBER(SEARCH(" ", $A545, 15)))), AND(LEFT($A545, 17)="sensor_statistic ", LEN($A545)&gt;17, NOT(ISNUMBER(SEARCH(" ", $A545, 18)))))</formula>
    </cfRule>
  </conditionalFormatting>
  <conditionalFormatting sqref="B533:C535 D533:E535">
    <cfRule type="expression" dxfId="0" priority="1444" stopIfTrue="1">
      <formula>$A533="begin group"</formula>
    </cfRule>
  </conditionalFormatting>
  <conditionalFormatting sqref="B533:C535 D533:E535">
    <cfRule type="expression" dxfId="1" priority="1445" stopIfTrue="1">
      <formula>$A533="begin repeat"</formula>
    </cfRule>
  </conditionalFormatting>
  <conditionalFormatting sqref="B533:E535">
    <cfRule type="expression" dxfId="31" priority="1446" stopIfTrue="1">
      <formula>$A533="enumerator"</formula>
    </cfRule>
  </conditionalFormatting>
  <conditionalFormatting sqref="B533:E535">
    <cfRule type="expression" dxfId="2" priority="1447" stopIfTrue="1">
      <formula>$A533="text"</formula>
    </cfRule>
  </conditionalFormatting>
  <conditionalFormatting sqref="B533:E535">
    <cfRule type="expression" dxfId="3" priority="1448" stopIfTrue="1">
      <formula>$A533="integer"</formula>
    </cfRule>
  </conditionalFormatting>
  <conditionalFormatting sqref="B533:E535">
    <cfRule type="expression" dxfId="4" priority="1449" stopIfTrue="1">
      <formula>$A533="decimal"</formula>
    </cfRule>
  </conditionalFormatting>
  <conditionalFormatting sqref="B533:C535 D533:E535">
    <cfRule type="expression" dxfId="5" priority="1450" stopIfTrue="1">
      <formula>OR(AND(LEFT($A533, 16)="select_multiple ", LEN($A533)&gt;16, NOT(ISNUMBER(SEARCH(" ", $A533, 17)))), AND(LEFT($A533, 11)="select_one ", LEN($A533)&gt;11, NOT(ISNUMBER(SEARCH(" ", $A533, 12)))))</formula>
    </cfRule>
  </conditionalFormatting>
  <conditionalFormatting sqref="B533:B535">
    <cfRule type="expression" dxfId="6" priority="1451" stopIfTrue="1">
      <formula>OR($A533="audio audit", $A533="text audit", $A533="speed violations count", $A533="speed violations list", $A533="speed violations audit")</formula>
    </cfRule>
  </conditionalFormatting>
  <conditionalFormatting sqref="B533:C535 D533:E535">
    <cfRule type="expression" dxfId="32" priority="1452" stopIfTrue="1">
      <formula>$A533="file"</formula>
    </cfRule>
  </conditionalFormatting>
  <conditionalFormatting sqref="B533:C535 D533:E535">
    <cfRule type="expression" dxfId="7" priority="1453" stopIfTrue="1">
      <formula>$A533="note"</formula>
    </cfRule>
  </conditionalFormatting>
  <conditionalFormatting sqref="B533:C535 D533:E535">
    <cfRule type="expression" dxfId="8" priority="1454" stopIfTrue="1">
      <formula>$A533="barcode"</formula>
    </cfRule>
  </conditionalFormatting>
  <conditionalFormatting sqref="B533:C535 D533:E535">
    <cfRule type="expression" dxfId="9" priority="1455" stopIfTrue="1">
      <formula>OR($A533="geopoint", $A533="geoshape", $A533="geotrace")</formula>
    </cfRule>
  </conditionalFormatting>
  <conditionalFormatting sqref="B533:B535">
    <cfRule type="expression" dxfId="10" priority="1456" stopIfTrue="1">
      <formula>OR($A533="calculate", $A533="calculate_here")</formula>
    </cfRule>
  </conditionalFormatting>
  <conditionalFormatting sqref="B533:C535 D533:E535">
    <cfRule type="expression" dxfId="11" priority="1457" stopIfTrue="1">
      <formula>OR($A533="date", $A533="datetime", $A533="time")</formula>
    </cfRule>
  </conditionalFormatting>
  <conditionalFormatting sqref="B533:C535 D533:E535">
    <cfRule type="expression" dxfId="12" priority="1458" stopIfTrue="1">
      <formula>$A533="image"</formula>
    </cfRule>
  </conditionalFormatting>
  <conditionalFormatting sqref="B533:C535 D533:E535">
    <cfRule type="expression" dxfId="13" priority="1459" stopIfTrue="1">
      <formula>OR($A533="audio", $A533="video")</formula>
    </cfRule>
  </conditionalFormatting>
  <conditionalFormatting sqref="B533:E535">
    <cfRule type="expression" dxfId="33" priority="1460" stopIfTrue="1">
      <formula>$A533="file"</formula>
    </cfRule>
  </conditionalFormatting>
  <conditionalFormatting sqref="B533:E535">
    <cfRule type="expression" dxfId="34" priority="1461" stopIfTrue="1">
      <formula>$A533="enumerator"</formula>
    </cfRule>
  </conditionalFormatting>
  <conditionalFormatting sqref="B533:E535">
    <cfRule type="expression" dxfId="35" priority="1462" stopIfTrue="1">
      <formula>OR(AND(LEFT($A533, 14)="sensor_stream ", LEN($A533)&gt;14, NOT(ISNUMBER(SEARCH(" ", $A533, 15)))), AND(LEFT($A533, 17)="sensor_statistic ", LEN($A533)&gt;17, NOT(ISNUMBER(SEARCH(" ", $A533, 18)))))</formula>
    </cfRule>
  </conditionalFormatting>
  <conditionalFormatting sqref="B533:E535">
    <cfRule type="expression" dxfId="14" priority="1463" stopIfTrue="1">
      <formula>$A533="comments"</formula>
    </cfRule>
  </conditionalFormatting>
  <conditionalFormatting sqref="B533:E535">
    <cfRule type="expression" dxfId="15" priority="1464" stopIfTrue="1">
      <formula>OR($A533="audio", $A533="video")</formula>
    </cfRule>
  </conditionalFormatting>
  <conditionalFormatting sqref="B533:E535">
    <cfRule type="expression" dxfId="16" priority="1465" stopIfTrue="1">
      <formula>$A533="image"</formula>
    </cfRule>
  </conditionalFormatting>
  <conditionalFormatting sqref="B533:E535">
    <cfRule type="expression" dxfId="17" priority="1466" stopIfTrue="1">
      <formula>OR($A533="date", $A533="datetime", $A533="time")</formula>
    </cfRule>
  </conditionalFormatting>
  <conditionalFormatting sqref="B533:E535">
    <cfRule type="expression" dxfId="18" priority="1467" stopIfTrue="1">
      <formula>OR($A533="calculate", $A533="calculate_here")</formula>
    </cfRule>
  </conditionalFormatting>
  <conditionalFormatting sqref="B533:E535">
    <cfRule type="expression" dxfId="19" priority="1468" stopIfTrue="1">
      <formula>$A533="note"</formula>
    </cfRule>
  </conditionalFormatting>
  <conditionalFormatting sqref="B533:E535">
    <cfRule type="expression" dxfId="20" priority="1469" stopIfTrue="1">
      <formula>$A533="barcode"</formula>
    </cfRule>
  </conditionalFormatting>
  <conditionalFormatting sqref="B533:E535">
    <cfRule type="expression" dxfId="21" priority="1470" stopIfTrue="1">
      <formula>OR($A533="geopoint", $A533="geoshape", $A533="geotrace")</formula>
    </cfRule>
  </conditionalFormatting>
  <conditionalFormatting sqref="B533:E535">
    <cfRule type="expression" dxfId="22" priority="1471" stopIfTrue="1">
      <formula>OR($A533="audio audit", $A533="text audit", $A533="speed violations count", $A533="speed violations list", $A533="speed violations audit")</formula>
    </cfRule>
  </conditionalFormatting>
  <conditionalFormatting sqref="B533:E535">
    <cfRule type="expression" dxfId="23" priority="1472" stopIfTrue="1">
      <formula>OR($A533="username", $A533="phonenumber", $A533="start", $A533="end", $A533="deviceid", $A533="subscriberid", $A533="simserial", $A533="caseid")</formula>
    </cfRule>
  </conditionalFormatting>
  <conditionalFormatting sqref="B533:E535">
    <cfRule type="expression" dxfId="24" priority="1473" stopIfTrue="1">
      <formula>OR(AND(LEFT($A533, 16)="select_multiple ", LEN($A533)&gt;16, NOT(ISNUMBER(SEARCH(" ", $A533, 17)))), AND(LEFT($A533, 11)="select_one ", LEN($A533)&gt;11, NOT(ISNUMBER(SEARCH(" ", $A533, 12)))))</formula>
    </cfRule>
  </conditionalFormatting>
  <conditionalFormatting sqref="B533:E535">
    <cfRule type="expression" dxfId="25" priority="1474" stopIfTrue="1">
      <formula>$A533="decimal"</formula>
    </cfRule>
  </conditionalFormatting>
  <conditionalFormatting sqref="B533:E535">
    <cfRule type="expression" dxfId="26" priority="1475" stopIfTrue="1">
      <formula>$A533="integer"</formula>
    </cfRule>
  </conditionalFormatting>
  <conditionalFormatting sqref="B533:E535">
    <cfRule type="expression" dxfId="27" priority="1476" stopIfTrue="1">
      <formula>$A533="text"</formula>
    </cfRule>
  </conditionalFormatting>
  <conditionalFormatting sqref="B533:E535">
    <cfRule type="expression" dxfId="28" priority="1477" stopIfTrue="1">
      <formula>$A533="end repeat"</formula>
    </cfRule>
  </conditionalFormatting>
  <conditionalFormatting sqref="B533:E535">
    <cfRule type="expression" dxfId="28" priority="1478" stopIfTrue="1">
      <formula>$A533="begin repeat"</formula>
    </cfRule>
  </conditionalFormatting>
  <conditionalFormatting sqref="B533:E535">
    <cfRule type="expression" dxfId="29" priority="1479" stopIfTrue="1">
      <formula>$A533="end group"</formula>
    </cfRule>
  </conditionalFormatting>
  <conditionalFormatting sqref="B533:E535">
    <cfRule type="expression" dxfId="29" priority="1480" stopIfTrue="1">
      <formula>$A533="begin group"</formula>
    </cfRule>
  </conditionalFormatting>
  <conditionalFormatting sqref="B533:B535">
    <cfRule type="expression" dxfId="30" priority="1481" stopIfTrue="1">
      <formula>$A533="comments"</formula>
    </cfRule>
  </conditionalFormatting>
  <conditionalFormatting sqref="B533:B535">
    <cfRule type="expression" dxfId="36" priority="1482" stopIfTrue="1">
      <formula>OR(AND(LEFT($A533, 14)="sensor_stream ", LEN($A533)&gt;14, NOT(ISNUMBER(SEARCH(" ", $A533, 15)))), AND(LEFT($A533, 17)="sensor_statistic ", LEN($A533)&gt;17, NOT(ISNUMBER(SEARCH(" ", $A533, 18)))))</formula>
    </cfRule>
  </conditionalFormatting>
  <conditionalFormatting sqref="B527:C528 D527:E528">
    <cfRule type="expression" dxfId="0" priority="1483" stopIfTrue="1">
      <formula>$A527="begin group"</formula>
    </cfRule>
  </conditionalFormatting>
  <conditionalFormatting sqref="B527:C528 D527:E528">
    <cfRule type="expression" dxfId="1" priority="1484" stopIfTrue="1">
      <formula>$A527="begin repeat"</formula>
    </cfRule>
  </conditionalFormatting>
  <conditionalFormatting sqref="B527:E528">
    <cfRule type="expression" dxfId="31" priority="1485" stopIfTrue="1">
      <formula>$A527="enumerator"</formula>
    </cfRule>
  </conditionalFormatting>
  <conditionalFormatting sqref="B527:E528">
    <cfRule type="expression" dxfId="2" priority="1486" stopIfTrue="1">
      <formula>$A527="text"</formula>
    </cfRule>
  </conditionalFormatting>
  <conditionalFormatting sqref="B527:E528">
    <cfRule type="expression" dxfId="3" priority="1487" stopIfTrue="1">
      <formula>$A527="integer"</formula>
    </cfRule>
  </conditionalFormatting>
  <conditionalFormatting sqref="B527:E528">
    <cfRule type="expression" dxfId="4" priority="1488" stopIfTrue="1">
      <formula>$A527="decimal"</formula>
    </cfRule>
  </conditionalFormatting>
  <conditionalFormatting sqref="B527:C528 D527:E528">
    <cfRule type="expression" dxfId="5" priority="1489" stopIfTrue="1">
      <formula>OR(AND(LEFT($A527, 16)="select_multiple ", LEN($A527)&gt;16, NOT(ISNUMBER(SEARCH(" ", $A527, 17)))), AND(LEFT($A527, 11)="select_one ", LEN($A527)&gt;11, NOT(ISNUMBER(SEARCH(" ", $A527, 12)))))</formula>
    </cfRule>
  </conditionalFormatting>
  <conditionalFormatting sqref="B527:B528">
    <cfRule type="expression" dxfId="6" priority="1490" stopIfTrue="1">
      <formula>OR($A527="audio audit", $A527="text audit", $A527="speed violations count", $A527="speed violations list", $A527="speed violations audit")</formula>
    </cfRule>
  </conditionalFormatting>
  <conditionalFormatting sqref="B527:C528 D527:E528">
    <cfRule type="expression" dxfId="32" priority="1491" stopIfTrue="1">
      <formula>$A527="file"</formula>
    </cfRule>
  </conditionalFormatting>
  <conditionalFormatting sqref="B527:C528 D527:E528">
    <cfRule type="expression" dxfId="7" priority="1492" stopIfTrue="1">
      <formula>$A527="note"</formula>
    </cfRule>
  </conditionalFormatting>
  <conditionalFormatting sqref="B527:C528 D527:E528">
    <cfRule type="expression" dxfId="8" priority="1493" stopIfTrue="1">
      <formula>$A527="barcode"</formula>
    </cfRule>
  </conditionalFormatting>
  <conditionalFormatting sqref="B527:C528 D527:E528">
    <cfRule type="expression" dxfId="9" priority="1494" stopIfTrue="1">
      <formula>OR($A527="geopoint", $A527="geoshape", $A527="geotrace")</formula>
    </cfRule>
  </conditionalFormatting>
  <conditionalFormatting sqref="B527:B528">
    <cfRule type="expression" dxfId="10" priority="1495" stopIfTrue="1">
      <formula>OR($A527="calculate", $A527="calculate_here")</formula>
    </cfRule>
  </conditionalFormatting>
  <conditionalFormatting sqref="B527:C528 D527:E528">
    <cfRule type="expression" dxfId="11" priority="1496" stopIfTrue="1">
      <formula>OR($A527="date", $A527="datetime", $A527="time")</formula>
    </cfRule>
  </conditionalFormatting>
  <conditionalFormatting sqref="B527:C528 D527:E528">
    <cfRule type="expression" dxfId="12" priority="1497" stopIfTrue="1">
      <formula>$A527="image"</formula>
    </cfRule>
  </conditionalFormatting>
  <conditionalFormatting sqref="B527:C528 D527:E528">
    <cfRule type="expression" dxfId="13" priority="1498" stopIfTrue="1">
      <formula>OR($A527="audio", $A527="video")</formula>
    </cfRule>
  </conditionalFormatting>
  <conditionalFormatting sqref="B527:E528">
    <cfRule type="expression" dxfId="33" priority="1499" stopIfTrue="1">
      <formula>$A527="file"</formula>
    </cfRule>
  </conditionalFormatting>
  <conditionalFormatting sqref="B527:E528">
    <cfRule type="expression" dxfId="34" priority="1500" stopIfTrue="1">
      <formula>$A527="enumerator"</formula>
    </cfRule>
  </conditionalFormatting>
  <conditionalFormatting sqref="B527:E528">
    <cfRule type="expression" dxfId="35" priority="1501" stopIfTrue="1">
      <formula>OR(AND(LEFT($A527, 14)="sensor_stream ", LEN($A527)&gt;14, NOT(ISNUMBER(SEARCH(" ", $A527, 15)))), AND(LEFT($A527, 17)="sensor_statistic ", LEN($A527)&gt;17, NOT(ISNUMBER(SEARCH(" ", $A527, 18)))))</formula>
    </cfRule>
  </conditionalFormatting>
  <conditionalFormatting sqref="B527:E528">
    <cfRule type="expression" dxfId="14" priority="1502" stopIfTrue="1">
      <formula>$A527="comments"</formula>
    </cfRule>
  </conditionalFormatting>
  <conditionalFormatting sqref="B527:E528">
    <cfRule type="expression" dxfId="15" priority="1503" stopIfTrue="1">
      <formula>OR($A527="audio", $A527="video")</formula>
    </cfRule>
  </conditionalFormatting>
  <conditionalFormatting sqref="B527:E528">
    <cfRule type="expression" dxfId="16" priority="1504" stopIfTrue="1">
      <formula>$A527="image"</formula>
    </cfRule>
  </conditionalFormatting>
  <conditionalFormatting sqref="B527:E528">
    <cfRule type="expression" dxfId="17" priority="1505" stopIfTrue="1">
      <formula>OR($A527="date", $A527="datetime", $A527="time")</formula>
    </cfRule>
  </conditionalFormatting>
  <conditionalFormatting sqref="B527:E528">
    <cfRule type="expression" dxfId="18" priority="1506" stopIfTrue="1">
      <formula>OR($A527="calculate", $A527="calculate_here")</formula>
    </cfRule>
  </conditionalFormatting>
  <conditionalFormatting sqref="B527:E528">
    <cfRule type="expression" dxfId="19" priority="1507" stopIfTrue="1">
      <formula>$A527="note"</formula>
    </cfRule>
  </conditionalFormatting>
  <conditionalFormatting sqref="B527:E528">
    <cfRule type="expression" dxfId="20" priority="1508" stopIfTrue="1">
      <formula>$A527="barcode"</formula>
    </cfRule>
  </conditionalFormatting>
  <conditionalFormatting sqref="B527:E528">
    <cfRule type="expression" dxfId="21" priority="1509" stopIfTrue="1">
      <formula>OR($A527="geopoint", $A527="geoshape", $A527="geotrace")</formula>
    </cfRule>
  </conditionalFormatting>
  <conditionalFormatting sqref="B527:E528">
    <cfRule type="expression" dxfId="22" priority="1510" stopIfTrue="1">
      <formula>OR($A527="audio audit", $A527="text audit", $A527="speed violations count", $A527="speed violations list", $A527="speed violations audit")</formula>
    </cfRule>
  </conditionalFormatting>
  <conditionalFormatting sqref="B527:E528">
    <cfRule type="expression" dxfId="23" priority="1511" stopIfTrue="1">
      <formula>OR($A527="username", $A527="phonenumber", $A527="start", $A527="end", $A527="deviceid", $A527="subscriberid", $A527="simserial", $A527="caseid")</formula>
    </cfRule>
  </conditionalFormatting>
  <conditionalFormatting sqref="B527:E528">
    <cfRule type="expression" dxfId="24" priority="1512" stopIfTrue="1">
      <formula>OR(AND(LEFT($A527, 16)="select_multiple ", LEN($A527)&gt;16, NOT(ISNUMBER(SEARCH(" ", $A527, 17)))), AND(LEFT($A527, 11)="select_one ", LEN($A527)&gt;11, NOT(ISNUMBER(SEARCH(" ", $A527, 12)))))</formula>
    </cfRule>
  </conditionalFormatting>
  <conditionalFormatting sqref="B527:E528">
    <cfRule type="expression" dxfId="25" priority="1513" stopIfTrue="1">
      <formula>$A527="decimal"</formula>
    </cfRule>
  </conditionalFormatting>
  <conditionalFormatting sqref="B527:E528">
    <cfRule type="expression" dxfId="26" priority="1514" stopIfTrue="1">
      <formula>$A527="integer"</formula>
    </cfRule>
  </conditionalFormatting>
  <conditionalFormatting sqref="B527:E528">
    <cfRule type="expression" dxfId="27" priority="1515" stopIfTrue="1">
      <formula>$A527="text"</formula>
    </cfRule>
  </conditionalFormatting>
  <conditionalFormatting sqref="B527:E528">
    <cfRule type="expression" dxfId="28" priority="1516" stopIfTrue="1">
      <formula>$A527="end repeat"</formula>
    </cfRule>
  </conditionalFormatting>
  <conditionalFormatting sqref="B527:E528">
    <cfRule type="expression" dxfId="28" priority="1517" stopIfTrue="1">
      <formula>$A527="begin repeat"</formula>
    </cfRule>
  </conditionalFormatting>
  <conditionalFormatting sqref="B527:E528">
    <cfRule type="expression" dxfId="29" priority="1518" stopIfTrue="1">
      <formula>$A527="end group"</formula>
    </cfRule>
  </conditionalFormatting>
  <conditionalFormatting sqref="B527:E528">
    <cfRule type="expression" dxfId="29" priority="1519" stopIfTrue="1">
      <formula>$A527="begin group"</formula>
    </cfRule>
  </conditionalFormatting>
  <conditionalFormatting sqref="B527:B528">
    <cfRule type="expression" dxfId="30" priority="1520" stopIfTrue="1">
      <formula>$A527="comments"</formula>
    </cfRule>
  </conditionalFormatting>
  <conditionalFormatting sqref="B527:B528">
    <cfRule type="expression" dxfId="36" priority="1521" stopIfTrue="1">
      <formula>OR(AND(LEFT($A527, 14)="sensor_stream ", LEN($A527)&gt;14, NOT(ISNUMBER(SEARCH(" ", $A527, 15)))), AND(LEFT($A527, 17)="sensor_statistic ", LEN($A527)&gt;17, NOT(ISNUMBER(SEARCH(" ", $A527, 18)))))</formula>
    </cfRule>
  </conditionalFormatting>
  <conditionalFormatting sqref="B518:C520 D518:E520">
    <cfRule type="expression" dxfId="0" priority="1522" stopIfTrue="1">
      <formula>$A518="begin group"</formula>
    </cfRule>
  </conditionalFormatting>
  <conditionalFormatting sqref="B518:C520 D518:E520">
    <cfRule type="expression" dxfId="1" priority="1523" stopIfTrue="1">
      <formula>$A518="begin repeat"</formula>
    </cfRule>
  </conditionalFormatting>
  <conditionalFormatting sqref="B518:E520">
    <cfRule type="expression" dxfId="31" priority="1524" stopIfTrue="1">
      <formula>$A518="enumerator"</formula>
    </cfRule>
  </conditionalFormatting>
  <conditionalFormatting sqref="B518:E520">
    <cfRule type="expression" dxfId="2" priority="1525" stopIfTrue="1">
      <formula>$A518="text"</formula>
    </cfRule>
  </conditionalFormatting>
  <conditionalFormatting sqref="B518:E520">
    <cfRule type="expression" dxfId="3" priority="1526" stopIfTrue="1">
      <formula>$A518="integer"</formula>
    </cfRule>
  </conditionalFormatting>
  <conditionalFormatting sqref="B518:E520">
    <cfRule type="expression" dxfId="4" priority="1527" stopIfTrue="1">
      <formula>$A518="decimal"</formula>
    </cfRule>
  </conditionalFormatting>
  <conditionalFormatting sqref="B518:C520 D518:E520">
    <cfRule type="expression" dxfId="5" priority="1528" stopIfTrue="1">
      <formula>OR(AND(LEFT($A518, 16)="select_multiple ", LEN($A518)&gt;16, NOT(ISNUMBER(SEARCH(" ", $A518, 17)))), AND(LEFT($A518, 11)="select_one ", LEN($A518)&gt;11, NOT(ISNUMBER(SEARCH(" ", $A518, 12)))))</formula>
    </cfRule>
  </conditionalFormatting>
  <conditionalFormatting sqref="B518:B520">
    <cfRule type="expression" dxfId="6" priority="1529" stopIfTrue="1">
      <formula>OR($A518="audio audit", $A518="text audit", $A518="speed violations count", $A518="speed violations list", $A518="speed violations audit")</formula>
    </cfRule>
  </conditionalFormatting>
  <conditionalFormatting sqref="B518:C520 D518:E520">
    <cfRule type="expression" dxfId="32" priority="1530" stopIfTrue="1">
      <formula>$A518="file"</formula>
    </cfRule>
  </conditionalFormatting>
  <conditionalFormatting sqref="B518:C520 D518:E520">
    <cfRule type="expression" dxfId="7" priority="1531" stopIfTrue="1">
      <formula>$A518="note"</formula>
    </cfRule>
  </conditionalFormatting>
  <conditionalFormatting sqref="B518:C520 D518:E520">
    <cfRule type="expression" dxfId="8" priority="1532" stopIfTrue="1">
      <formula>$A518="barcode"</formula>
    </cfRule>
  </conditionalFormatting>
  <conditionalFormatting sqref="B518:C520 D518:E520">
    <cfRule type="expression" dxfId="9" priority="1533" stopIfTrue="1">
      <formula>OR($A518="geopoint", $A518="geoshape", $A518="geotrace")</formula>
    </cfRule>
  </conditionalFormatting>
  <conditionalFormatting sqref="B518:B520">
    <cfRule type="expression" dxfId="10" priority="1534" stopIfTrue="1">
      <formula>OR($A518="calculate", $A518="calculate_here")</formula>
    </cfRule>
  </conditionalFormatting>
  <conditionalFormatting sqref="B518:C520 D518:E520">
    <cfRule type="expression" dxfId="11" priority="1535" stopIfTrue="1">
      <formula>OR($A518="date", $A518="datetime", $A518="time")</formula>
    </cfRule>
  </conditionalFormatting>
  <conditionalFormatting sqref="B518:C520 D518:E520">
    <cfRule type="expression" dxfId="12" priority="1536" stopIfTrue="1">
      <formula>$A518="image"</formula>
    </cfRule>
  </conditionalFormatting>
  <conditionalFormatting sqref="B518:C520 D518:E520">
    <cfRule type="expression" dxfId="13" priority="1537" stopIfTrue="1">
      <formula>OR($A518="audio", $A518="video")</formula>
    </cfRule>
  </conditionalFormatting>
  <conditionalFormatting sqref="B518:E520">
    <cfRule type="expression" dxfId="33" priority="1538" stopIfTrue="1">
      <formula>$A518="file"</formula>
    </cfRule>
  </conditionalFormatting>
  <conditionalFormatting sqref="B518:E520">
    <cfRule type="expression" dxfId="34" priority="1539" stopIfTrue="1">
      <formula>$A518="enumerator"</formula>
    </cfRule>
  </conditionalFormatting>
  <conditionalFormatting sqref="B518:E520">
    <cfRule type="expression" dxfId="35" priority="1540" stopIfTrue="1">
      <formula>OR(AND(LEFT($A518, 14)="sensor_stream ", LEN($A518)&gt;14, NOT(ISNUMBER(SEARCH(" ", $A518, 15)))), AND(LEFT($A518, 17)="sensor_statistic ", LEN($A518)&gt;17, NOT(ISNUMBER(SEARCH(" ", $A518, 18)))))</formula>
    </cfRule>
  </conditionalFormatting>
  <conditionalFormatting sqref="B518:E520">
    <cfRule type="expression" dxfId="14" priority="1541" stopIfTrue="1">
      <formula>$A518="comments"</formula>
    </cfRule>
  </conditionalFormatting>
  <conditionalFormatting sqref="B518:E520">
    <cfRule type="expression" dxfId="15" priority="1542" stopIfTrue="1">
      <formula>OR($A518="audio", $A518="video")</formula>
    </cfRule>
  </conditionalFormatting>
  <conditionalFormatting sqref="B518:E520">
    <cfRule type="expression" dxfId="16" priority="1543" stopIfTrue="1">
      <formula>$A518="image"</formula>
    </cfRule>
  </conditionalFormatting>
  <conditionalFormatting sqref="B518:E520">
    <cfRule type="expression" dxfId="17" priority="1544" stopIfTrue="1">
      <formula>OR($A518="date", $A518="datetime", $A518="time")</formula>
    </cfRule>
  </conditionalFormatting>
  <conditionalFormatting sqref="B518:E520">
    <cfRule type="expression" dxfId="18" priority="1545" stopIfTrue="1">
      <formula>OR($A518="calculate", $A518="calculate_here")</formula>
    </cfRule>
  </conditionalFormatting>
  <conditionalFormatting sqref="B518:E520">
    <cfRule type="expression" dxfId="19" priority="1546" stopIfTrue="1">
      <formula>$A518="note"</formula>
    </cfRule>
  </conditionalFormatting>
  <conditionalFormatting sqref="B518:E520">
    <cfRule type="expression" dxfId="20" priority="1547" stopIfTrue="1">
      <formula>$A518="barcode"</formula>
    </cfRule>
  </conditionalFormatting>
  <conditionalFormatting sqref="B518:E520">
    <cfRule type="expression" dxfId="21" priority="1548" stopIfTrue="1">
      <formula>OR($A518="geopoint", $A518="geoshape", $A518="geotrace")</formula>
    </cfRule>
  </conditionalFormatting>
  <conditionalFormatting sqref="B518:E520">
    <cfRule type="expression" dxfId="22" priority="1549" stopIfTrue="1">
      <formula>OR($A518="audio audit", $A518="text audit", $A518="speed violations count", $A518="speed violations list", $A518="speed violations audit")</formula>
    </cfRule>
  </conditionalFormatting>
  <conditionalFormatting sqref="B518:E520">
    <cfRule type="expression" dxfId="23" priority="1550" stopIfTrue="1">
      <formula>OR($A518="username", $A518="phonenumber", $A518="start", $A518="end", $A518="deviceid", $A518="subscriberid", $A518="simserial", $A518="caseid")</formula>
    </cfRule>
  </conditionalFormatting>
  <conditionalFormatting sqref="B518:E520">
    <cfRule type="expression" dxfId="24" priority="1551" stopIfTrue="1">
      <formula>OR(AND(LEFT($A518, 16)="select_multiple ", LEN($A518)&gt;16, NOT(ISNUMBER(SEARCH(" ", $A518, 17)))), AND(LEFT($A518, 11)="select_one ", LEN($A518)&gt;11, NOT(ISNUMBER(SEARCH(" ", $A518, 12)))))</formula>
    </cfRule>
  </conditionalFormatting>
  <conditionalFormatting sqref="B518:E520">
    <cfRule type="expression" dxfId="25" priority="1552" stopIfTrue="1">
      <formula>$A518="decimal"</formula>
    </cfRule>
  </conditionalFormatting>
  <conditionalFormatting sqref="B518:E520">
    <cfRule type="expression" dxfId="26" priority="1553" stopIfTrue="1">
      <formula>$A518="integer"</formula>
    </cfRule>
  </conditionalFormatting>
  <conditionalFormatting sqref="B518:E520">
    <cfRule type="expression" dxfId="27" priority="1554" stopIfTrue="1">
      <formula>$A518="text"</formula>
    </cfRule>
  </conditionalFormatting>
  <conditionalFormatting sqref="B518:E520">
    <cfRule type="expression" dxfId="28" priority="1555" stopIfTrue="1">
      <formula>$A518="end repeat"</formula>
    </cfRule>
  </conditionalFormatting>
  <conditionalFormatting sqref="B518:E520">
    <cfRule type="expression" dxfId="28" priority="1556" stopIfTrue="1">
      <formula>$A518="begin repeat"</formula>
    </cfRule>
  </conditionalFormatting>
  <conditionalFormatting sqref="B518:E520">
    <cfRule type="expression" dxfId="29" priority="1557" stopIfTrue="1">
      <formula>$A518="end group"</formula>
    </cfRule>
  </conditionalFormatting>
  <conditionalFormatting sqref="B518:E520">
    <cfRule type="expression" dxfId="29" priority="1558" stopIfTrue="1">
      <formula>$A518="begin group"</formula>
    </cfRule>
  </conditionalFormatting>
  <conditionalFormatting sqref="B518:B520">
    <cfRule type="expression" dxfId="30" priority="1559" stopIfTrue="1">
      <formula>$A518="comments"</formula>
    </cfRule>
  </conditionalFormatting>
  <conditionalFormatting sqref="B518:B520">
    <cfRule type="expression" dxfId="36" priority="1560" stopIfTrue="1">
      <formula>OR(AND(LEFT($A518, 14)="sensor_stream ", LEN($A518)&gt;14, NOT(ISNUMBER(SEARCH(" ", $A518, 15)))), AND(LEFT($A518, 17)="sensor_statistic ", LEN($A518)&gt;17, NOT(ISNUMBER(SEARCH(" ", $A518, 18)))))</formula>
    </cfRule>
  </conditionalFormatting>
  <conditionalFormatting sqref="B512:C516 D512:E516">
    <cfRule type="expression" dxfId="0" priority="1561" stopIfTrue="1">
      <formula>$A512="begin group"</formula>
    </cfRule>
  </conditionalFormatting>
  <conditionalFormatting sqref="B512:C516 D512:E516">
    <cfRule type="expression" dxfId="1" priority="1562" stopIfTrue="1">
      <formula>$A512="begin repeat"</formula>
    </cfRule>
  </conditionalFormatting>
  <conditionalFormatting sqref="B512:E516">
    <cfRule type="expression" dxfId="31" priority="1563" stopIfTrue="1">
      <formula>$A512="enumerator"</formula>
    </cfRule>
  </conditionalFormatting>
  <conditionalFormatting sqref="B512:E516">
    <cfRule type="expression" dxfId="2" priority="1564" stopIfTrue="1">
      <formula>$A512="text"</formula>
    </cfRule>
  </conditionalFormatting>
  <conditionalFormatting sqref="B512:E516">
    <cfRule type="expression" dxfId="3" priority="1565" stopIfTrue="1">
      <formula>$A512="integer"</formula>
    </cfRule>
  </conditionalFormatting>
  <conditionalFormatting sqref="B512:E516">
    <cfRule type="expression" dxfId="4" priority="1566" stopIfTrue="1">
      <formula>$A512="decimal"</formula>
    </cfRule>
  </conditionalFormatting>
  <conditionalFormatting sqref="B512:C516 D512:E516">
    <cfRule type="expression" dxfId="5" priority="1567" stopIfTrue="1">
      <formula>OR(AND(LEFT($A512, 16)="select_multiple ", LEN($A512)&gt;16, NOT(ISNUMBER(SEARCH(" ", $A512, 17)))), AND(LEFT($A512, 11)="select_one ", LEN($A512)&gt;11, NOT(ISNUMBER(SEARCH(" ", $A512, 12)))))</formula>
    </cfRule>
  </conditionalFormatting>
  <conditionalFormatting sqref="B512:B516">
    <cfRule type="expression" dxfId="6" priority="1568" stopIfTrue="1">
      <formula>OR($A512="audio audit", $A512="text audit", $A512="speed violations count", $A512="speed violations list", $A512="speed violations audit")</formula>
    </cfRule>
  </conditionalFormatting>
  <conditionalFormatting sqref="B512:C516 D512:E516">
    <cfRule type="expression" dxfId="32" priority="1569" stopIfTrue="1">
      <formula>$A512="file"</formula>
    </cfRule>
  </conditionalFormatting>
  <conditionalFormatting sqref="B512:C516 D512:E516">
    <cfRule type="expression" dxfId="7" priority="1570" stopIfTrue="1">
      <formula>$A512="note"</formula>
    </cfRule>
  </conditionalFormatting>
  <conditionalFormatting sqref="B512:C516 D512:E516">
    <cfRule type="expression" dxfId="8" priority="1571" stopIfTrue="1">
      <formula>$A512="barcode"</formula>
    </cfRule>
  </conditionalFormatting>
  <conditionalFormatting sqref="B512:C516 D512:E516">
    <cfRule type="expression" dxfId="9" priority="1572" stopIfTrue="1">
      <formula>OR($A512="geopoint", $A512="geoshape", $A512="geotrace")</formula>
    </cfRule>
  </conditionalFormatting>
  <conditionalFormatting sqref="B512:B516">
    <cfRule type="expression" dxfId="10" priority="1573" stopIfTrue="1">
      <formula>OR($A512="calculate", $A512="calculate_here")</formula>
    </cfRule>
  </conditionalFormatting>
  <conditionalFormatting sqref="B512:C516 D512:E516">
    <cfRule type="expression" dxfId="11" priority="1574" stopIfTrue="1">
      <formula>OR($A512="date", $A512="datetime", $A512="time")</formula>
    </cfRule>
  </conditionalFormatting>
  <conditionalFormatting sqref="B512:C516 D512:E516">
    <cfRule type="expression" dxfId="12" priority="1575" stopIfTrue="1">
      <formula>$A512="image"</formula>
    </cfRule>
  </conditionalFormatting>
  <conditionalFormatting sqref="B512:C516 D512:E516">
    <cfRule type="expression" dxfId="13" priority="1576" stopIfTrue="1">
      <formula>OR($A512="audio", $A512="video")</formula>
    </cfRule>
  </conditionalFormatting>
  <conditionalFormatting sqref="B512:E516">
    <cfRule type="expression" dxfId="33" priority="1577" stopIfTrue="1">
      <formula>$A512="file"</formula>
    </cfRule>
  </conditionalFormatting>
  <conditionalFormatting sqref="B512:E516">
    <cfRule type="expression" dxfId="34" priority="1578" stopIfTrue="1">
      <formula>$A512="enumerator"</formula>
    </cfRule>
  </conditionalFormatting>
  <conditionalFormatting sqref="B512:E516">
    <cfRule type="expression" dxfId="35" priority="1579" stopIfTrue="1">
      <formula>OR(AND(LEFT($A512, 14)="sensor_stream ", LEN($A512)&gt;14, NOT(ISNUMBER(SEARCH(" ", $A512, 15)))), AND(LEFT($A512, 17)="sensor_statistic ", LEN($A512)&gt;17, NOT(ISNUMBER(SEARCH(" ", $A512, 18)))))</formula>
    </cfRule>
  </conditionalFormatting>
  <conditionalFormatting sqref="B512:E516">
    <cfRule type="expression" dxfId="14" priority="1580" stopIfTrue="1">
      <formula>$A512="comments"</formula>
    </cfRule>
  </conditionalFormatting>
  <conditionalFormatting sqref="B512:E516">
    <cfRule type="expression" dxfId="15" priority="1581" stopIfTrue="1">
      <formula>OR($A512="audio", $A512="video")</formula>
    </cfRule>
  </conditionalFormatting>
  <conditionalFormatting sqref="B512:E516">
    <cfRule type="expression" dxfId="16" priority="1582" stopIfTrue="1">
      <formula>$A512="image"</formula>
    </cfRule>
  </conditionalFormatting>
  <conditionalFormatting sqref="B512:E516">
    <cfRule type="expression" dxfId="17" priority="1583" stopIfTrue="1">
      <formula>OR($A512="date", $A512="datetime", $A512="time")</formula>
    </cfRule>
  </conditionalFormatting>
  <conditionalFormatting sqref="B512:E516">
    <cfRule type="expression" dxfId="18" priority="1584" stopIfTrue="1">
      <formula>OR($A512="calculate", $A512="calculate_here")</formula>
    </cfRule>
  </conditionalFormatting>
  <conditionalFormatting sqref="B512:E516">
    <cfRule type="expression" dxfId="19" priority="1585" stopIfTrue="1">
      <formula>$A512="note"</formula>
    </cfRule>
  </conditionalFormatting>
  <conditionalFormatting sqref="B512:E516">
    <cfRule type="expression" dxfId="20" priority="1586" stopIfTrue="1">
      <formula>$A512="barcode"</formula>
    </cfRule>
  </conditionalFormatting>
  <conditionalFormatting sqref="B512:E516">
    <cfRule type="expression" dxfId="21" priority="1587" stopIfTrue="1">
      <formula>OR($A512="geopoint", $A512="geoshape", $A512="geotrace")</formula>
    </cfRule>
  </conditionalFormatting>
  <conditionalFormatting sqref="B512:E516">
    <cfRule type="expression" dxfId="22" priority="1588" stopIfTrue="1">
      <formula>OR($A512="audio audit", $A512="text audit", $A512="speed violations count", $A512="speed violations list", $A512="speed violations audit")</formula>
    </cfRule>
  </conditionalFormatting>
  <conditionalFormatting sqref="B512:E516">
    <cfRule type="expression" dxfId="23" priority="1589" stopIfTrue="1">
      <formula>OR($A512="username", $A512="phonenumber", $A512="start", $A512="end", $A512="deviceid", $A512="subscriberid", $A512="simserial", $A512="caseid")</formula>
    </cfRule>
  </conditionalFormatting>
  <conditionalFormatting sqref="B512:E516">
    <cfRule type="expression" dxfId="24" priority="1590" stopIfTrue="1">
      <formula>OR(AND(LEFT($A512, 16)="select_multiple ", LEN($A512)&gt;16, NOT(ISNUMBER(SEARCH(" ", $A512, 17)))), AND(LEFT($A512, 11)="select_one ", LEN($A512)&gt;11, NOT(ISNUMBER(SEARCH(" ", $A512, 12)))))</formula>
    </cfRule>
  </conditionalFormatting>
  <conditionalFormatting sqref="B512:E516">
    <cfRule type="expression" dxfId="25" priority="1591" stopIfTrue="1">
      <formula>$A512="decimal"</formula>
    </cfRule>
  </conditionalFormatting>
  <conditionalFormatting sqref="B512:E516">
    <cfRule type="expression" dxfId="26" priority="1592" stopIfTrue="1">
      <formula>$A512="integer"</formula>
    </cfRule>
  </conditionalFormatting>
  <conditionalFormatting sqref="B512:E516">
    <cfRule type="expression" dxfId="27" priority="1593" stopIfTrue="1">
      <formula>$A512="text"</formula>
    </cfRule>
  </conditionalFormatting>
  <conditionalFormatting sqref="B512:E516">
    <cfRule type="expression" dxfId="28" priority="1594" stopIfTrue="1">
      <formula>$A512="end repeat"</formula>
    </cfRule>
  </conditionalFormatting>
  <conditionalFormatting sqref="B512:E516">
    <cfRule type="expression" dxfId="28" priority="1595" stopIfTrue="1">
      <formula>$A512="begin repeat"</formula>
    </cfRule>
  </conditionalFormatting>
  <conditionalFormatting sqref="B512:E516">
    <cfRule type="expression" dxfId="29" priority="1596" stopIfTrue="1">
      <formula>$A512="end group"</formula>
    </cfRule>
  </conditionalFormatting>
  <conditionalFormatting sqref="B512:E516">
    <cfRule type="expression" dxfId="29" priority="1597" stopIfTrue="1">
      <formula>$A512="begin group"</formula>
    </cfRule>
  </conditionalFormatting>
  <conditionalFormatting sqref="B512:B516">
    <cfRule type="expression" dxfId="30" priority="1598" stopIfTrue="1">
      <formula>$A512="comments"</formula>
    </cfRule>
  </conditionalFormatting>
  <conditionalFormatting sqref="B512:B516">
    <cfRule type="expression" dxfId="36" priority="1599" stopIfTrue="1">
      <formula>OR(AND(LEFT($A512, 14)="sensor_stream ", LEN($A512)&gt;14, NOT(ISNUMBER(SEARCH(" ", $A512, 15)))), AND(LEFT($A512, 17)="sensor_statistic ", LEN($A512)&gt;17, NOT(ISNUMBER(SEARCH(" ", $A512, 18)))))</formula>
    </cfRule>
  </conditionalFormatting>
  <conditionalFormatting sqref="B510:C510 D510:E510">
    <cfRule type="expression" dxfId="0" priority="1600" stopIfTrue="1">
      <formula>$A510="begin group"</formula>
    </cfRule>
  </conditionalFormatting>
  <conditionalFormatting sqref="B510:C510 D510:E510">
    <cfRule type="expression" dxfId="1" priority="1601" stopIfTrue="1">
      <formula>$A510="begin repeat"</formula>
    </cfRule>
  </conditionalFormatting>
  <conditionalFormatting sqref="B510:E510">
    <cfRule type="expression" dxfId="31" priority="1602" stopIfTrue="1">
      <formula>$A510="enumerator"</formula>
    </cfRule>
  </conditionalFormatting>
  <conditionalFormatting sqref="B510:E510">
    <cfRule type="expression" dxfId="2" priority="1603" stopIfTrue="1">
      <formula>$A510="text"</formula>
    </cfRule>
  </conditionalFormatting>
  <conditionalFormatting sqref="B510:E510">
    <cfRule type="expression" dxfId="3" priority="1604" stopIfTrue="1">
      <formula>$A510="integer"</formula>
    </cfRule>
  </conditionalFormatting>
  <conditionalFormatting sqref="B510:E510">
    <cfRule type="expression" dxfId="4" priority="1605" stopIfTrue="1">
      <formula>$A510="decimal"</formula>
    </cfRule>
  </conditionalFormatting>
  <conditionalFormatting sqref="B510:C510 D510:E510">
    <cfRule type="expression" dxfId="5" priority="1606" stopIfTrue="1">
      <formula>OR(AND(LEFT($A510, 16)="select_multiple ", LEN($A510)&gt;16, NOT(ISNUMBER(SEARCH(" ", $A510, 17)))), AND(LEFT($A510, 11)="select_one ", LEN($A510)&gt;11, NOT(ISNUMBER(SEARCH(" ", $A510, 12)))))</formula>
    </cfRule>
  </conditionalFormatting>
  <conditionalFormatting sqref="B510">
    <cfRule type="expression" dxfId="6" priority="1607" stopIfTrue="1">
      <formula>OR($A510="audio audit", $A510="text audit", $A510="speed violations count", $A510="speed violations list", $A510="speed violations audit")</formula>
    </cfRule>
  </conditionalFormatting>
  <conditionalFormatting sqref="B510:C510 D510:E510">
    <cfRule type="expression" dxfId="32" priority="1608" stopIfTrue="1">
      <formula>$A510="file"</formula>
    </cfRule>
  </conditionalFormatting>
  <conditionalFormatting sqref="B510:C510 D510:E510">
    <cfRule type="expression" dxfId="7" priority="1609" stopIfTrue="1">
      <formula>$A510="note"</formula>
    </cfRule>
  </conditionalFormatting>
  <conditionalFormatting sqref="B510:C510 D510:E510">
    <cfRule type="expression" dxfId="8" priority="1610" stopIfTrue="1">
      <formula>$A510="barcode"</formula>
    </cfRule>
  </conditionalFormatting>
  <conditionalFormatting sqref="B510:C510 D510:E510">
    <cfRule type="expression" dxfId="9" priority="1611" stopIfTrue="1">
      <formula>OR($A510="geopoint", $A510="geoshape", $A510="geotrace")</formula>
    </cfRule>
  </conditionalFormatting>
  <conditionalFormatting sqref="B510">
    <cfRule type="expression" dxfId="10" priority="1612" stopIfTrue="1">
      <formula>OR($A510="calculate", $A510="calculate_here")</formula>
    </cfRule>
  </conditionalFormatting>
  <conditionalFormatting sqref="B510:C510 D510:E510">
    <cfRule type="expression" dxfId="11" priority="1613" stopIfTrue="1">
      <formula>OR($A510="date", $A510="datetime", $A510="time")</formula>
    </cfRule>
  </conditionalFormatting>
  <conditionalFormatting sqref="B510:C510 D510:E510">
    <cfRule type="expression" dxfId="12" priority="1614" stopIfTrue="1">
      <formula>$A510="image"</formula>
    </cfRule>
  </conditionalFormatting>
  <conditionalFormatting sqref="B510:C510 D510:E510">
    <cfRule type="expression" dxfId="13" priority="1615" stopIfTrue="1">
      <formula>OR($A510="audio", $A510="video")</formula>
    </cfRule>
  </conditionalFormatting>
  <conditionalFormatting sqref="B510:E510">
    <cfRule type="expression" dxfId="33" priority="1616" stopIfTrue="1">
      <formula>$A510="file"</formula>
    </cfRule>
  </conditionalFormatting>
  <conditionalFormatting sqref="B510:E510">
    <cfRule type="expression" dxfId="34" priority="1617" stopIfTrue="1">
      <formula>$A510="enumerator"</formula>
    </cfRule>
  </conditionalFormatting>
  <conditionalFormatting sqref="B510:E510">
    <cfRule type="expression" dxfId="35" priority="1618" stopIfTrue="1">
      <formula>OR(AND(LEFT($A510, 14)="sensor_stream ", LEN($A510)&gt;14, NOT(ISNUMBER(SEARCH(" ", $A510, 15)))), AND(LEFT($A510, 17)="sensor_statistic ", LEN($A510)&gt;17, NOT(ISNUMBER(SEARCH(" ", $A510, 18)))))</formula>
    </cfRule>
  </conditionalFormatting>
  <conditionalFormatting sqref="B510:E510">
    <cfRule type="expression" dxfId="14" priority="1619" stopIfTrue="1">
      <formula>$A510="comments"</formula>
    </cfRule>
  </conditionalFormatting>
  <conditionalFormatting sqref="B510:E510">
    <cfRule type="expression" dxfId="15" priority="1620" stopIfTrue="1">
      <formula>OR($A510="audio", $A510="video")</formula>
    </cfRule>
  </conditionalFormatting>
  <conditionalFormatting sqref="B510:E510">
    <cfRule type="expression" dxfId="16" priority="1621" stopIfTrue="1">
      <formula>$A510="image"</formula>
    </cfRule>
  </conditionalFormatting>
  <conditionalFormatting sqref="B510:E510">
    <cfRule type="expression" dxfId="17" priority="1622" stopIfTrue="1">
      <formula>OR($A510="date", $A510="datetime", $A510="time")</formula>
    </cfRule>
  </conditionalFormatting>
  <conditionalFormatting sqref="B510:E510">
    <cfRule type="expression" dxfId="18" priority="1623" stopIfTrue="1">
      <formula>OR($A510="calculate", $A510="calculate_here")</formula>
    </cfRule>
  </conditionalFormatting>
  <conditionalFormatting sqref="B510:E510">
    <cfRule type="expression" dxfId="19" priority="1624" stopIfTrue="1">
      <formula>$A510="note"</formula>
    </cfRule>
  </conditionalFormatting>
  <conditionalFormatting sqref="B510:E510">
    <cfRule type="expression" dxfId="20" priority="1625" stopIfTrue="1">
      <formula>$A510="barcode"</formula>
    </cfRule>
  </conditionalFormatting>
  <conditionalFormatting sqref="B510:E510">
    <cfRule type="expression" dxfId="21" priority="1626" stopIfTrue="1">
      <formula>OR($A510="geopoint", $A510="geoshape", $A510="geotrace")</formula>
    </cfRule>
  </conditionalFormatting>
  <conditionalFormatting sqref="B510:E510">
    <cfRule type="expression" dxfId="22" priority="1627" stopIfTrue="1">
      <formula>OR($A510="audio audit", $A510="text audit", $A510="speed violations count", $A510="speed violations list", $A510="speed violations audit")</formula>
    </cfRule>
  </conditionalFormatting>
  <conditionalFormatting sqref="B510:E510">
    <cfRule type="expression" dxfId="23" priority="1628" stopIfTrue="1">
      <formula>OR($A510="username", $A510="phonenumber", $A510="start", $A510="end", $A510="deviceid", $A510="subscriberid", $A510="simserial", $A510="caseid")</formula>
    </cfRule>
  </conditionalFormatting>
  <conditionalFormatting sqref="B510:E510">
    <cfRule type="expression" dxfId="24" priority="1629" stopIfTrue="1">
      <formula>OR(AND(LEFT($A510, 16)="select_multiple ", LEN($A510)&gt;16, NOT(ISNUMBER(SEARCH(" ", $A510, 17)))), AND(LEFT($A510, 11)="select_one ", LEN($A510)&gt;11, NOT(ISNUMBER(SEARCH(" ", $A510, 12)))))</formula>
    </cfRule>
  </conditionalFormatting>
  <conditionalFormatting sqref="B510:E510">
    <cfRule type="expression" dxfId="25" priority="1630" stopIfTrue="1">
      <formula>$A510="decimal"</formula>
    </cfRule>
  </conditionalFormatting>
  <conditionalFormatting sqref="B510:E510">
    <cfRule type="expression" dxfId="26" priority="1631" stopIfTrue="1">
      <formula>$A510="integer"</formula>
    </cfRule>
  </conditionalFormatting>
  <conditionalFormatting sqref="B510:E510">
    <cfRule type="expression" dxfId="27" priority="1632" stopIfTrue="1">
      <formula>$A510="text"</formula>
    </cfRule>
  </conditionalFormatting>
  <conditionalFormatting sqref="B510:E510">
    <cfRule type="expression" dxfId="28" priority="1633" stopIfTrue="1">
      <formula>$A510="end repeat"</formula>
    </cfRule>
  </conditionalFormatting>
  <conditionalFormatting sqref="B510:E510">
    <cfRule type="expression" dxfId="28" priority="1634" stopIfTrue="1">
      <formula>$A510="begin repeat"</formula>
    </cfRule>
  </conditionalFormatting>
  <conditionalFormatting sqref="B510:E510">
    <cfRule type="expression" dxfId="29" priority="1635" stopIfTrue="1">
      <formula>$A510="end group"</formula>
    </cfRule>
  </conditionalFormatting>
  <conditionalFormatting sqref="B510:E510">
    <cfRule type="expression" dxfId="29" priority="1636" stopIfTrue="1">
      <formula>$A510="begin group"</formula>
    </cfRule>
  </conditionalFormatting>
  <conditionalFormatting sqref="B510">
    <cfRule type="expression" dxfId="30" priority="1637" stopIfTrue="1">
      <formula>$A510="comments"</formula>
    </cfRule>
  </conditionalFormatting>
  <conditionalFormatting sqref="B510">
    <cfRule type="expression" dxfId="36" priority="1638" stopIfTrue="1">
      <formula>OR(AND(LEFT($A510, 14)="sensor_stream ", LEN($A510)&gt;14, NOT(ISNUMBER(SEARCH(" ", $A510, 15)))), AND(LEFT($A510, 17)="sensor_statistic ", LEN($A510)&gt;17, NOT(ISNUMBER(SEARCH(" ", $A510, 18)))))</formula>
    </cfRule>
  </conditionalFormatting>
  <conditionalFormatting sqref="B503:C505 D503:E505">
    <cfRule type="expression" dxfId="0" priority="1639" stopIfTrue="1">
      <formula>$A503="begin group"</formula>
    </cfRule>
  </conditionalFormatting>
  <conditionalFormatting sqref="B503:C505 D503:E505">
    <cfRule type="expression" dxfId="1" priority="1640" stopIfTrue="1">
      <formula>$A503="begin repeat"</formula>
    </cfRule>
  </conditionalFormatting>
  <conditionalFormatting sqref="B503:E505">
    <cfRule type="expression" dxfId="31" priority="1641" stopIfTrue="1">
      <formula>$A503="enumerator"</formula>
    </cfRule>
  </conditionalFormatting>
  <conditionalFormatting sqref="B503:E505">
    <cfRule type="expression" dxfId="2" priority="1642" stopIfTrue="1">
      <formula>$A503="text"</formula>
    </cfRule>
  </conditionalFormatting>
  <conditionalFormatting sqref="B503:E505">
    <cfRule type="expression" dxfId="3" priority="1643" stopIfTrue="1">
      <formula>$A503="integer"</formula>
    </cfRule>
  </conditionalFormatting>
  <conditionalFormatting sqref="B503:E505">
    <cfRule type="expression" dxfId="4" priority="1644" stopIfTrue="1">
      <formula>$A503="decimal"</formula>
    </cfRule>
  </conditionalFormatting>
  <conditionalFormatting sqref="B503:C505 D503:E505">
    <cfRule type="expression" dxfId="5" priority="1645" stopIfTrue="1">
      <formula>OR(AND(LEFT($A503, 16)="select_multiple ", LEN($A503)&gt;16, NOT(ISNUMBER(SEARCH(" ", $A503, 17)))), AND(LEFT($A503, 11)="select_one ", LEN($A503)&gt;11, NOT(ISNUMBER(SEARCH(" ", $A503, 12)))))</formula>
    </cfRule>
  </conditionalFormatting>
  <conditionalFormatting sqref="B503:B505">
    <cfRule type="expression" dxfId="6" priority="1646" stopIfTrue="1">
      <formula>OR($A503="audio audit", $A503="text audit", $A503="speed violations count", $A503="speed violations list", $A503="speed violations audit")</formula>
    </cfRule>
  </conditionalFormatting>
  <conditionalFormatting sqref="B503:C505 D503:E505">
    <cfRule type="expression" dxfId="32" priority="1647" stopIfTrue="1">
      <formula>$A503="file"</formula>
    </cfRule>
  </conditionalFormatting>
  <conditionalFormatting sqref="B503:C505 D503:E505">
    <cfRule type="expression" dxfId="7" priority="1648" stopIfTrue="1">
      <formula>$A503="note"</formula>
    </cfRule>
  </conditionalFormatting>
  <conditionalFormatting sqref="B503:C505 D503:E505">
    <cfRule type="expression" dxfId="8" priority="1649" stopIfTrue="1">
      <formula>$A503="barcode"</formula>
    </cfRule>
  </conditionalFormatting>
  <conditionalFormatting sqref="B503:C505 D503:E505">
    <cfRule type="expression" dxfId="9" priority="1650" stopIfTrue="1">
      <formula>OR($A503="geopoint", $A503="geoshape", $A503="geotrace")</formula>
    </cfRule>
  </conditionalFormatting>
  <conditionalFormatting sqref="B503:B505">
    <cfRule type="expression" dxfId="10" priority="1651" stopIfTrue="1">
      <formula>OR($A503="calculate", $A503="calculate_here")</formula>
    </cfRule>
  </conditionalFormatting>
  <conditionalFormatting sqref="B503:C505 D503:E505">
    <cfRule type="expression" dxfId="11" priority="1652" stopIfTrue="1">
      <formula>OR($A503="date", $A503="datetime", $A503="time")</formula>
    </cfRule>
  </conditionalFormatting>
  <conditionalFormatting sqref="B503:C505 D503:E505">
    <cfRule type="expression" dxfId="12" priority="1653" stopIfTrue="1">
      <formula>$A503="image"</formula>
    </cfRule>
  </conditionalFormatting>
  <conditionalFormatting sqref="B503:C505 D503:E505">
    <cfRule type="expression" dxfId="13" priority="1654" stopIfTrue="1">
      <formula>OR($A503="audio", $A503="video")</formula>
    </cfRule>
  </conditionalFormatting>
  <conditionalFormatting sqref="B503:E505">
    <cfRule type="expression" dxfId="33" priority="1655" stopIfTrue="1">
      <formula>$A503="file"</formula>
    </cfRule>
  </conditionalFormatting>
  <conditionalFormatting sqref="B503:E505">
    <cfRule type="expression" dxfId="34" priority="1656" stopIfTrue="1">
      <formula>$A503="enumerator"</formula>
    </cfRule>
  </conditionalFormatting>
  <conditionalFormatting sqref="B503:E505">
    <cfRule type="expression" dxfId="35" priority="1657" stopIfTrue="1">
      <formula>OR(AND(LEFT($A503, 14)="sensor_stream ", LEN($A503)&gt;14, NOT(ISNUMBER(SEARCH(" ", $A503, 15)))), AND(LEFT($A503, 17)="sensor_statistic ", LEN($A503)&gt;17, NOT(ISNUMBER(SEARCH(" ", $A503, 18)))))</formula>
    </cfRule>
  </conditionalFormatting>
  <conditionalFormatting sqref="B503:E505">
    <cfRule type="expression" dxfId="14" priority="1658" stopIfTrue="1">
      <formula>$A503="comments"</formula>
    </cfRule>
  </conditionalFormatting>
  <conditionalFormatting sqref="B503:E505">
    <cfRule type="expression" dxfId="15" priority="1659" stopIfTrue="1">
      <formula>OR($A503="audio", $A503="video")</formula>
    </cfRule>
  </conditionalFormatting>
  <conditionalFormatting sqref="B503:E505">
    <cfRule type="expression" dxfId="16" priority="1660" stopIfTrue="1">
      <formula>$A503="image"</formula>
    </cfRule>
  </conditionalFormatting>
  <conditionalFormatting sqref="B503:E505">
    <cfRule type="expression" dxfId="17" priority="1661" stopIfTrue="1">
      <formula>OR($A503="date", $A503="datetime", $A503="time")</formula>
    </cfRule>
  </conditionalFormatting>
  <conditionalFormatting sqref="B503:E505">
    <cfRule type="expression" dxfId="18" priority="1662" stopIfTrue="1">
      <formula>OR($A503="calculate", $A503="calculate_here")</formula>
    </cfRule>
  </conditionalFormatting>
  <conditionalFormatting sqref="B503:E505">
    <cfRule type="expression" dxfId="19" priority="1663" stopIfTrue="1">
      <formula>$A503="note"</formula>
    </cfRule>
  </conditionalFormatting>
  <conditionalFormatting sqref="B503:E505">
    <cfRule type="expression" dxfId="20" priority="1664" stopIfTrue="1">
      <formula>$A503="barcode"</formula>
    </cfRule>
  </conditionalFormatting>
  <conditionalFormatting sqref="B503:E505">
    <cfRule type="expression" dxfId="21" priority="1665" stopIfTrue="1">
      <formula>OR($A503="geopoint", $A503="geoshape", $A503="geotrace")</formula>
    </cfRule>
  </conditionalFormatting>
  <conditionalFormatting sqref="B503:E505">
    <cfRule type="expression" dxfId="22" priority="1666" stopIfTrue="1">
      <formula>OR($A503="audio audit", $A503="text audit", $A503="speed violations count", $A503="speed violations list", $A503="speed violations audit")</formula>
    </cfRule>
  </conditionalFormatting>
  <conditionalFormatting sqref="B503:E505">
    <cfRule type="expression" dxfId="23" priority="1667" stopIfTrue="1">
      <formula>OR($A503="username", $A503="phonenumber", $A503="start", $A503="end", $A503="deviceid", $A503="subscriberid", $A503="simserial", $A503="caseid")</formula>
    </cfRule>
  </conditionalFormatting>
  <conditionalFormatting sqref="B503:E505">
    <cfRule type="expression" dxfId="24" priority="1668" stopIfTrue="1">
      <formula>OR(AND(LEFT($A503, 16)="select_multiple ", LEN($A503)&gt;16, NOT(ISNUMBER(SEARCH(" ", $A503, 17)))), AND(LEFT($A503, 11)="select_one ", LEN($A503)&gt;11, NOT(ISNUMBER(SEARCH(" ", $A503, 12)))))</formula>
    </cfRule>
  </conditionalFormatting>
  <conditionalFormatting sqref="B503:E505">
    <cfRule type="expression" dxfId="25" priority="1669" stopIfTrue="1">
      <formula>$A503="decimal"</formula>
    </cfRule>
  </conditionalFormatting>
  <conditionalFormatting sqref="B503:E505">
    <cfRule type="expression" dxfId="26" priority="1670" stopIfTrue="1">
      <formula>$A503="integer"</formula>
    </cfRule>
  </conditionalFormatting>
  <conditionalFormatting sqref="B503:E505">
    <cfRule type="expression" dxfId="27" priority="1671" stopIfTrue="1">
      <formula>$A503="text"</formula>
    </cfRule>
  </conditionalFormatting>
  <conditionalFormatting sqref="B503:E505">
    <cfRule type="expression" dxfId="28" priority="1672" stopIfTrue="1">
      <formula>$A503="end repeat"</formula>
    </cfRule>
  </conditionalFormatting>
  <conditionalFormatting sqref="B503:E505">
    <cfRule type="expression" dxfId="28" priority="1673" stopIfTrue="1">
      <formula>$A503="begin repeat"</formula>
    </cfRule>
  </conditionalFormatting>
  <conditionalFormatting sqref="B503:E505">
    <cfRule type="expression" dxfId="29" priority="1674" stopIfTrue="1">
      <formula>$A503="end group"</formula>
    </cfRule>
  </conditionalFormatting>
  <conditionalFormatting sqref="B503:E505">
    <cfRule type="expression" dxfId="29" priority="1675" stopIfTrue="1">
      <formula>$A503="begin group"</formula>
    </cfRule>
  </conditionalFormatting>
  <conditionalFormatting sqref="B503:B505">
    <cfRule type="expression" dxfId="30" priority="1676" stopIfTrue="1">
      <formula>$A503="comments"</formula>
    </cfRule>
  </conditionalFormatting>
  <conditionalFormatting sqref="B503:B505">
    <cfRule type="expression" dxfId="36" priority="1677" stopIfTrue="1">
      <formula>OR(AND(LEFT($A503, 14)="sensor_stream ", LEN($A503)&gt;14, NOT(ISNUMBER(SEARCH(" ", $A503, 15)))), AND(LEFT($A503, 17)="sensor_statistic ", LEN($A503)&gt;17, NOT(ISNUMBER(SEARCH(" ", $A503, 18)))))</formula>
    </cfRule>
  </conditionalFormatting>
  <conditionalFormatting sqref="B493:C497 D493:E497">
    <cfRule type="expression" dxfId="0" priority="1678" stopIfTrue="1">
      <formula>$A493="begin group"</formula>
    </cfRule>
  </conditionalFormatting>
  <conditionalFormatting sqref="B493:C497 D493:E497">
    <cfRule type="expression" dxfId="1" priority="1679" stopIfTrue="1">
      <formula>$A493="begin repeat"</formula>
    </cfRule>
  </conditionalFormatting>
  <conditionalFormatting sqref="B493:E497">
    <cfRule type="expression" dxfId="31" priority="1680" stopIfTrue="1">
      <formula>$A493="enumerator"</formula>
    </cfRule>
  </conditionalFormatting>
  <conditionalFormatting sqref="B493:E497">
    <cfRule type="expression" dxfId="2" priority="1681" stopIfTrue="1">
      <formula>$A493="text"</formula>
    </cfRule>
  </conditionalFormatting>
  <conditionalFormatting sqref="B493:E497">
    <cfRule type="expression" dxfId="3" priority="1682" stopIfTrue="1">
      <formula>$A493="integer"</formula>
    </cfRule>
  </conditionalFormatting>
  <conditionalFormatting sqref="B493:E497">
    <cfRule type="expression" dxfId="4" priority="1683" stopIfTrue="1">
      <formula>$A493="decimal"</formula>
    </cfRule>
  </conditionalFormatting>
  <conditionalFormatting sqref="B493:C497 D493:E497">
    <cfRule type="expression" dxfId="5" priority="1684" stopIfTrue="1">
      <formula>OR(AND(LEFT($A493, 16)="select_multiple ", LEN($A493)&gt;16, NOT(ISNUMBER(SEARCH(" ", $A493, 17)))), AND(LEFT($A493, 11)="select_one ", LEN($A493)&gt;11, NOT(ISNUMBER(SEARCH(" ", $A493, 12)))))</formula>
    </cfRule>
  </conditionalFormatting>
  <conditionalFormatting sqref="B493:B497">
    <cfRule type="expression" dxfId="6" priority="1685" stopIfTrue="1">
      <formula>OR($A493="audio audit", $A493="text audit", $A493="speed violations count", $A493="speed violations list", $A493="speed violations audit")</formula>
    </cfRule>
  </conditionalFormatting>
  <conditionalFormatting sqref="B493:C497 D493:E497">
    <cfRule type="expression" dxfId="32" priority="1686" stopIfTrue="1">
      <formula>$A493="file"</formula>
    </cfRule>
  </conditionalFormatting>
  <conditionalFormatting sqref="B493:C497 D493:E497">
    <cfRule type="expression" dxfId="7" priority="1687" stopIfTrue="1">
      <formula>$A493="note"</formula>
    </cfRule>
  </conditionalFormatting>
  <conditionalFormatting sqref="B493:C497 D493:E497">
    <cfRule type="expression" dxfId="8" priority="1688" stopIfTrue="1">
      <formula>$A493="barcode"</formula>
    </cfRule>
  </conditionalFormatting>
  <conditionalFormatting sqref="B493:C497 D493:E497">
    <cfRule type="expression" dxfId="9" priority="1689" stopIfTrue="1">
      <formula>OR($A493="geopoint", $A493="geoshape", $A493="geotrace")</formula>
    </cfRule>
  </conditionalFormatting>
  <conditionalFormatting sqref="B493:B497">
    <cfRule type="expression" dxfId="10" priority="1690" stopIfTrue="1">
      <formula>OR($A493="calculate", $A493="calculate_here")</formula>
    </cfRule>
  </conditionalFormatting>
  <conditionalFormatting sqref="B493:C497 D493:E497">
    <cfRule type="expression" dxfId="11" priority="1691" stopIfTrue="1">
      <formula>OR($A493="date", $A493="datetime", $A493="time")</formula>
    </cfRule>
  </conditionalFormatting>
  <conditionalFormatting sqref="B493:C497 D493:E497">
    <cfRule type="expression" dxfId="12" priority="1692" stopIfTrue="1">
      <formula>$A493="image"</formula>
    </cfRule>
  </conditionalFormatting>
  <conditionalFormatting sqref="B493:C497 D493:E497">
    <cfRule type="expression" dxfId="13" priority="1693" stopIfTrue="1">
      <formula>OR($A493="audio", $A493="video")</formula>
    </cfRule>
  </conditionalFormatting>
  <conditionalFormatting sqref="B493:E497">
    <cfRule type="expression" dxfId="33" priority="1694" stopIfTrue="1">
      <formula>$A493="file"</formula>
    </cfRule>
  </conditionalFormatting>
  <conditionalFormatting sqref="B493:E497">
    <cfRule type="expression" dxfId="34" priority="1695" stopIfTrue="1">
      <formula>$A493="enumerator"</formula>
    </cfRule>
  </conditionalFormatting>
  <conditionalFormatting sqref="B493:E497">
    <cfRule type="expression" dxfId="35" priority="1696" stopIfTrue="1">
      <formula>OR(AND(LEFT($A493, 14)="sensor_stream ", LEN($A493)&gt;14, NOT(ISNUMBER(SEARCH(" ", $A493, 15)))), AND(LEFT($A493, 17)="sensor_statistic ", LEN($A493)&gt;17, NOT(ISNUMBER(SEARCH(" ", $A493, 18)))))</formula>
    </cfRule>
  </conditionalFormatting>
  <conditionalFormatting sqref="B493:E497">
    <cfRule type="expression" dxfId="14" priority="1697" stopIfTrue="1">
      <formula>$A493="comments"</formula>
    </cfRule>
  </conditionalFormatting>
  <conditionalFormatting sqref="B493:E497">
    <cfRule type="expression" dxfId="15" priority="1698" stopIfTrue="1">
      <formula>OR($A493="audio", $A493="video")</formula>
    </cfRule>
  </conditionalFormatting>
  <conditionalFormatting sqref="B493:E497">
    <cfRule type="expression" dxfId="16" priority="1699" stopIfTrue="1">
      <formula>$A493="image"</formula>
    </cfRule>
  </conditionalFormatting>
  <conditionalFormatting sqref="B493:E497">
    <cfRule type="expression" dxfId="17" priority="1700" stopIfTrue="1">
      <formula>OR($A493="date", $A493="datetime", $A493="time")</formula>
    </cfRule>
  </conditionalFormatting>
  <conditionalFormatting sqref="B493:E497">
    <cfRule type="expression" dxfId="18" priority="1701" stopIfTrue="1">
      <formula>OR($A493="calculate", $A493="calculate_here")</formula>
    </cfRule>
  </conditionalFormatting>
  <conditionalFormatting sqref="B493:E497">
    <cfRule type="expression" dxfId="19" priority="1702" stopIfTrue="1">
      <formula>$A493="note"</formula>
    </cfRule>
  </conditionalFormatting>
  <conditionalFormatting sqref="B493:E497">
    <cfRule type="expression" dxfId="20" priority="1703" stopIfTrue="1">
      <formula>$A493="barcode"</formula>
    </cfRule>
  </conditionalFormatting>
  <conditionalFormatting sqref="B493:E497">
    <cfRule type="expression" dxfId="21" priority="1704" stopIfTrue="1">
      <formula>OR($A493="geopoint", $A493="geoshape", $A493="geotrace")</formula>
    </cfRule>
  </conditionalFormatting>
  <conditionalFormatting sqref="B493:E497">
    <cfRule type="expression" dxfId="22" priority="1705" stopIfTrue="1">
      <formula>OR($A493="audio audit", $A493="text audit", $A493="speed violations count", $A493="speed violations list", $A493="speed violations audit")</formula>
    </cfRule>
  </conditionalFormatting>
  <conditionalFormatting sqref="B493:E497">
    <cfRule type="expression" dxfId="23" priority="1706" stopIfTrue="1">
      <formula>OR($A493="username", $A493="phonenumber", $A493="start", $A493="end", $A493="deviceid", $A493="subscriberid", $A493="simserial", $A493="caseid")</formula>
    </cfRule>
  </conditionalFormatting>
  <conditionalFormatting sqref="B493:E497">
    <cfRule type="expression" dxfId="24" priority="1707" stopIfTrue="1">
      <formula>OR(AND(LEFT($A493, 16)="select_multiple ", LEN($A493)&gt;16, NOT(ISNUMBER(SEARCH(" ", $A493, 17)))), AND(LEFT($A493, 11)="select_one ", LEN($A493)&gt;11, NOT(ISNUMBER(SEARCH(" ", $A493, 12)))))</formula>
    </cfRule>
  </conditionalFormatting>
  <conditionalFormatting sqref="B493:E497">
    <cfRule type="expression" dxfId="25" priority="1708" stopIfTrue="1">
      <formula>$A493="decimal"</formula>
    </cfRule>
  </conditionalFormatting>
  <conditionalFormatting sqref="B493:E497">
    <cfRule type="expression" dxfId="26" priority="1709" stopIfTrue="1">
      <formula>$A493="integer"</formula>
    </cfRule>
  </conditionalFormatting>
  <conditionalFormatting sqref="B493:E497">
    <cfRule type="expression" dxfId="27" priority="1710" stopIfTrue="1">
      <formula>$A493="text"</formula>
    </cfRule>
  </conditionalFormatting>
  <conditionalFormatting sqref="B493:E497">
    <cfRule type="expression" dxfId="28" priority="1711" stopIfTrue="1">
      <formula>$A493="end repeat"</formula>
    </cfRule>
  </conditionalFormatting>
  <conditionalFormatting sqref="B493:E497">
    <cfRule type="expression" dxfId="28" priority="1712" stopIfTrue="1">
      <formula>$A493="begin repeat"</formula>
    </cfRule>
  </conditionalFormatting>
  <conditionalFormatting sqref="B493:E497">
    <cfRule type="expression" dxfId="29" priority="1713" stopIfTrue="1">
      <formula>$A493="end group"</formula>
    </cfRule>
  </conditionalFormatting>
  <conditionalFormatting sqref="B493:E497">
    <cfRule type="expression" dxfId="29" priority="1714" stopIfTrue="1">
      <formula>$A493="begin group"</formula>
    </cfRule>
  </conditionalFormatting>
  <conditionalFormatting sqref="B493:B497">
    <cfRule type="expression" dxfId="30" priority="1715" stopIfTrue="1">
      <formula>$A493="comments"</formula>
    </cfRule>
  </conditionalFormatting>
  <conditionalFormatting sqref="B493:B497">
    <cfRule type="expression" dxfId="36" priority="1716" stopIfTrue="1">
      <formula>OR(AND(LEFT($A493, 14)="sensor_stream ", LEN($A493)&gt;14, NOT(ISNUMBER(SEARCH(" ", $A493, 15)))), AND(LEFT($A493, 17)="sensor_statistic ", LEN($A493)&gt;17, NOT(ISNUMBER(SEARCH(" ", $A493, 18)))))</formula>
    </cfRule>
  </conditionalFormatting>
  <conditionalFormatting sqref="B487:C488 D487:E488">
    <cfRule type="expression" dxfId="0" priority="1717" stopIfTrue="1">
      <formula>$A487="begin group"</formula>
    </cfRule>
  </conditionalFormatting>
  <conditionalFormatting sqref="B487:C488 D487:E488">
    <cfRule type="expression" dxfId="1" priority="1718" stopIfTrue="1">
      <formula>$A487="begin repeat"</formula>
    </cfRule>
  </conditionalFormatting>
  <conditionalFormatting sqref="B487:E488">
    <cfRule type="expression" dxfId="31" priority="1719" stopIfTrue="1">
      <formula>$A487="enumerator"</formula>
    </cfRule>
  </conditionalFormatting>
  <conditionalFormatting sqref="B487:E488">
    <cfRule type="expression" dxfId="2" priority="1720" stopIfTrue="1">
      <formula>$A487="text"</formula>
    </cfRule>
  </conditionalFormatting>
  <conditionalFormatting sqref="B487:E488">
    <cfRule type="expression" dxfId="3" priority="1721" stopIfTrue="1">
      <formula>$A487="integer"</formula>
    </cfRule>
  </conditionalFormatting>
  <conditionalFormatting sqref="B487:E488">
    <cfRule type="expression" dxfId="4" priority="1722" stopIfTrue="1">
      <formula>$A487="decimal"</formula>
    </cfRule>
  </conditionalFormatting>
  <conditionalFormatting sqref="B487:C488 D487:E488">
    <cfRule type="expression" dxfId="5" priority="1723" stopIfTrue="1">
      <formula>OR(AND(LEFT($A487, 16)="select_multiple ", LEN($A487)&gt;16, NOT(ISNUMBER(SEARCH(" ", $A487, 17)))), AND(LEFT($A487, 11)="select_one ", LEN($A487)&gt;11, NOT(ISNUMBER(SEARCH(" ", $A487, 12)))))</formula>
    </cfRule>
  </conditionalFormatting>
  <conditionalFormatting sqref="B487:B488">
    <cfRule type="expression" dxfId="6" priority="1724" stopIfTrue="1">
      <formula>OR($A487="audio audit", $A487="text audit", $A487="speed violations count", $A487="speed violations list", $A487="speed violations audit")</formula>
    </cfRule>
  </conditionalFormatting>
  <conditionalFormatting sqref="B487:C488 D487:E488">
    <cfRule type="expression" dxfId="32" priority="1725" stopIfTrue="1">
      <formula>$A487="file"</formula>
    </cfRule>
  </conditionalFormatting>
  <conditionalFormatting sqref="B487:C488 D487:E488">
    <cfRule type="expression" dxfId="7" priority="1726" stopIfTrue="1">
      <formula>$A487="note"</formula>
    </cfRule>
  </conditionalFormatting>
  <conditionalFormatting sqref="B487:C488 D487:E488">
    <cfRule type="expression" dxfId="8" priority="1727" stopIfTrue="1">
      <formula>$A487="barcode"</formula>
    </cfRule>
  </conditionalFormatting>
  <conditionalFormatting sqref="B487:C488 D487:E488">
    <cfRule type="expression" dxfId="9" priority="1728" stopIfTrue="1">
      <formula>OR($A487="geopoint", $A487="geoshape", $A487="geotrace")</formula>
    </cfRule>
  </conditionalFormatting>
  <conditionalFormatting sqref="B487:B488">
    <cfRule type="expression" dxfId="10" priority="1729" stopIfTrue="1">
      <formula>OR($A487="calculate", $A487="calculate_here")</formula>
    </cfRule>
  </conditionalFormatting>
  <conditionalFormatting sqref="B487:C488 D487:E488">
    <cfRule type="expression" dxfId="11" priority="1730" stopIfTrue="1">
      <formula>OR($A487="date", $A487="datetime", $A487="time")</formula>
    </cfRule>
  </conditionalFormatting>
  <conditionalFormatting sqref="B487:C488 D487:E488">
    <cfRule type="expression" dxfId="12" priority="1731" stopIfTrue="1">
      <formula>$A487="image"</formula>
    </cfRule>
  </conditionalFormatting>
  <conditionalFormatting sqref="B487:C488 D487:E488">
    <cfRule type="expression" dxfId="13" priority="1732" stopIfTrue="1">
      <formula>OR($A487="audio", $A487="video")</formula>
    </cfRule>
  </conditionalFormatting>
  <conditionalFormatting sqref="B487:E488">
    <cfRule type="expression" dxfId="33" priority="1733" stopIfTrue="1">
      <formula>$A487="file"</formula>
    </cfRule>
  </conditionalFormatting>
  <conditionalFormatting sqref="B487:E488">
    <cfRule type="expression" dxfId="34" priority="1734" stopIfTrue="1">
      <formula>$A487="enumerator"</formula>
    </cfRule>
  </conditionalFormatting>
  <conditionalFormatting sqref="B487:E488">
    <cfRule type="expression" dxfId="35" priority="1735" stopIfTrue="1">
      <formula>OR(AND(LEFT($A487, 14)="sensor_stream ", LEN($A487)&gt;14, NOT(ISNUMBER(SEARCH(" ", $A487, 15)))), AND(LEFT($A487, 17)="sensor_statistic ", LEN($A487)&gt;17, NOT(ISNUMBER(SEARCH(" ", $A487, 18)))))</formula>
    </cfRule>
  </conditionalFormatting>
  <conditionalFormatting sqref="B487:E488">
    <cfRule type="expression" dxfId="14" priority="1736" stopIfTrue="1">
      <formula>$A487="comments"</formula>
    </cfRule>
  </conditionalFormatting>
  <conditionalFormatting sqref="B487:E488">
    <cfRule type="expression" dxfId="15" priority="1737" stopIfTrue="1">
      <formula>OR($A487="audio", $A487="video")</formula>
    </cfRule>
  </conditionalFormatting>
  <conditionalFormatting sqref="B487:E488">
    <cfRule type="expression" dxfId="16" priority="1738" stopIfTrue="1">
      <formula>$A487="image"</formula>
    </cfRule>
  </conditionalFormatting>
  <conditionalFormatting sqref="B487:E488">
    <cfRule type="expression" dxfId="17" priority="1739" stopIfTrue="1">
      <formula>OR($A487="date", $A487="datetime", $A487="time")</formula>
    </cfRule>
  </conditionalFormatting>
  <conditionalFormatting sqref="B487:E488">
    <cfRule type="expression" dxfId="18" priority="1740" stopIfTrue="1">
      <formula>OR($A487="calculate", $A487="calculate_here")</formula>
    </cfRule>
  </conditionalFormatting>
  <conditionalFormatting sqref="B487:E488">
    <cfRule type="expression" dxfId="19" priority="1741" stopIfTrue="1">
      <formula>$A487="note"</formula>
    </cfRule>
  </conditionalFormatting>
  <conditionalFormatting sqref="B487:E488">
    <cfRule type="expression" dxfId="20" priority="1742" stopIfTrue="1">
      <formula>$A487="barcode"</formula>
    </cfRule>
  </conditionalFormatting>
  <conditionalFormatting sqref="B487:E488">
    <cfRule type="expression" dxfId="21" priority="1743" stopIfTrue="1">
      <formula>OR($A487="geopoint", $A487="geoshape", $A487="geotrace")</formula>
    </cfRule>
  </conditionalFormatting>
  <conditionalFormatting sqref="B487:E488">
    <cfRule type="expression" dxfId="22" priority="1744" stopIfTrue="1">
      <formula>OR($A487="audio audit", $A487="text audit", $A487="speed violations count", $A487="speed violations list", $A487="speed violations audit")</formula>
    </cfRule>
  </conditionalFormatting>
  <conditionalFormatting sqref="B487:E488">
    <cfRule type="expression" dxfId="23" priority="1745" stopIfTrue="1">
      <formula>OR($A487="username", $A487="phonenumber", $A487="start", $A487="end", $A487="deviceid", $A487="subscriberid", $A487="simserial", $A487="caseid")</formula>
    </cfRule>
  </conditionalFormatting>
  <conditionalFormatting sqref="B487:E488">
    <cfRule type="expression" dxfId="24" priority="1746" stopIfTrue="1">
      <formula>OR(AND(LEFT($A487, 16)="select_multiple ", LEN($A487)&gt;16, NOT(ISNUMBER(SEARCH(" ", $A487, 17)))), AND(LEFT($A487, 11)="select_one ", LEN($A487)&gt;11, NOT(ISNUMBER(SEARCH(" ", $A487, 12)))))</formula>
    </cfRule>
  </conditionalFormatting>
  <conditionalFormatting sqref="B487:E488">
    <cfRule type="expression" dxfId="25" priority="1747" stopIfTrue="1">
      <formula>$A487="decimal"</formula>
    </cfRule>
  </conditionalFormatting>
  <conditionalFormatting sqref="B487:E488">
    <cfRule type="expression" dxfId="26" priority="1748" stopIfTrue="1">
      <formula>$A487="integer"</formula>
    </cfRule>
  </conditionalFormatting>
  <conditionalFormatting sqref="B487:E488">
    <cfRule type="expression" dxfId="27" priority="1749" stopIfTrue="1">
      <formula>$A487="text"</formula>
    </cfRule>
  </conditionalFormatting>
  <conditionalFormatting sqref="B487:E488">
    <cfRule type="expression" dxfId="28" priority="1750" stopIfTrue="1">
      <formula>$A487="end repeat"</formula>
    </cfRule>
  </conditionalFormatting>
  <conditionalFormatting sqref="B487:E488">
    <cfRule type="expression" dxfId="28" priority="1751" stopIfTrue="1">
      <formula>$A487="begin repeat"</formula>
    </cfRule>
  </conditionalFormatting>
  <conditionalFormatting sqref="B487:E488">
    <cfRule type="expression" dxfId="29" priority="1752" stopIfTrue="1">
      <formula>$A487="end group"</formula>
    </cfRule>
  </conditionalFormatting>
  <conditionalFormatting sqref="B487:E488">
    <cfRule type="expression" dxfId="29" priority="1753" stopIfTrue="1">
      <formula>$A487="begin group"</formula>
    </cfRule>
  </conditionalFormatting>
  <conditionalFormatting sqref="B487:B488">
    <cfRule type="expression" dxfId="30" priority="1754" stopIfTrue="1">
      <formula>$A487="comments"</formula>
    </cfRule>
  </conditionalFormatting>
  <conditionalFormatting sqref="B487:B488">
    <cfRule type="expression" dxfId="36" priority="1755" stopIfTrue="1">
      <formula>OR(AND(LEFT($A487, 14)="sensor_stream ", LEN($A487)&gt;14, NOT(ISNUMBER(SEARCH(" ", $A487, 15)))), AND(LEFT($A487, 17)="sensor_statistic ", LEN($A487)&gt;17, NOT(ISNUMBER(SEARCH(" ", $A487, 18)))))</formula>
    </cfRule>
  </conditionalFormatting>
  <conditionalFormatting sqref="B483:C485 D483:E485">
    <cfRule type="expression" dxfId="0" priority="1756" stopIfTrue="1">
      <formula>$A483="begin group"</formula>
    </cfRule>
  </conditionalFormatting>
  <conditionalFormatting sqref="B483:C485 D483:E485">
    <cfRule type="expression" dxfId="1" priority="1757" stopIfTrue="1">
      <formula>$A483="begin repeat"</formula>
    </cfRule>
  </conditionalFormatting>
  <conditionalFormatting sqref="B483:E485">
    <cfRule type="expression" dxfId="31" priority="1758" stopIfTrue="1">
      <formula>$A483="enumerator"</formula>
    </cfRule>
  </conditionalFormatting>
  <conditionalFormatting sqref="B483:E485">
    <cfRule type="expression" dxfId="2" priority="1759" stopIfTrue="1">
      <formula>$A483="text"</formula>
    </cfRule>
  </conditionalFormatting>
  <conditionalFormatting sqref="B483:E485">
    <cfRule type="expression" dxfId="3" priority="1760" stopIfTrue="1">
      <formula>$A483="integer"</formula>
    </cfRule>
  </conditionalFormatting>
  <conditionalFormatting sqref="B483:E485">
    <cfRule type="expression" dxfId="4" priority="1761" stopIfTrue="1">
      <formula>$A483="decimal"</formula>
    </cfRule>
  </conditionalFormatting>
  <conditionalFormatting sqref="B483:C485 D483:E485">
    <cfRule type="expression" dxfId="5" priority="1762" stopIfTrue="1">
      <formula>OR(AND(LEFT($A483, 16)="select_multiple ", LEN($A483)&gt;16, NOT(ISNUMBER(SEARCH(" ", $A483, 17)))), AND(LEFT($A483, 11)="select_one ", LEN($A483)&gt;11, NOT(ISNUMBER(SEARCH(" ", $A483, 12)))))</formula>
    </cfRule>
  </conditionalFormatting>
  <conditionalFormatting sqref="B483:B485">
    <cfRule type="expression" dxfId="6" priority="1763" stopIfTrue="1">
      <formula>OR($A483="audio audit", $A483="text audit", $A483="speed violations count", $A483="speed violations list", $A483="speed violations audit")</formula>
    </cfRule>
  </conditionalFormatting>
  <conditionalFormatting sqref="B483:C485 D483:E485">
    <cfRule type="expression" dxfId="32" priority="1764" stopIfTrue="1">
      <formula>$A483="file"</formula>
    </cfRule>
  </conditionalFormatting>
  <conditionalFormatting sqref="B483:C485 D483:E485">
    <cfRule type="expression" dxfId="7" priority="1765" stopIfTrue="1">
      <formula>$A483="note"</formula>
    </cfRule>
  </conditionalFormatting>
  <conditionalFormatting sqref="B483:C485 D483:E485">
    <cfRule type="expression" dxfId="8" priority="1766" stopIfTrue="1">
      <formula>$A483="barcode"</formula>
    </cfRule>
  </conditionalFormatting>
  <conditionalFormatting sqref="B483:C485 D483:E485">
    <cfRule type="expression" dxfId="9" priority="1767" stopIfTrue="1">
      <formula>OR($A483="geopoint", $A483="geoshape", $A483="geotrace")</formula>
    </cfRule>
  </conditionalFormatting>
  <conditionalFormatting sqref="B483:B485">
    <cfRule type="expression" dxfId="10" priority="1768" stopIfTrue="1">
      <formula>OR($A483="calculate", $A483="calculate_here")</formula>
    </cfRule>
  </conditionalFormatting>
  <conditionalFormatting sqref="B483:C485 D483:E485">
    <cfRule type="expression" dxfId="11" priority="1769" stopIfTrue="1">
      <formula>OR($A483="date", $A483="datetime", $A483="time")</formula>
    </cfRule>
  </conditionalFormatting>
  <conditionalFormatting sqref="B483:C485 D483:E485">
    <cfRule type="expression" dxfId="12" priority="1770" stopIfTrue="1">
      <formula>$A483="image"</formula>
    </cfRule>
  </conditionalFormatting>
  <conditionalFormatting sqref="B483:C485 D483:E485">
    <cfRule type="expression" dxfId="13" priority="1771" stopIfTrue="1">
      <formula>OR($A483="audio", $A483="video")</formula>
    </cfRule>
  </conditionalFormatting>
  <conditionalFormatting sqref="B483:E485">
    <cfRule type="expression" dxfId="33" priority="1772" stopIfTrue="1">
      <formula>$A483="file"</formula>
    </cfRule>
  </conditionalFormatting>
  <conditionalFormatting sqref="B483:E485">
    <cfRule type="expression" dxfId="34" priority="1773" stopIfTrue="1">
      <formula>$A483="enumerator"</formula>
    </cfRule>
  </conditionalFormatting>
  <conditionalFormatting sqref="B483:E485">
    <cfRule type="expression" dxfId="35" priority="1774" stopIfTrue="1">
      <formula>OR(AND(LEFT($A483, 14)="sensor_stream ", LEN($A483)&gt;14, NOT(ISNUMBER(SEARCH(" ", $A483, 15)))), AND(LEFT($A483, 17)="sensor_statistic ", LEN($A483)&gt;17, NOT(ISNUMBER(SEARCH(" ", $A483, 18)))))</formula>
    </cfRule>
  </conditionalFormatting>
  <conditionalFormatting sqref="B483:E485">
    <cfRule type="expression" dxfId="14" priority="1775" stopIfTrue="1">
      <formula>$A483="comments"</formula>
    </cfRule>
  </conditionalFormatting>
  <conditionalFormatting sqref="B483:E485">
    <cfRule type="expression" dxfId="15" priority="1776" stopIfTrue="1">
      <formula>OR($A483="audio", $A483="video")</formula>
    </cfRule>
  </conditionalFormatting>
  <conditionalFormatting sqref="B483:E485">
    <cfRule type="expression" dxfId="16" priority="1777" stopIfTrue="1">
      <formula>$A483="image"</formula>
    </cfRule>
  </conditionalFormatting>
  <conditionalFormatting sqref="B483:E485">
    <cfRule type="expression" dxfId="17" priority="1778" stopIfTrue="1">
      <formula>OR($A483="date", $A483="datetime", $A483="time")</formula>
    </cfRule>
  </conditionalFormatting>
  <conditionalFormatting sqref="B483:E485">
    <cfRule type="expression" dxfId="18" priority="1779" stopIfTrue="1">
      <formula>OR($A483="calculate", $A483="calculate_here")</formula>
    </cfRule>
  </conditionalFormatting>
  <conditionalFormatting sqref="B483:E485">
    <cfRule type="expression" dxfId="19" priority="1780" stopIfTrue="1">
      <formula>$A483="note"</formula>
    </cfRule>
  </conditionalFormatting>
  <conditionalFormatting sqref="B483:E485">
    <cfRule type="expression" dxfId="20" priority="1781" stopIfTrue="1">
      <formula>$A483="barcode"</formula>
    </cfRule>
  </conditionalFormatting>
  <conditionalFormatting sqref="B483:E485">
    <cfRule type="expression" dxfId="21" priority="1782" stopIfTrue="1">
      <formula>OR($A483="geopoint", $A483="geoshape", $A483="geotrace")</formula>
    </cfRule>
  </conditionalFormatting>
  <conditionalFormatting sqref="B483:E485">
    <cfRule type="expression" dxfId="22" priority="1783" stopIfTrue="1">
      <formula>OR($A483="audio audit", $A483="text audit", $A483="speed violations count", $A483="speed violations list", $A483="speed violations audit")</formula>
    </cfRule>
  </conditionalFormatting>
  <conditionalFormatting sqref="B483:E485">
    <cfRule type="expression" dxfId="23" priority="1784" stopIfTrue="1">
      <formula>OR($A483="username", $A483="phonenumber", $A483="start", $A483="end", $A483="deviceid", $A483="subscriberid", $A483="simserial", $A483="caseid")</formula>
    </cfRule>
  </conditionalFormatting>
  <conditionalFormatting sqref="B483:E485">
    <cfRule type="expression" dxfId="24" priority="1785" stopIfTrue="1">
      <formula>OR(AND(LEFT($A483, 16)="select_multiple ", LEN($A483)&gt;16, NOT(ISNUMBER(SEARCH(" ", $A483, 17)))), AND(LEFT($A483, 11)="select_one ", LEN($A483)&gt;11, NOT(ISNUMBER(SEARCH(" ", $A483, 12)))))</formula>
    </cfRule>
  </conditionalFormatting>
  <conditionalFormatting sqref="B483:E485">
    <cfRule type="expression" dxfId="25" priority="1786" stopIfTrue="1">
      <formula>$A483="decimal"</formula>
    </cfRule>
  </conditionalFormatting>
  <conditionalFormatting sqref="B483:E485">
    <cfRule type="expression" dxfId="26" priority="1787" stopIfTrue="1">
      <formula>$A483="integer"</formula>
    </cfRule>
  </conditionalFormatting>
  <conditionalFormatting sqref="B483:E485">
    <cfRule type="expression" dxfId="27" priority="1788" stopIfTrue="1">
      <formula>$A483="text"</formula>
    </cfRule>
  </conditionalFormatting>
  <conditionalFormatting sqref="B483:E485">
    <cfRule type="expression" dxfId="28" priority="1789" stopIfTrue="1">
      <formula>$A483="end repeat"</formula>
    </cfRule>
  </conditionalFormatting>
  <conditionalFormatting sqref="B483:E485">
    <cfRule type="expression" dxfId="28" priority="1790" stopIfTrue="1">
      <formula>$A483="begin repeat"</formula>
    </cfRule>
  </conditionalFormatting>
  <conditionalFormatting sqref="B483:E485">
    <cfRule type="expression" dxfId="29" priority="1791" stopIfTrue="1">
      <formula>$A483="end group"</formula>
    </cfRule>
  </conditionalFormatting>
  <conditionalFormatting sqref="B483:E485">
    <cfRule type="expression" dxfId="29" priority="1792" stopIfTrue="1">
      <formula>$A483="begin group"</formula>
    </cfRule>
  </conditionalFormatting>
  <conditionalFormatting sqref="B483:B485">
    <cfRule type="expression" dxfId="30" priority="1793" stopIfTrue="1">
      <formula>$A483="comments"</formula>
    </cfRule>
  </conditionalFormatting>
  <conditionalFormatting sqref="B483:B485">
    <cfRule type="expression" dxfId="36" priority="1794" stopIfTrue="1">
      <formula>OR(AND(LEFT($A483, 14)="sensor_stream ", LEN($A483)&gt;14, NOT(ISNUMBER(SEARCH(" ", $A483, 15)))), AND(LEFT($A483, 17)="sensor_statistic ", LEN($A483)&gt;17, NOT(ISNUMBER(SEARCH(" ", $A483, 18)))))</formula>
    </cfRule>
  </conditionalFormatting>
  <conditionalFormatting sqref="B481:C481 D481:E481">
    <cfRule type="expression" dxfId="0" priority="1795" stopIfTrue="1">
      <formula>$A481="begin group"</formula>
    </cfRule>
  </conditionalFormatting>
  <conditionalFormatting sqref="B481:C481 D481:E481">
    <cfRule type="expression" dxfId="1" priority="1796" stopIfTrue="1">
      <formula>$A481="begin repeat"</formula>
    </cfRule>
  </conditionalFormatting>
  <conditionalFormatting sqref="B481:E481">
    <cfRule type="expression" dxfId="31" priority="1797" stopIfTrue="1">
      <formula>$A481="enumerator"</formula>
    </cfRule>
  </conditionalFormatting>
  <conditionalFormatting sqref="B481:E481">
    <cfRule type="expression" dxfId="2" priority="1798" stopIfTrue="1">
      <formula>$A481="text"</formula>
    </cfRule>
  </conditionalFormatting>
  <conditionalFormatting sqref="B481:E481">
    <cfRule type="expression" dxfId="3" priority="1799" stopIfTrue="1">
      <formula>$A481="integer"</formula>
    </cfRule>
  </conditionalFormatting>
  <conditionalFormatting sqref="B481:E481">
    <cfRule type="expression" dxfId="4" priority="1800" stopIfTrue="1">
      <formula>$A481="decimal"</formula>
    </cfRule>
  </conditionalFormatting>
  <conditionalFormatting sqref="B481:C481 D481:E481">
    <cfRule type="expression" dxfId="5" priority="1801" stopIfTrue="1">
      <formula>OR(AND(LEFT($A481, 16)="select_multiple ", LEN($A481)&gt;16, NOT(ISNUMBER(SEARCH(" ", $A481, 17)))), AND(LEFT($A481, 11)="select_one ", LEN($A481)&gt;11, NOT(ISNUMBER(SEARCH(" ", $A481, 12)))))</formula>
    </cfRule>
  </conditionalFormatting>
  <conditionalFormatting sqref="B481">
    <cfRule type="expression" dxfId="6" priority="1802" stopIfTrue="1">
      <formula>OR($A481="audio audit", $A481="text audit", $A481="speed violations count", $A481="speed violations list", $A481="speed violations audit")</formula>
    </cfRule>
  </conditionalFormatting>
  <conditionalFormatting sqref="B481:C481 D481:E481">
    <cfRule type="expression" dxfId="32" priority="1803" stopIfTrue="1">
      <formula>$A481="file"</formula>
    </cfRule>
  </conditionalFormatting>
  <conditionalFormatting sqref="B481:C481 D481:E481">
    <cfRule type="expression" dxfId="7" priority="1804" stopIfTrue="1">
      <formula>$A481="note"</formula>
    </cfRule>
  </conditionalFormatting>
  <conditionalFormatting sqref="B481:C481 D481:E481">
    <cfRule type="expression" dxfId="8" priority="1805" stopIfTrue="1">
      <formula>$A481="barcode"</formula>
    </cfRule>
  </conditionalFormatting>
  <conditionalFormatting sqref="B481:C481 D481:E481">
    <cfRule type="expression" dxfId="9" priority="1806" stopIfTrue="1">
      <formula>OR($A481="geopoint", $A481="geoshape", $A481="geotrace")</formula>
    </cfRule>
  </conditionalFormatting>
  <conditionalFormatting sqref="B481">
    <cfRule type="expression" dxfId="10" priority="1807" stopIfTrue="1">
      <formula>OR($A481="calculate", $A481="calculate_here")</formula>
    </cfRule>
  </conditionalFormatting>
  <conditionalFormatting sqref="B481:C481 D481:E481">
    <cfRule type="expression" dxfId="11" priority="1808" stopIfTrue="1">
      <formula>OR($A481="date", $A481="datetime", $A481="time")</formula>
    </cfRule>
  </conditionalFormatting>
  <conditionalFormatting sqref="B481:C481 D481:E481">
    <cfRule type="expression" dxfId="12" priority="1809" stopIfTrue="1">
      <formula>$A481="image"</formula>
    </cfRule>
  </conditionalFormatting>
  <conditionalFormatting sqref="B481:C481 D481:E481">
    <cfRule type="expression" dxfId="13" priority="1810" stopIfTrue="1">
      <formula>OR($A481="audio", $A481="video")</formula>
    </cfRule>
  </conditionalFormatting>
  <conditionalFormatting sqref="B481:E481">
    <cfRule type="expression" dxfId="33" priority="1811" stopIfTrue="1">
      <formula>$A481="file"</formula>
    </cfRule>
  </conditionalFormatting>
  <conditionalFormatting sqref="B481:E481">
    <cfRule type="expression" dxfId="34" priority="1812" stopIfTrue="1">
      <formula>$A481="enumerator"</formula>
    </cfRule>
  </conditionalFormatting>
  <conditionalFormatting sqref="B481:E481">
    <cfRule type="expression" dxfId="35" priority="1813" stopIfTrue="1">
      <formula>OR(AND(LEFT($A481, 14)="sensor_stream ", LEN($A481)&gt;14, NOT(ISNUMBER(SEARCH(" ", $A481, 15)))), AND(LEFT($A481, 17)="sensor_statistic ", LEN($A481)&gt;17, NOT(ISNUMBER(SEARCH(" ", $A481, 18)))))</formula>
    </cfRule>
  </conditionalFormatting>
  <conditionalFormatting sqref="B481:E481">
    <cfRule type="expression" dxfId="14" priority="1814" stopIfTrue="1">
      <formula>$A481="comments"</formula>
    </cfRule>
  </conditionalFormatting>
  <conditionalFormatting sqref="B481:E481">
    <cfRule type="expression" dxfId="15" priority="1815" stopIfTrue="1">
      <formula>OR($A481="audio", $A481="video")</formula>
    </cfRule>
  </conditionalFormatting>
  <conditionalFormatting sqref="B481:E481">
    <cfRule type="expression" dxfId="16" priority="1816" stopIfTrue="1">
      <formula>$A481="image"</formula>
    </cfRule>
  </conditionalFormatting>
  <conditionalFormatting sqref="B481:E481">
    <cfRule type="expression" dxfId="17" priority="1817" stopIfTrue="1">
      <formula>OR($A481="date", $A481="datetime", $A481="time")</formula>
    </cfRule>
  </conditionalFormatting>
  <conditionalFormatting sqref="B481:E481">
    <cfRule type="expression" dxfId="18" priority="1818" stopIfTrue="1">
      <formula>OR($A481="calculate", $A481="calculate_here")</formula>
    </cfRule>
  </conditionalFormatting>
  <conditionalFormatting sqref="B481:E481">
    <cfRule type="expression" dxfId="19" priority="1819" stopIfTrue="1">
      <formula>$A481="note"</formula>
    </cfRule>
  </conditionalFormatting>
  <conditionalFormatting sqref="B481:E481">
    <cfRule type="expression" dxfId="20" priority="1820" stopIfTrue="1">
      <formula>$A481="barcode"</formula>
    </cfRule>
  </conditionalFormatting>
  <conditionalFormatting sqref="B481:E481">
    <cfRule type="expression" dxfId="21" priority="1821" stopIfTrue="1">
      <formula>OR($A481="geopoint", $A481="geoshape", $A481="geotrace")</formula>
    </cfRule>
  </conditionalFormatting>
  <conditionalFormatting sqref="B481:E481">
    <cfRule type="expression" dxfId="22" priority="1822" stopIfTrue="1">
      <formula>OR($A481="audio audit", $A481="text audit", $A481="speed violations count", $A481="speed violations list", $A481="speed violations audit")</formula>
    </cfRule>
  </conditionalFormatting>
  <conditionalFormatting sqref="B481:E481">
    <cfRule type="expression" dxfId="23" priority="1823" stopIfTrue="1">
      <formula>OR($A481="username", $A481="phonenumber", $A481="start", $A481="end", $A481="deviceid", $A481="subscriberid", $A481="simserial", $A481="caseid")</formula>
    </cfRule>
  </conditionalFormatting>
  <conditionalFormatting sqref="B481:E481">
    <cfRule type="expression" dxfId="24" priority="1824" stopIfTrue="1">
      <formula>OR(AND(LEFT($A481, 16)="select_multiple ", LEN($A481)&gt;16, NOT(ISNUMBER(SEARCH(" ", $A481, 17)))), AND(LEFT($A481, 11)="select_one ", LEN($A481)&gt;11, NOT(ISNUMBER(SEARCH(" ", $A481, 12)))))</formula>
    </cfRule>
  </conditionalFormatting>
  <conditionalFormatting sqref="B481:E481">
    <cfRule type="expression" dxfId="25" priority="1825" stopIfTrue="1">
      <formula>$A481="decimal"</formula>
    </cfRule>
  </conditionalFormatting>
  <conditionalFormatting sqref="B481:E481">
    <cfRule type="expression" dxfId="26" priority="1826" stopIfTrue="1">
      <formula>$A481="integer"</formula>
    </cfRule>
  </conditionalFormatting>
  <conditionalFormatting sqref="B481:E481">
    <cfRule type="expression" dxfId="27" priority="1827" stopIfTrue="1">
      <formula>$A481="text"</formula>
    </cfRule>
  </conditionalFormatting>
  <conditionalFormatting sqref="B481:E481">
    <cfRule type="expression" dxfId="28" priority="1828" stopIfTrue="1">
      <formula>$A481="end repeat"</formula>
    </cfRule>
  </conditionalFormatting>
  <conditionalFormatting sqref="B481:E481">
    <cfRule type="expression" dxfId="28" priority="1829" stopIfTrue="1">
      <formula>$A481="begin repeat"</formula>
    </cfRule>
  </conditionalFormatting>
  <conditionalFormatting sqref="B481:E481">
    <cfRule type="expression" dxfId="29" priority="1830" stopIfTrue="1">
      <formula>$A481="end group"</formula>
    </cfRule>
  </conditionalFormatting>
  <conditionalFormatting sqref="B481:E481">
    <cfRule type="expression" dxfId="29" priority="1831" stopIfTrue="1">
      <formula>$A481="begin group"</formula>
    </cfRule>
  </conditionalFormatting>
  <conditionalFormatting sqref="B481">
    <cfRule type="expression" dxfId="30" priority="1832" stopIfTrue="1">
      <formula>$A481="comments"</formula>
    </cfRule>
  </conditionalFormatting>
  <conditionalFormatting sqref="B481">
    <cfRule type="expression" dxfId="36" priority="1833" stopIfTrue="1">
      <formula>OR(AND(LEFT($A481, 14)="sensor_stream ", LEN($A481)&gt;14, NOT(ISNUMBER(SEARCH(" ", $A481, 15)))), AND(LEFT($A481, 17)="sensor_statistic ", LEN($A481)&gt;17, NOT(ISNUMBER(SEARCH(" ", $A481, 18)))))</formula>
    </cfRule>
  </conditionalFormatting>
  <conditionalFormatting sqref="B478:C479 D478:E479">
    <cfRule type="expression" dxfId="0" priority="1834" stopIfTrue="1">
      <formula>$A478="begin group"</formula>
    </cfRule>
  </conditionalFormatting>
  <conditionalFormatting sqref="B478:C479 D478:E479">
    <cfRule type="expression" dxfId="1" priority="1835" stopIfTrue="1">
      <formula>$A478="begin repeat"</formula>
    </cfRule>
  </conditionalFormatting>
  <conditionalFormatting sqref="B478:E479">
    <cfRule type="expression" dxfId="31" priority="1836" stopIfTrue="1">
      <formula>$A478="enumerator"</formula>
    </cfRule>
  </conditionalFormatting>
  <conditionalFormatting sqref="B478:E479">
    <cfRule type="expression" dxfId="2" priority="1837" stopIfTrue="1">
      <formula>$A478="text"</formula>
    </cfRule>
  </conditionalFormatting>
  <conditionalFormatting sqref="B478:E479">
    <cfRule type="expression" dxfId="3" priority="1838" stopIfTrue="1">
      <formula>$A478="integer"</formula>
    </cfRule>
  </conditionalFormatting>
  <conditionalFormatting sqref="B478:E479">
    <cfRule type="expression" dxfId="4" priority="1839" stopIfTrue="1">
      <formula>$A478="decimal"</formula>
    </cfRule>
  </conditionalFormatting>
  <conditionalFormatting sqref="B478:C479 D478:E479">
    <cfRule type="expression" dxfId="5" priority="1840" stopIfTrue="1">
      <formula>OR(AND(LEFT($A478, 16)="select_multiple ", LEN($A478)&gt;16, NOT(ISNUMBER(SEARCH(" ", $A478, 17)))), AND(LEFT($A478, 11)="select_one ", LEN($A478)&gt;11, NOT(ISNUMBER(SEARCH(" ", $A478, 12)))))</formula>
    </cfRule>
  </conditionalFormatting>
  <conditionalFormatting sqref="B478:B479">
    <cfRule type="expression" dxfId="6" priority="1841" stopIfTrue="1">
      <formula>OR($A478="audio audit", $A478="text audit", $A478="speed violations count", $A478="speed violations list", $A478="speed violations audit")</formula>
    </cfRule>
  </conditionalFormatting>
  <conditionalFormatting sqref="B478:C479 D478:E479">
    <cfRule type="expression" dxfId="32" priority="1842" stopIfTrue="1">
      <formula>$A478="file"</formula>
    </cfRule>
  </conditionalFormatting>
  <conditionalFormatting sqref="B478:C479 D478:E479">
    <cfRule type="expression" dxfId="7" priority="1843" stopIfTrue="1">
      <formula>$A478="note"</formula>
    </cfRule>
  </conditionalFormatting>
  <conditionalFormatting sqref="B478:C479 D478:E479">
    <cfRule type="expression" dxfId="8" priority="1844" stopIfTrue="1">
      <formula>$A478="barcode"</formula>
    </cfRule>
  </conditionalFormatting>
  <conditionalFormatting sqref="B478:C479 D478:E479">
    <cfRule type="expression" dxfId="9" priority="1845" stopIfTrue="1">
      <formula>OR($A478="geopoint", $A478="geoshape", $A478="geotrace")</formula>
    </cfRule>
  </conditionalFormatting>
  <conditionalFormatting sqref="B478:B479">
    <cfRule type="expression" dxfId="10" priority="1846" stopIfTrue="1">
      <formula>OR($A478="calculate", $A478="calculate_here")</formula>
    </cfRule>
  </conditionalFormatting>
  <conditionalFormatting sqref="B478:C479 D478:E479">
    <cfRule type="expression" dxfId="11" priority="1847" stopIfTrue="1">
      <formula>OR($A478="date", $A478="datetime", $A478="time")</formula>
    </cfRule>
  </conditionalFormatting>
  <conditionalFormatting sqref="B478:C479 D478:E479">
    <cfRule type="expression" dxfId="12" priority="1848" stopIfTrue="1">
      <formula>$A478="image"</formula>
    </cfRule>
  </conditionalFormatting>
  <conditionalFormatting sqref="B478:C479 D478:E479">
    <cfRule type="expression" dxfId="13" priority="1849" stopIfTrue="1">
      <formula>OR($A478="audio", $A478="video")</formula>
    </cfRule>
  </conditionalFormatting>
  <conditionalFormatting sqref="B478:E479">
    <cfRule type="expression" dxfId="33" priority="1850" stopIfTrue="1">
      <formula>$A478="file"</formula>
    </cfRule>
  </conditionalFormatting>
  <conditionalFormatting sqref="B478:E479">
    <cfRule type="expression" dxfId="34" priority="1851" stopIfTrue="1">
      <formula>$A478="enumerator"</formula>
    </cfRule>
  </conditionalFormatting>
  <conditionalFormatting sqref="B478:E479">
    <cfRule type="expression" dxfId="35" priority="1852" stopIfTrue="1">
      <formula>OR(AND(LEFT($A478, 14)="sensor_stream ", LEN($A478)&gt;14, NOT(ISNUMBER(SEARCH(" ", $A478, 15)))), AND(LEFT($A478, 17)="sensor_statistic ", LEN($A478)&gt;17, NOT(ISNUMBER(SEARCH(" ", $A478, 18)))))</formula>
    </cfRule>
  </conditionalFormatting>
  <conditionalFormatting sqref="B478:E479">
    <cfRule type="expression" dxfId="14" priority="1853" stopIfTrue="1">
      <formula>$A478="comments"</formula>
    </cfRule>
  </conditionalFormatting>
  <conditionalFormatting sqref="B478:E479">
    <cfRule type="expression" dxfId="15" priority="1854" stopIfTrue="1">
      <formula>OR($A478="audio", $A478="video")</formula>
    </cfRule>
  </conditionalFormatting>
  <conditionalFormatting sqref="B478:E479">
    <cfRule type="expression" dxfId="16" priority="1855" stopIfTrue="1">
      <formula>$A478="image"</formula>
    </cfRule>
  </conditionalFormatting>
  <conditionalFormatting sqref="B478:E479">
    <cfRule type="expression" dxfId="17" priority="1856" stopIfTrue="1">
      <formula>OR($A478="date", $A478="datetime", $A478="time")</formula>
    </cfRule>
  </conditionalFormatting>
  <conditionalFormatting sqref="B478:E479">
    <cfRule type="expression" dxfId="18" priority="1857" stopIfTrue="1">
      <formula>OR($A478="calculate", $A478="calculate_here")</formula>
    </cfRule>
  </conditionalFormatting>
  <conditionalFormatting sqref="B478:E479">
    <cfRule type="expression" dxfId="19" priority="1858" stopIfTrue="1">
      <formula>$A478="note"</formula>
    </cfRule>
  </conditionalFormatting>
  <conditionalFormatting sqref="B478:E479">
    <cfRule type="expression" dxfId="20" priority="1859" stopIfTrue="1">
      <formula>$A478="barcode"</formula>
    </cfRule>
  </conditionalFormatting>
  <conditionalFormatting sqref="B478:E479">
    <cfRule type="expression" dxfId="21" priority="1860" stopIfTrue="1">
      <formula>OR($A478="geopoint", $A478="geoshape", $A478="geotrace")</formula>
    </cfRule>
  </conditionalFormatting>
  <conditionalFormatting sqref="B478:E479">
    <cfRule type="expression" dxfId="22" priority="1861" stopIfTrue="1">
      <formula>OR($A478="audio audit", $A478="text audit", $A478="speed violations count", $A478="speed violations list", $A478="speed violations audit")</formula>
    </cfRule>
  </conditionalFormatting>
  <conditionalFormatting sqref="B478:E479">
    <cfRule type="expression" dxfId="23" priority="1862" stopIfTrue="1">
      <formula>OR($A478="username", $A478="phonenumber", $A478="start", $A478="end", $A478="deviceid", $A478="subscriberid", $A478="simserial", $A478="caseid")</formula>
    </cfRule>
  </conditionalFormatting>
  <conditionalFormatting sqref="B478:E479">
    <cfRule type="expression" dxfId="24" priority="1863" stopIfTrue="1">
      <formula>OR(AND(LEFT($A478, 16)="select_multiple ", LEN($A478)&gt;16, NOT(ISNUMBER(SEARCH(" ", $A478, 17)))), AND(LEFT($A478, 11)="select_one ", LEN($A478)&gt;11, NOT(ISNUMBER(SEARCH(" ", $A478, 12)))))</formula>
    </cfRule>
  </conditionalFormatting>
  <conditionalFormatting sqref="B478:E479">
    <cfRule type="expression" dxfId="25" priority="1864" stopIfTrue="1">
      <formula>$A478="decimal"</formula>
    </cfRule>
  </conditionalFormatting>
  <conditionalFormatting sqref="B478:E479">
    <cfRule type="expression" dxfId="26" priority="1865" stopIfTrue="1">
      <formula>$A478="integer"</formula>
    </cfRule>
  </conditionalFormatting>
  <conditionalFormatting sqref="B478:E479">
    <cfRule type="expression" dxfId="27" priority="1866" stopIfTrue="1">
      <formula>$A478="text"</formula>
    </cfRule>
  </conditionalFormatting>
  <conditionalFormatting sqref="B478:E479">
    <cfRule type="expression" dxfId="28" priority="1867" stopIfTrue="1">
      <formula>$A478="end repeat"</formula>
    </cfRule>
  </conditionalFormatting>
  <conditionalFormatting sqref="B478:E479">
    <cfRule type="expression" dxfId="28" priority="1868" stopIfTrue="1">
      <formula>$A478="begin repeat"</formula>
    </cfRule>
  </conditionalFormatting>
  <conditionalFormatting sqref="B478:E479">
    <cfRule type="expression" dxfId="29" priority="1869" stopIfTrue="1">
      <formula>$A478="end group"</formula>
    </cfRule>
  </conditionalFormatting>
  <conditionalFormatting sqref="B478:E479">
    <cfRule type="expression" dxfId="29" priority="1870" stopIfTrue="1">
      <formula>$A478="begin group"</formula>
    </cfRule>
  </conditionalFormatting>
  <conditionalFormatting sqref="B478:B479">
    <cfRule type="expression" dxfId="30" priority="1871" stopIfTrue="1">
      <formula>$A478="comments"</formula>
    </cfRule>
  </conditionalFormatting>
  <conditionalFormatting sqref="B478:B479">
    <cfRule type="expression" dxfId="36" priority="1872" stopIfTrue="1">
      <formula>OR(AND(LEFT($A478, 14)="sensor_stream ", LEN($A478)&gt;14, NOT(ISNUMBER(SEARCH(" ", $A478, 15)))), AND(LEFT($A478, 17)="sensor_statistic ", LEN($A478)&gt;17, NOT(ISNUMBER(SEARCH(" ", $A478, 18)))))</formula>
    </cfRule>
  </conditionalFormatting>
  <conditionalFormatting sqref="B471:C473 D471:E473">
    <cfRule type="expression" dxfId="0" priority="1873" stopIfTrue="1">
      <formula>$A471="begin group"</formula>
    </cfRule>
  </conditionalFormatting>
  <conditionalFormatting sqref="B471:C473 D471:E473">
    <cfRule type="expression" dxfId="1" priority="1874" stopIfTrue="1">
      <formula>$A471="begin repeat"</formula>
    </cfRule>
  </conditionalFormatting>
  <conditionalFormatting sqref="B471:E473">
    <cfRule type="expression" dxfId="31" priority="1875" stopIfTrue="1">
      <formula>$A471="enumerator"</formula>
    </cfRule>
  </conditionalFormatting>
  <conditionalFormatting sqref="B471:E473">
    <cfRule type="expression" dxfId="2" priority="1876" stopIfTrue="1">
      <formula>$A471="text"</formula>
    </cfRule>
  </conditionalFormatting>
  <conditionalFormatting sqref="B471:E473">
    <cfRule type="expression" dxfId="3" priority="1877" stopIfTrue="1">
      <formula>$A471="integer"</formula>
    </cfRule>
  </conditionalFormatting>
  <conditionalFormatting sqref="B471:E473">
    <cfRule type="expression" dxfId="4" priority="1878" stopIfTrue="1">
      <formula>$A471="decimal"</formula>
    </cfRule>
  </conditionalFormatting>
  <conditionalFormatting sqref="B471:C473 D471:E473">
    <cfRule type="expression" dxfId="5" priority="1879" stopIfTrue="1">
      <formula>OR(AND(LEFT($A471, 16)="select_multiple ", LEN($A471)&gt;16, NOT(ISNUMBER(SEARCH(" ", $A471, 17)))), AND(LEFT($A471, 11)="select_one ", LEN($A471)&gt;11, NOT(ISNUMBER(SEARCH(" ", $A471, 12)))))</formula>
    </cfRule>
  </conditionalFormatting>
  <conditionalFormatting sqref="B471:B473">
    <cfRule type="expression" dxfId="6" priority="1880" stopIfTrue="1">
      <formula>OR($A471="audio audit", $A471="text audit", $A471="speed violations count", $A471="speed violations list", $A471="speed violations audit")</formula>
    </cfRule>
  </conditionalFormatting>
  <conditionalFormatting sqref="B471:C473 D471:E473">
    <cfRule type="expression" dxfId="32" priority="1881" stopIfTrue="1">
      <formula>$A471="file"</formula>
    </cfRule>
  </conditionalFormatting>
  <conditionalFormatting sqref="B471:C473 D471:E473">
    <cfRule type="expression" dxfId="7" priority="1882" stopIfTrue="1">
      <formula>$A471="note"</formula>
    </cfRule>
  </conditionalFormatting>
  <conditionalFormatting sqref="B471:C473 D471:E473">
    <cfRule type="expression" dxfId="8" priority="1883" stopIfTrue="1">
      <formula>$A471="barcode"</formula>
    </cfRule>
  </conditionalFormatting>
  <conditionalFormatting sqref="B471:C473 D471:E473">
    <cfRule type="expression" dxfId="9" priority="1884" stopIfTrue="1">
      <formula>OR($A471="geopoint", $A471="geoshape", $A471="geotrace")</formula>
    </cfRule>
  </conditionalFormatting>
  <conditionalFormatting sqref="B471:B473">
    <cfRule type="expression" dxfId="10" priority="1885" stopIfTrue="1">
      <formula>OR($A471="calculate", $A471="calculate_here")</formula>
    </cfRule>
  </conditionalFormatting>
  <conditionalFormatting sqref="B471:C473 D471:E473">
    <cfRule type="expression" dxfId="11" priority="1886" stopIfTrue="1">
      <formula>OR($A471="date", $A471="datetime", $A471="time")</formula>
    </cfRule>
  </conditionalFormatting>
  <conditionalFormatting sqref="B471:C473 D471:E473">
    <cfRule type="expression" dxfId="12" priority="1887" stopIfTrue="1">
      <formula>$A471="image"</formula>
    </cfRule>
  </conditionalFormatting>
  <conditionalFormatting sqref="B471:C473 D471:E473">
    <cfRule type="expression" dxfId="13" priority="1888" stopIfTrue="1">
      <formula>OR($A471="audio", $A471="video")</formula>
    </cfRule>
  </conditionalFormatting>
  <conditionalFormatting sqref="B471:E473">
    <cfRule type="expression" dxfId="33" priority="1889" stopIfTrue="1">
      <formula>$A471="file"</formula>
    </cfRule>
  </conditionalFormatting>
  <conditionalFormatting sqref="B471:E473">
    <cfRule type="expression" dxfId="34" priority="1890" stopIfTrue="1">
      <formula>$A471="enumerator"</formula>
    </cfRule>
  </conditionalFormatting>
  <conditionalFormatting sqref="B471:E473">
    <cfRule type="expression" dxfId="35" priority="1891" stopIfTrue="1">
      <formula>OR(AND(LEFT($A471, 14)="sensor_stream ", LEN($A471)&gt;14, NOT(ISNUMBER(SEARCH(" ", $A471, 15)))), AND(LEFT($A471, 17)="sensor_statistic ", LEN($A471)&gt;17, NOT(ISNUMBER(SEARCH(" ", $A471, 18)))))</formula>
    </cfRule>
  </conditionalFormatting>
  <conditionalFormatting sqref="B471:E473">
    <cfRule type="expression" dxfId="14" priority="1892" stopIfTrue="1">
      <formula>$A471="comments"</formula>
    </cfRule>
  </conditionalFormatting>
  <conditionalFormatting sqref="B471:E473">
    <cfRule type="expression" dxfId="15" priority="1893" stopIfTrue="1">
      <formula>OR($A471="audio", $A471="video")</formula>
    </cfRule>
  </conditionalFormatting>
  <conditionalFormatting sqref="B471:E473">
    <cfRule type="expression" dxfId="16" priority="1894" stopIfTrue="1">
      <formula>$A471="image"</formula>
    </cfRule>
  </conditionalFormatting>
  <conditionalFormatting sqref="B471:E473">
    <cfRule type="expression" dxfId="17" priority="1895" stopIfTrue="1">
      <formula>OR($A471="date", $A471="datetime", $A471="time")</formula>
    </cfRule>
  </conditionalFormatting>
  <conditionalFormatting sqref="B471:E473">
    <cfRule type="expression" dxfId="18" priority="1896" stopIfTrue="1">
      <formula>OR($A471="calculate", $A471="calculate_here")</formula>
    </cfRule>
  </conditionalFormatting>
  <conditionalFormatting sqref="B471:E473">
    <cfRule type="expression" dxfId="19" priority="1897" stopIfTrue="1">
      <formula>$A471="note"</formula>
    </cfRule>
  </conditionalFormatting>
  <conditionalFormatting sqref="B471:E473">
    <cfRule type="expression" dxfId="20" priority="1898" stopIfTrue="1">
      <formula>$A471="barcode"</formula>
    </cfRule>
  </conditionalFormatting>
  <conditionalFormatting sqref="B471:E473">
    <cfRule type="expression" dxfId="21" priority="1899" stopIfTrue="1">
      <formula>OR($A471="geopoint", $A471="geoshape", $A471="geotrace")</formula>
    </cfRule>
  </conditionalFormatting>
  <conditionalFormatting sqref="B471:E473">
    <cfRule type="expression" dxfId="22" priority="1900" stopIfTrue="1">
      <formula>OR($A471="audio audit", $A471="text audit", $A471="speed violations count", $A471="speed violations list", $A471="speed violations audit")</formula>
    </cfRule>
  </conditionalFormatting>
  <conditionalFormatting sqref="B471:E473">
    <cfRule type="expression" dxfId="23" priority="1901" stopIfTrue="1">
      <formula>OR($A471="username", $A471="phonenumber", $A471="start", $A471="end", $A471="deviceid", $A471="subscriberid", $A471="simserial", $A471="caseid")</formula>
    </cfRule>
  </conditionalFormatting>
  <conditionalFormatting sqref="B471:E473">
    <cfRule type="expression" dxfId="24" priority="1902" stopIfTrue="1">
      <formula>OR(AND(LEFT($A471, 16)="select_multiple ", LEN($A471)&gt;16, NOT(ISNUMBER(SEARCH(" ", $A471, 17)))), AND(LEFT($A471, 11)="select_one ", LEN($A471)&gt;11, NOT(ISNUMBER(SEARCH(" ", $A471, 12)))))</formula>
    </cfRule>
  </conditionalFormatting>
  <conditionalFormatting sqref="B471:E473">
    <cfRule type="expression" dxfId="25" priority="1903" stopIfTrue="1">
      <formula>$A471="decimal"</formula>
    </cfRule>
  </conditionalFormatting>
  <conditionalFormatting sqref="B471:E473">
    <cfRule type="expression" dxfId="26" priority="1904" stopIfTrue="1">
      <formula>$A471="integer"</formula>
    </cfRule>
  </conditionalFormatting>
  <conditionalFormatting sqref="B471:E473">
    <cfRule type="expression" dxfId="27" priority="1905" stopIfTrue="1">
      <formula>$A471="text"</formula>
    </cfRule>
  </conditionalFormatting>
  <conditionalFormatting sqref="B471:E473">
    <cfRule type="expression" dxfId="28" priority="1906" stopIfTrue="1">
      <formula>$A471="end repeat"</formula>
    </cfRule>
  </conditionalFormatting>
  <conditionalFormatting sqref="B471:E473">
    <cfRule type="expression" dxfId="28" priority="1907" stopIfTrue="1">
      <formula>$A471="begin repeat"</formula>
    </cfRule>
  </conditionalFormatting>
  <conditionalFormatting sqref="B471:E473">
    <cfRule type="expression" dxfId="29" priority="1908" stopIfTrue="1">
      <formula>$A471="end group"</formula>
    </cfRule>
  </conditionalFormatting>
  <conditionalFormatting sqref="B471:E473">
    <cfRule type="expression" dxfId="29" priority="1909" stopIfTrue="1">
      <formula>$A471="begin group"</formula>
    </cfRule>
  </conditionalFormatting>
  <conditionalFormatting sqref="B471:B473">
    <cfRule type="expression" dxfId="30" priority="1910" stopIfTrue="1">
      <formula>$A471="comments"</formula>
    </cfRule>
  </conditionalFormatting>
  <conditionalFormatting sqref="B471:B473">
    <cfRule type="expression" dxfId="36" priority="1911" stopIfTrue="1">
      <formula>OR(AND(LEFT($A471, 14)="sensor_stream ", LEN($A471)&gt;14, NOT(ISNUMBER(SEARCH(" ", $A471, 15)))), AND(LEFT($A471, 17)="sensor_statistic ", LEN($A471)&gt;17, NOT(ISNUMBER(SEARCH(" ", $A471, 18)))))</formula>
    </cfRule>
  </conditionalFormatting>
  <conditionalFormatting sqref="B462:C468 D462:E468">
    <cfRule type="expression" dxfId="0" priority="1912" stopIfTrue="1">
      <formula>$A462="begin group"</formula>
    </cfRule>
  </conditionalFormatting>
  <conditionalFormatting sqref="B462:C468 D462:E468">
    <cfRule type="expression" dxfId="1" priority="1913" stopIfTrue="1">
      <formula>$A462="begin repeat"</formula>
    </cfRule>
  </conditionalFormatting>
  <conditionalFormatting sqref="B462:E468">
    <cfRule type="expression" dxfId="31" priority="1914" stopIfTrue="1">
      <formula>$A462="enumerator"</formula>
    </cfRule>
  </conditionalFormatting>
  <conditionalFormatting sqref="B462:E468">
    <cfRule type="expression" dxfId="2" priority="1915" stopIfTrue="1">
      <formula>$A462="text"</formula>
    </cfRule>
  </conditionalFormatting>
  <conditionalFormatting sqref="B462:E468">
    <cfRule type="expression" dxfId="3" priority="1916" stopIfTrue="1">
      <formula>$A462="integer"</formula>
    </cfRule>
  </conditionalFormatting>
  <conditionalFormatting sqref="B462:E468">
    <cfRule type="expression" dxfId="4" priority="1917" stopIfTrue="1">
      <formula>$A462="decimal"</formula>
    </cfRule>
  </conditionalFormatting>
  <conditionalFormatting sqref="B462:C468 D462:E468">
    <cfRule type="expression" dxfId="5" priority="1918" stopIfTrue="1">
      <formula>OR(AND(LEFT($A462, 16)="select_multiple ", LEN($A462)&gt;16, NOT(ISNUMBER(SEARCH(" ", $A462, 17)))), AND(LEFT($A462, 11)="select_one ", LEN($A462)&gt;11, NOT(ISNUMBER(SEARCH(" ", $A462, 12)))))</formula>
    </cfRule>
  </conditionalFormatting>
  <conditionalFormatting sqref="B462:B468 C464">
    <cfRule type="expression" dxfId="6" priority="1919" stopIfTrue="1">
      <formula>OR($A462="audio audit", $A462="text audit", $A462="speed violations count", $A462="speed violations list", $A462="speed violations audit")</formula>
    </cfRule>
  </conditionalFormatting>
  <conditionalFormatting sqref="B462:C468 D462:E468">
    <cfRule type="expression" dxfId="32" priority="1920" stopIfTrue="1">
      <formula>$A462="file"</formula>
    </cfRule>
  </conditionalFormatting>
  <conditionalFormatting sqref="B462:C468 D462:E468">
    <cfRule type="expression" dxfId="7" priority="1921" stopIfTrue="1">
      <formula>$A462="note"</formula>
    </cfRule>
  </conditionalFormatting>
  <conditionalFormatting sqref="B462:C468 D462:E468">
    <cfRule type="expression" dxfId="8" priority="1922" stopIfTrue="1">
      <formula>$A462="barcode"</formula>
    </cfRule>
  </conditionalFormatting>
  <conditionalFormatting sqref="B462:C468 D462:E468">
    <cfRule type="expression" dxfId="9" priority="1923" stopIfTrue="1">
      <formula>OR($A462="geopoint", $A462="geoshape", $A462="geotrace")</formula>
    </cfRule>
  </conditionalFormatting>
  <conditionalFormatting sqref="B462:B468 C464">
    <cfRule type="expression" dxfId="10" priority="1924" stopIfTrue="1">
      <formula>OR($A462="calculate", $A462="calculate_here")</formula>
    </cfRule>
  </conditionalFormatting>
  <conditionalFormatting sqref="B462:C468 D462:E468">
    <cfRule type="expression" dxfId="11" priority="1925" stopIfTrue="1">
      <formula>OR($A462="date", $A462="datetime", $A462="time")</formula>
    </cfRule>
  </conditionalFormatting>
  <conditionalFormatting sqref="B462:C468 D462:E468">
    <cfRule type="expression" dxfId="12" priority="1926" stopIfTrue="1">
      <formula>$A462="image"</formula>
    </cfRule>
  </conditionalFormatting>
  <conditionalFormatting sqref="B462:C468 D462:E468">
    <cfRule type="expression" dxfId="13" priority="1927" stopIfTrue="1">
      <formula>OR($A462="audio", $A462="video")</formula>
    </cfRule>
  </conditionalFormatting>
  <conditionalFormatting sqref="B462:E468">
    <cfRule type="expression" dxfId="33" priority="1928" stopIfTrue="1">
      <formula>$A462="file"</formula>
    </cfRule>
  </conditionalFormatting>
  <conditionalFormatting sqref="B462:E468">
    <cfRule type="expression" dxfId="34" priority="1929" stopIfTrue="1">
      <formula>$A462="enumerator"</formula>
    </cfRule>
  </conditionalFormatting>
  <conditionalFormatting sqref="B462:E468">
    <cfRule type="expression" dxfId="35" priority="1930" stopIfTrue="1">
      <formula>OR(AND(LEFT($A462, 14)="sensor_stream ", LEN($A462)&gt;14, NOT(ISNUMBER(SEARCH(" ", $A462, 15)))), AND(LEFT($A462, 17)="sensor_statistic ", LEN($A462)&gt;17, NOT(ISNUMBER(SEARCH(" ", $A462, 18)))))</formula>
    </cfRule>
  </conditionalFormatting>
  <conditionalFormatting sqref="B462:E468">
    <cfRule type="expression" dxfId="14" priority="1931" stopIfTrue="1">
      <formula>$A462="comments"</formula>
    </cfRule>
  </conditionalFormatting>
  <conditionalFormatting sqref="B462:E468">
    <cfRule type="expression" dxfId="15" priority="1932" stopIfTrue="1">
      <formula>OR($A462="audio", $A462="video")</formula>
    </cfRule>
  </conditionalFormatting>
  <conditionalFormatting sqref="B462:E468">
    <cfRule type="expression" dxfId="16" priority="1933" stopIfTrue="1">
      <formula>$A462="image"</formula>
    </cfRule>
  </conditionalFormatting>
  <conditionalFormatting sqref="B462:E468">
    <cfRule type="expression" dxfId="17" priority="1934" stopIfTrue="1">
      <formula>OR($A462="date", $A462="datetime", $A462="time")</formula>
    </cfRule>
  </conditionalFormatting>
  <conditionalFormatting sqref="B462:E468">
    <cfRule type="expression" dxfId="18" priority="1935" stopIfTrue="1">
      <formula>OR($A462="calculate", $A462="calculate_here")</formula>
    </cfRule>
  </conditionalFormatting>
  <conditionalFormatting sqref="B462:E468">
    <cfRule type="expression" dxfId="19" priority="1936" stopIfTrue="1">
      <formula>$A462="note"</formula>
    </cfRule>
  </conditionalFormatting>
  <conditionalFormatting sqref="B462:E468">
    <cfRule type="expression" dxfId="20" priority="1937" stopIfTrue="1">
      <formula>$A462="barcode"</formula>
    </cfRule>
  </conditionalFormatting>
  <conditionalFormatting sqref="B462:E468">
    <cfRule type="expression" dxfId="21" priority="1938" stopIfTrue="1">
      <formula>OR($A462="geopoint", $A462="geoshape", $A462="geotrace")</formula>
    </cfRule>
  </conditionalFormatting>
  <conditionalFormatting sqref="B462:E468">
    <cfRule type="expression" dxfId="22" priority="1939" stopIfTrue="1">
      <formula>OR($A462="audio audit", $A462="text audit", $A462="speed violations count", $A462="speed violations list", $A462="speed violations audit")</formula>
    </cfRule>
  </conditionalFormatting>
  <conditionalFormatting sqref="B462:E468">
    <cfRule type="expression" dxfId="23" priority="1940" stopIfTrue="1">
      <formula>OR($A462="username", $A462="phonenumber", $A462="start", $A462="end", $A462="deviceid", $A462="subscriberid", $A462="simserial", $A462="caseid")</formula>
    </cfRule>
  </conditionalFormatting>
  <conditionalFormatting sqref="B462:E468">
    <cfRule type="expression" dxfId="24" priority="1941" stopIfTrue="1">
      <formula>OR(AND(LEFT($A462, 16)="select_multiple ", LEN($A462)&gt;16, NOT(ISNUMBER(SEARCH(" ", $A462, 17)))), AND(LEFT($A462, 11)="select_one ", LEN($A462)&gt;11, NOT(ISNUMBER(SEARCH(" ", $A462, 12)))))</formula>
    </cfRule>
  </conditionalFormatting>
  <conditionalFormatting sqref="B462:E468">
    <cfRule type="expression" dxfId="25" priority="1942" stopIfTrue="1">
      <formula>$A462="decimal"</formula>
    </cfRule>
  </conditionalFormatting>
  <conditionalFormatting sqref="B462:E468">
    <cfRule type="expression" dxfId="26" priority="1943" stopIfTrue="1">
      <formula>$A462="integer"</formula>
    </cfRule>
  </conditionalFormatting>
  <conditionalFormatting sqref="B462:E468">
    <cfRule type="expression" dxfId="27" priority="1944" stopIfTrue="1">
      <formula>$A462="text"</formula>
    </cfRule>
  </conditionalFormatting>
  <conditionalFormatting sqref="B462:E468">
    <cfRule type="expression" dxfId="28" priority="1945" stopIfTrue="1">
      <formula>$A462="end repeat"</formula>
    </cfRule>
  </conditionalFormatting>
  <conditionalFormatting sqref="B462:E468">
    <cfRule type="expression" dxfId="28" priority="1946" stopIfTrue="1">
      <formula>$A462="begin repeat"</formula>
    </cfRule>
  </conditionalFormatting>
  <conditionalFormatting sqref="B462:E468">
    <cfRule type="expression" dxfId="29" priority="1947" stopIfTrue="1">
      <formula>$A462="end group"</formula>
    </cfRule>
  </conditionalFormatting>
  <conditionalFormatting sqref="B462:E468">
    <cfRule type="expression" dxfId="29" priority="1948" stopIfTrue="1">
      <formula>$A462="begin group"</formula>
    </cfRule>
  </conditionalFormatting>
  <conditionalFormatting sqref="B462:B468 C464">
    <cfRule type="expression" dxfId="30" priority="1949" stopIfTrue="1">
      <formula>$A462="comments"</formula>
    </cfRule>
  </conditionalFormatting>
  <conditionalFormatting sqref="B462:B468 C464">
    <cfRule type="expression" dxfId="36" priority="1950" stopIfTrue="1">
      <formula>OR(AND(LEFT($A462, 14)="sensor_stream ", LEN($A462)&gt;14, NOT(ISNUMBER(SEARCH(" ", $A462, 15)))), AND(LEFT($A462, 17)="sensor_statistic ", LEN($A462)&gt;17, NOT(ISNUMBER(SEARCH(" ", $A462, 18)))))</formula>
    </cfRule>
  </conditionalFormatting>
  <conditionalFormatting sqref="B456:C457 D456:E457">
    <cfRule type="expression" dxfId="0" priority="1951" stopIfTrue="1">
      <formula>$A456="begin group"</formula>
    </cfRule>
  </conditionalFormatting>
  <conditionalFormatting sqref="B456:C457 D456:E457">
    <cfRule type="expression" dxfId="1" priority="1952" stopIfTrue="1">
      <formula>$A456="begin repeat"</formula>
    </cfRule>
  </conditionalFormatting>
  <conditionalFormatting sqref="B456:E457">
    <cfRule type="expression" dxfId="31" priority="1953" stopIfTrue="1">
      <formula>$A456="enumerator"</formula>
    </cfRule>
  </conditionalFormatting>
  <conditionalFormatting sqref="B456:E457">
    <cfRule type="expression" dxfId="2" priority="1954" stopIfTrue="1">
      <formula>$A456="text"</formula>
    </cfRule>
  </conditionalFormatting>
  <conditionalFormatting sqref="B456:E457">
    <cfRule type="expression" dxfId="3" priority="1955" stopIfTrue="1">
      <formula>$A456="integer"</formula>
    </cfRule>
  </conditionalFormatting>
  <conditionalFormatting sqref="B456:E457">
    <cfRule type="expression" dxfId="4" priority="1956" stopIfTrue="1">
      <formula>$A456="decimal"</formula>
    </cfRule>
  </conditionalFormatting>
  <conditionalFormatting sqref="B456:C457 D456:E457">
    <cfRule type="expression" dxfId="5" priority="1957" stopIfTrue="1">
      <formula>OR(AND(LEFT($A456, 16)="select_multiple ", LEN($A456)&gt;16, NOT(ISNUMBER(SEARCH(" ", $A456, 17)))), AND(LEFT($A456, 11)="select_one ", LEN($A456)&gt;11, NOT(ISNUMBER(SEARCH(" ", $A456, 12)))))</formula>
    </cfRule>
  </conditionalFormatting>
  <conditionalFormatting sqref="B456:B457">
    <cfRule type="expression" dxfId="6" priority="1958" stopIfTrue="1">
      <formula>OR($A456="audio audit", $A456="text audit", $A456="speed violations count", $A456="speed violations list", $A456="speed violations audit")</formula>
    </cfRule>
  </conditionalFormatting>
  <conditionalFormatting sqref="B456:C457 D456:E457">
    <cfRule type="expression" dxfId="32" priority="1959" stopIfTrue="1">
      <formula>$A456="file"</formula>
    </cfRule>
  </conditionalFormatting>
  <conditionalFormatting sqref="B456:C457 D456:E457">
    <cfRule type="expression" dxfId="7" priority="1960" stopIfTrue="1">
      <formula>$A456="note"</formula>
    </cfRule>
  </conditionalFormatting>
  <conditionalFormatting sqref="B456:C457 D456:E457">
    <cfRule type="expression" dxfId="8" priority="1961" stopIfTrue="1">
      <formula>$A456="barcode"</formula>
    </cfRule>
  </conditionalFormatting>
  <conditionalFormatting sqref="B456:C457 D456:E457">
    <cfRule type="expression" dxfId="9" priority="1962" stopIfTrue="1">
      <formula>OR($A456="geopoint", $A456="geoshape", $A456="geotrace")</formula>
    </cfRule>
  </conditionalFormatting>
  <conditionalFormatting sqref="B456:B457">
    <cfRule type="expression" dxfId="10" priority="1963" stopIfTrue="1">
      <formula>OR($A456="calculate", $A456="calculate_here")</formula>
    </cfRule>
  </conditionalFormatting>
  <conditionalFormatting sqref="B456:C457 D456:E457">
    <cfRule type="expression" dxfId="11" priority="1964" stopIfTrue="1">
      <formula>OR($A456="date", $A456="datetime", $A456="time")</formula>
    </cfRule>
  </conditionalFormatting>
  <conditionalFormatting sqref="B456:C457 D456:E457">
    <cfRule type="expression" dxfId="12" priority="1965" stopIfTrue="1">
      <formula>$A456="image"</formula>
    </cfRule>
  </conditionalFormatting>
  <conditionalFormatting sqref="B456:C457 D456:E457">
    <cfRule type="expression" dxfId="13" priority="1966" stopIfTrue="1">
      <formula>OR($A456="audio", $A456="video")</formula>
    </cfRule>
  </conditionalFormatting>
  <conditionalFormatting sqref="B456:E457">
    <cfRule type="expression" dxfId="33" priority="1967" stopIfTrue="1">
      <formula>$A456="file"</formula>
    </cfRule>
  </conditionalFormatting>
  <conditionalFormatting sqref="B456:E457">
    <cfRule type="expression" dxfId="34" priority="1968" stopIfTrue="1">
      <formula>$A456="enumerator"</formula>
    </cfRule>
  </conditionalFormatting>
  <conditionalFormatting sqref="B456:E457">
    <cfRule type="expression" dxfId="35" priority="1969" stopIfTrue="1">
      <formula>OR(AND(LEFT($A456, 14)="sensor_stream ", LEN($A456)&gt;14, NOT(ISNUMBER(SEARCH(" ", $A456, 15)))), AND(LEFT($A456, 17)="sensor_statistic ", LEN($A456)&gt;17, NOT(ISNUMBER(SEARCH(" ", $A456, 18)))))</formula>
    </cfRule>
  </conditionalFormatting>
  <conditionalFormatting sqref="B456:E457">
    <cfRule type="expression" dxfId="14" priority="1970" stopIfTrue="1">
      <formula>$A456="comments"</formula>
    </cfRule>
  </conditionalFormatting>
  <conditionalFormatting sqref="B456:E457">
    <cfRule type="expression" dxfId="15" priority="1971" stopIfTrue="1">
      <formula>OR($A456="audio", $A456="video")</formula>
    </cfRule>
  </conditionalFormatting>
  <conditionalFormatting sqref="B456:E457">
    <cfRule type="expression" dxfId="16" priority="1972" stopIfTrue="1">
      <formula>$A456="image"</formula>
    </cfRule>
  </conditionalFormatting>
  <conditionalFormatting sqref="B456:E457">
    <cfRule type="expression" dxfId="17" priority="1973" stopIfTrue="1">
      <formula>OR($A456="date", $A456="datetime", $A456="time")</formula>
    </cfRule>
  </conditionalFormatting>
  <conditionalFormatting sqref="B456:E457">
    <cfRule type="expression" dxfId="18" priority="1974" stopIfTrue="1">
      <formula>OR($A456="calculate", $A456="calculate_here")</formula>
    </cfRule>
  </conditionalFormatting>
  <conditionalFormatting sqref="B456:E457">
    <cfRule type="expression" dxfId="19" priority="1975" stopIfTrue="1">
      <formula>$A456="note"</formula>
    </cfRule>
  </conditionalFormatting>
  <conditionalFormatting sqref="B456:E457">
    <cfRule type="expression" dxfId="20" priority="1976" stopIfTrue="1">
      <formula>$A456="barcode"</formula>
    </cfRule>
  </conditionalFormatting>
  <conditionalFormatting sqref="B456:E457">
    <cfRule type="expression" dxfId="21" priority="1977" stopIfTrue="1">
      <formula>OR($A456="geopoint", $A456="geoshape", $A456="geotrace")</formula>
    </cfRule>
  </conditionalFormatting>
  <conditionalFormatting sqref="B456:E457">
    <cfRule type="expression" dxfId="22" priority="1978" stopIfTrue="1">
      <formula>OR($A456="audio audit", $A456="text audit", $A456="speed violations count", $A456="speed violations list", $A456="speed violations audit")</formula>
    </cfRule>
  </conditionalFormatting>
  <conditionalFormatting sqref="B456:E457">
    <cfRule type="expression" dxfId="23" priority="1979" stopIfTrue="1">
      <formula>OR($A456="username", $A456="phonenumber", $A456="start", $A456="end", $A456="deviceid", $A456="subscriberid", $A456="simserial", $A456="caseid")</formula>
    </cfRule>
  </conditionalFormatting>
  <conditionalFormatting sqref="B456:E457">
    <cfRule type="expression" dxfId="24" priority="1980" stopIfTrue="1">
      <formula>OR(AND(LEFT($A456, 16)="select_multiple ", LEN($A456)&gt;16, NOT(ISNUMBER(SEARCH(" ", $A456, 17)))), AND(LEFT($A456, 11)="select_one ", LEN($A456)&gt;11, NOT(ISNUMBER(SEARCH(" ", $A456, 12)))))</formula>
    </cfRule>
  </conditionalFormatting>
  <conditionalFormatting sqref="B456:E457">
    <cfRule type="expression" dxfId="25" priority="1981" stopIfTrue="1">
      <formula>$A456="decimal"</formula>
    </cfRule>
  </conditionalFormatting>
  <conditionalFormatting sqref="B456:E457">
    <cfRule type="expression" dxfId="26" priority="1982" stopIfTrue="1">
      <formula>$A456="integer"</formula>
    </cfRule>
  </conditionalFormatting>
  <conditionalFormatting sqref="B456:E457">
    <cfRule type="expression" dxfId="27" priority="1983" stopIfTrue="1">
      <formula>$A456="text"</formula>
    </cfRule>
  </conditionalFormatting>
  <conditionalFormatting sqref="B456:E457">
    <cfRule type="expression" dxfId="28" priority="1984" stopIfTrue="1">
      <formula>$A456="end repeat"</formula>
    </cfRule>
  </conditionalFormatting>
  <conditionalFormatting sqref="B456:E457">
    <cfRule type="expression" dxfId="28" priority="1985" stopIfTrue="1">
      <formula>$A456="begin repeat"</formula>
    </cfRule>
  </conditionalFormatting>
  <conditionalFormatting sqref="B456:E457">
    <cfRule type="expression" dxfId="29" priority="1986" stopIfTrue="1">
      <formula>$A456="end group"</formula>
    </cfRule>
  </conditionalFormatting>
  <conditionalFormatting sqref="B456:E457">
    <cfRule type="expression" dxfId="29" priority="1987" stopIfTrue="1">
      <formula>$A456="begin group"</formula>
    </cfRule>
  </conditionalFormatting>
  <conditionalFormatting sqref="B456:B457">
    <cfRule type="expression" dxfId="30" priority="1988" stopIfTrue="1">
      <formula>$A456="comments"</formula>
    </cfRule>
  </conditionalFormatting>
  <conditionalFormatting sqref="B456:B457">
    <cfRule type="expression" dxfId="36" priority="1989" stopIfTrue="1">
      <formula>OR(AND(LEFT($A456, 14)="sensor_stream ", LEN($A456)&gt;14, NOT(ISNUMBER(SEARCH(" ", $A456, 15)))), AND(LEFT($A456, 17)="sensor_statistic ", LEN($A456)&gt;17, NOT(ISNUMBER(SEARCH(" ", $A456, 18)))))</formula>
    </cfRule>
  </conditionalFormatting>
  <conditionalFormatting sqref="B448:C452 D448:E452">
    <cfRule type="expression" dxfId="0" priority="1990" stopIfTrue="1">
      <formula>$A448="begin group"</formula>
    </cfRule>
  </conditionalFormatting>
  <conditionalFormatting sqref="B448:C452 D448:E452">
    <cfRule type="expression" dxfId="1" priority="1991" stopIfTrue="1">
      <formula>$A448="begin repeat"</formula>
    </cfRule>
  </conditionalFormatting>
  <conditionalFormatting sqref="B448:E452">
    <cfRule type="expression" dxfId="31" priority="1992" stopIfTrue="1">
      <formula>$A448="enumerator"</formula>
    </cfRule>
  </conditionalFormatting>
  <conditionalFormatting sqref="B448:E452">
    <cfRule type="expression" dxfId="2" priority="1993" stopIfTrue="1">
      <formula>$A448="text"</formula>
    </cfRule>
  </conditionalFormatting>
  <conditionalFormatting sqref="B448:E452">
    <cfRule type="expression" dxfId="3" priority="1994" stopIfTrue="1">
      <formula>$A448="integer"</formula>
    </cfRule>
  </conditionalFormatting>
  <conditionalFormatting sqref="B448:E452">
    <cfRule type="expression" dxfId="4" priority="1995" stopIfTrue="1">
      <formula>$A448="decimal"</formula>
    </cfRule>
  </conditionalFormatting>
  <conditionalFormatting sqref="B448:C452 D448:E452">
    <cfRule type="expression" dxfId="5" priority="1996" stopIfTrue="1">
      <formula>OR(AND(LEFT($A448, 16)="select_multiple ", LEN($A448)&gt;16, NOT(ISNUMBER(SEARCH(" ", $A448, 17)))), AND(LEFT($A448, 11)="select_one ", LEN($A448)&gt;11, NOT(ISNUMBER(SEARCH(" ", $A448, 12)))))</formula>
    </cfRule>
  </conditionalFormatting>
  <conditionalFormatting sqref="B448:B452">
    <cfRule type="expression" dxfId="6" priority="1997" stopIfTrue="1">
      <formula>OR($A448="audio audit", $A448="text audit", $A448="speed violations count", $A448="speed violations list", $A448="speed violations audit")</formula>
    </cfRule>
  </conditionalFormatting>
  <conditionalFormatting sqref="B448:C452 D448:E452">
    <cfRule type="expression" dxfId="32" priority="1998" stopIfTrue="1">
      <formula>$A448="file"</formula>
    </cfRule>
  </conditionalFormatting>
  <conditionalFormatting sqref="B448:C452 D448:E452">
    <cfRule type="expression" dxfId="7" priority="1999" stopIfTrue="1">
      <formula>$A448="note"</formula>
    </cfRule>
  </conditionalFormatting>
  <conditionalFormatting sqref="B448:C452 D448:E452">
    <cfRule type="expression" dxfId="8" priority="2000" stopIfTrue="1">
      <formula>$A448="barcode"</formula>
    </cfRule>
  </conditionalFormatting>
  <conditionalFormatting sqref="B448:C452 D448:E452">
    <cfRule type="expression" dxfId="9" priority="2001" stopIfTrue="1">
      <formula>OR($A448="geopoint", $A448="geoshape", $A448="geotrace")</formula>
    </cfRule>
  </conditionalFormatting>
  <conditionalFormatting sqref="B448:B452">
    <cfRule type="expression" dxfId="10" priority="2002" stopIfTrue="1">
      <formula>OR($A448="calculate", $A448="calculate_here")</formula>
    </cfRule>
  </conditionalFormatting>
  <conditionalFormatting sqref="B448:C452 D448:E452">
    <cfRule type="expression" dxfId="11" priority="2003" stopIfTrue="1">
      <formula>OR($A448="date", $A448="datetime", $A448="time")</formula>
    </cfRule>
  </conditionalFormatting>
  <conditionalFormatting sqref="B448:C452 D448:E452">
    <cfRule type="expression" dxfId="12" priority="2004" stopIfTrue="1">
      <formula>$A448="image"</formula>
    </cfRule>
  </conditionalFormatting>
  <conditionalFormatting sqref="B448:C452 D448:E452">
    <cfRule type="expression" dxfId="13" priority="2005" stopIfTrue="1">
      <formula>OR($A448="audio", $A448="video")</formula>
    </cfRule>
  </conditionalFormatting>
  <conditionalFormatting sqref="B448:E452">
    <cfRule type="expression" dxfId="33" priority="2006" stopIfTrue="1">
      <formula>$A448="file"</formula>
    </cfRule>
  </conditionalFormatting>
  <conditionalFormatting sqref="B448:E452">
    <cfRule type="expression" dxfId="34" priority="2007" stopIfTrue="1">
      <formula>$A448="enumerator"</formula>
    </cfRule>
  </conditionalFormatting>
  <conditionalFormatting sqref="B448:E452">
    <cfRule type="expression" dxfId="35" priority="2008" stopIfTrue="1">
      <formula>OR(AND(LEFT($A448, 14)="sensor_stream ", LEN($A448)&gt;14, NOT(ISNUMBER(SEARCH(" ", $A448, 15)))), AND(LEFT($A448, 17)="sensor_statistic ", LEN($A448)&gt;17, NOT(ISNUMBER(SEARCH(" ", $A448, 18)))))</formula>
    </cfRule>
  </conditionalFormatting>
  <conditionalFormatting sqref="B448:E452">
    <cfRule type="expression" dxfId="14" priority="2009" stopIfTrue="1">
      <formula>$A448="comments"</formula>
    </cfRule>
  </conditionalFormatting>
  <conditionalFormatting sqref="B448:E452">
    <cfRule type="expression" dxfId="15" priority="2010" stopIfTrue="1">
      <formula>OR($A448="audio", $A448="video")</formula>
    </cfRule>
  </conditionalFormatting>
  <conditionalFormatting sqref="B448:E452">
    <cfRule type="expression" dxfId="16" priority="2011" stopIfTrue="1">
      <formula>$A448="image"</formula>
    </cfRule>
  </conditionalFormatting>
  <conditionalFormatting sqref="B448:E452">
    <cfRule type="expression" dxfId="17" priority="2012" stopIfTrue="1">
      <formula>OR($A448="date", $A448="datetime", $A448="time")</formula>
    </cfRule>
  </conditionalFormatting>
  <conditionalFormatting sqref="B448:E452">
    <cfRule type="expression" dxfId="18" priority="2013" stopIfTrue="1">
      <formula>OR($A448="calculate", $A448="calculate_here")</formula>
    </cfRule>
  </conditionalFormatting>
  <conditionalFormatting sqref="B448:E452">
    <cfRule type="expression" dxfId="19" priority="2014" stopIfTrue="1">
      <formula>$A448="note"</formula>
    </cfRule>
  </conditionalFormatting>
  <conditionalFormatting sqref="B448:E452">
    <cfRule type="expression" dxfId="20" priority="2015" stopIfTrue="1">
      <formula>$A448="barcode"</formula>
    </cfRule>
  </conditionalFormatting>
  <conditionalFormatting sqref="B448:E452">
    <cfRule type="expression" dxfId="21" priority="2016" stopIfTrue="1">
      <formula>OR($A448="geopoint", $A448="geoshape", $A448="geotrace")</formula>
    </cfRule>
  </conditionalFormatting>
  <conditionalFormatting sqref="B448:E452">
    <cfRule type="expression" dxfId="22" priority="2017" stopIfTrue="1">
      <formula>OR($A448="audio audit", $A448="text audit", $A448="speed violations count", $A448="speed violations list", $A448="speed violations audit")</formula>
    </cfRule>
  </conditionalFormatting>
  <conditionalFormatting sqref="B448:E452">
    <cfRule type="expression" dxfId="23" priority="2018" stopIfTrue="1">
      <formula>OR($A448="username", $A448="phonenumber", $A448="start", $A448="end", $A448="deviceid", $A448="subscriberid", $A448="simserial", $A448="caseid")</formula>
    </cfRule>
  </conditionalFormatting>
  <conditionalFormatting sqref="B448:E452">
    <cfRule type="expression" dxfId="24" priority="2019" stopIfTrue="1">
      <formula>OR(AND(LEFT($A448, 16)="select_multiple ", LEN($A448)&gt;16, NOT(ISNUMBER(SEARCH(" ", $A448, 17)))), AND(LEFT($A448, 11)="select_one ", LEN($A448)&gt;11, NOT(ISNUMBER(SEARCH(" ", $A448, 12)))))</formula>
    </cfRule>
  </conditionalFormatting>
  <conditionalFormatting sqref="B448:E452">
    <cfRule type="expression" dxfId="25" priority="2020" stopIfTrue="1">
      <formula>$A448="decimal"</formula>
    </cfRule>
  </conditionalFormatting>
  <conditionalFormatting sqref="B448:E452">
    <cfRule type="expression" dxfId="26" priority="2021" stopIfTrue="1">
      <formula>$A448="integer"</formula>
    </cfRule>
  </conditionalFormatting>
  <conditionalFormatting sqref="B448:E452">
    <cfRule type="expression" dxfId="27" priority="2022" stopIfTrue="1">
      <formula>$A448="text"</formula>
    </cfRule>
  </conditionalFormatting>
  <conditionalFormatting sqref="B448:E452">
    <cfRule type="expression" dxfId="28" priority="2023" stopIfTrue="1">
      <formula>$A448="end repeat"</formula>
    </cfRule>
  </conditionalFormatting>
  <conditionalFormatting sqref="B448:E452">
    <cfRule type="expression" dxfId="28" priority="2024" stopIfTrue="1">
      <formula>$A448="begin repeat"</formula>
    </cfRule>
  </conditionalFormatting>
  <conditionalFormatting sqref="B448:E452">
    <cfRule type="expression" dxfId="29" priority="2025" stopIfTrue="1">
      <formula>$A448="end group"</formula>
    </cfRule>
  </conditionalFormatting>
  <conditionalFormatting sqref="B448:E452">
    <cfRule type="expression" dxfId="29" priority="2026" stopIfTrue="1">
      <formula>$A448="begin group"</formula>
    </cfRule>
  </conditionalFormatting>
  <conditionalFormatting sqref="B448:B452">
    <cfRule type="expression" dxfId="30" priority="2027" stopIfTrue="1">
      <formula>$A448="comments"</formula>
    </cfRule>
  </conditionalFormatting>
  <conditionalFormatting sqref="B448:B452">
    <cfRule type="expression" dxfId="36" priority="2028" stopIfTrue="1">
      <formula>OR(AND(LEFT($A448, 14)="sensor_stream ", LEN($A448)&gt;14, NOT(ISNUMBER(SEARCH(" ", $A448, 15)))), AND(LEFT($A448, 17)="sensor_statistic ", LEN($A448)&gt;17, NOT(ISNUMBER(SEARCH(" ", $A448, 18)))))</formula>
    </cfRule>
  </conditionalFormatting>
  <conditionalFormatting sqref="B426:C432 D426:E432">
    <cfRule type="expression" dxfId="0" priority="2029" stopIfTrue="1">
      <formula>$A426="begin group"</formula>
    </cfRule>
  </conditionalFormatting>
  <conditionalFormatting sqref="B426:C432 D426:E432">
    <cfRule type="expression" dxfId="1" priority="2030" stopIfTrue="1">
      <formula>$A426="begin repeat"</formula>
    </cfRule>
  </conditionalFormatting>
  <conditionalFormatting sqref="B426:E432">
    <cfRule type="expression" dxfId="31" priority="2031" stopIfTrue="1">
      <formula>$A426="enumerator"</formula>
    </cfRule>
  </conditionalFormatting>
  <conditionalFormatting sqref="B426:E432">
    <cfRule type="expression" dxfId="2" priority="2032" stopIfTrue="1">
      <formula>$A426="text"</formula>
    </cfRule>
  </conditionalFormatting>
  <conditionalFormatting sqref="B426:E432">
    <cfRule type="expression" dxfId="3" priority="2033" stopIfTrue="1">
      <formula>$A426="integer"</formula>
    </cfRule>
  </conditionalFormatting>
  <conditionalFormatting sqref="B426:E432">
    <cfRule type="expression" dxfId="4" priority="2034" stopIfTrue="1">
      <formula>$A426="decimal"</formula>
    </cfRule>
  </conditionalFormatting>
  <conditionalFormatting sqref="B426:C432 D426:E432">
    <cfRule type="expression" dxfId="5" priority="2035" stopIfTrue="1">
      <formula>OR(AND(LEFT($A426, 16)="select_multiple ", LEN($A426)&gt;16, NOT(ISNUMBER(SEARCH(" ", $A426, 17)))), AND(LEFT($A426, 11)="select_one ", LEN($A426)&gt;11, NOT(ISNUMBER(SEARCH(" ", $A426, 12)))))</formula>
    </cfRule>
  </conditionalFormatting>
  <conditionalFormatting sqref="B426:B432">
    <cfRule type="expression" dxfId="6" priority="2036" stopIfTrue="1">
      <formula>OR($A426="audio audit", $A426="text audit", $A426="speed violations count", $A426="speed violations list", $A426="speed violations audit")</formula>
    </cfRule>
  </conditionalFormatting>
  <conditionalFormatting sqref="B426:C432 D426:E432">
    <cfRule type="expression" dxfId="32" priority="2037" stopIfTrue="1">
      <formula>$A426="file"</formula>
    </cfRule>
  </conditionalFormatting>
  <conditionalFormatting sqref="B426:C432 D426:E432">
    <cfRule type="expression" dxfId="7" priority="2038" stopIfTrue="1">
      <formula>$A426="note"</formula>
    </cfRule>
  </conditionalFormatting>
  <conditionalFormatting sqref="B426:C432 D426:E432">
    <cfRule type="expression" dxfId="8" priority="2039" stopIfTrue="1">
      <formula>$A426="barcode"</formula>
    </cfRule>
  </conditionalFormatting>
  <conditionalFormatting sqref="B426:C432 D426:E432">
    <cfRule type="expression" dxfId="9" priority="2040" stopIfTrue="1">
      <formula>OR($A426="geopoint", $A426="geoshape", $A426="geotrace")</formula>
    </cfRule>
  </conditionalFormatting>
  <conditionalFormatting sqref="B426:B432">
    <cfRule type="expression" dxfId="10" priority="2041" stopIfTrue="1">
      <formula>OR($A426="calculate", $A426="calculate_here")</formula>
    </cfRule>
  </conditionalFormatting>
  <conditionalFormatting sqref="B426:C432 D426:E432">
    <cfRule type="expression" dxfId="11" priority="2042" stopIfTrue="1">
      <formula>OR($A426="date", $A426="datetime", $A426="time")</formula>
    </cfRule>
  </conditionalFormatting>
  <conditionalFormatting sqref="B426:C432 D426:E432">
    <cfRule type="expression" dxfId="12" priority="2043" stopIfTrue="1">
      <formula>$A426="image"</formula>
    </cfRule>
  </conditionalFormatting>
  <conditionalFormatting sqref="B426:C432 D426:E432">
    <cfRule type="expression" dxfId="13" priority="2044" stopIfTrue="1">
      <formula>OR($A426="audio", $A426="video")</formula>
    </cfRule>
  </conditionalFormatting>
  <conditionalFormatting sqref="B426:E432">
    <cfRule type="expression" dxfId="33" priority="2045" stopIfTrue="1">
      <formula>$A426="file"</formula>
    </cfRule>
  </conditionalFormatting>
  <conditionalFormatting sqref="B426:E432">
    <cfRule type="expression" dxfId="34" priority="2046" stopIfTrue="1">
      <formula>$A426="enumerator"</formula>
    </cfRule>
  </conditionalFormatting>
  <conditionalFormatting sqref="B426:E432">
    <cfRule type="expression" dxfId="35" priority="2047" stopIfTrue="1">
      <formula>OR(AND(LEFT($A426, 14)="sensor_stream ", LEN($A426)&gt;14, NOT(ISNUMBER(SEARCH(" ", $A426, 15)))), AND(LEFT($A426, 17)="sensor_statistic ", LEN($A426)&gt;17, NOT(ISNUMBER(SEARCH(" ", $A426, 18)))))</formula>
    </cfRule>
  </conditionalFormatting>
  <conditionalFormatting sqref="B426:E432">
    <cfRule type="expression" dxfId="14" priority="2048" stopIfTrue="1">
      <formula>$A426="comments"</formula>
    </cfRule>
  </conditionalFormatting>
  <conditionalFormatting sqref="B426:E432">
    <cfRule type="expression" dxfId="15" priority="2049" stopIfTrue="1">
      <formula>OR($A426="audio", $A426="video")</formula>
    </cfRule>
  </conditionalFormatting>
  <conditionalFormatting sqref="B426:E432">
    <cfRule type="expression" dxfId="16" priority="2050" stopIfTrue="1">
      <formula>$A426="image"</formula>
    </cfRule>
  </conditionalFormatting>
  <conditionalFormatting sqref="B426:E432">
    <cfRule type="expression" dxfId="17" priority="2051" stopIfTrue="1">
      <formula>OR($A426="date", $A426="datetime", $A426="time")</formula>
    </cfRule>
  </conditionalFormatting>
  <conditionalFormatting sqref="B426:E432">
    <cfRule type="expression" dxfId="18" priority="2052" stopIfTrue="1">
      <formula>OR($A426="calculate", $A426="calculate_here")</formula>
    </cfRule>
  </conditionalFormatting>
  <conditionalFormatting sqref="B426:E432">
    <cfRule type="expression" dxfId="19" priority="2053" stopIfTrue="1">
      <formula>$A426="note"</formula>
    </cfRule>
  </conditionalFormatting>
  <conditionalFormatting sqref="B426:E432">
    <cfRule type="expression" dxfId="20" priority="2054" stopIfTrue="1">
      <formula>$A426="barcode"</formula>
    </cfRule>
  </conditionalFormatting>
  <conditionalFormatting sqref="B426:E432">
    <cfRule type="expression" dxfId="21" priority="2055" stopIfTrue="1">
      <formula>OR($A426="geopoint", $A426="geoshape", $A426="geotrace")</formula>
    </cfRule>
  </conditionalFormatting>
  <conditionalFormatting sqref="B426:E432">
    <cfRule type="expression" dxfId="22" priority="2056" stopIfTrue="1">
      <formula>OR($A426="audio audit", $A426="text audit", $A426="speed violations count", $A426="speed violations list", $A426="speed violations audit")</formula>
    </cfRule>
  </conditionalFormatting>
  <conditionalFormatting sqref="B426:E432">
    <cfRule type="expression" dxfId="23" priority="2057" stopIfTrue="1">
      <formula>OR($A426="username", $A426="phonenumber", $A426="start", $A426="end", $A426="deviceid", $A426="subscriberid", $A426="simserial", $A426="caseid")</formula>
    </cfRule>
  </conditionalFormatting>
  <conditionalFormatting sqref="B426:E432">
    <cfRule type="expression" dxfId="24" priority="2058" stopIfTrue="1">
      <formula>OR(AND(LEFT($A426, 16)="select_multiple ", LEN($A426)&gt;16, NOT(ISNUMBER(SEARCH(" ", $A426, 17)))), AND(LEFT($A426, 11)="select_one ", LEN($A426)&gt;11, NOT(ISNUMBER(SEARCH(" ", $A426, 12)))))</formula>
    </cfRule>
  </conditionalFormatting>
  <conditionalFormatting sqref="B426:E432">
    <cfRule type="expression" dxfId="25" priority="2059" stopIfTrue="1">
      <formula>$A426="decimal"</formula>
    </cfRule>
  </conditionalFormatting>
  <conditionalFormatting sqref="B426:E432">
    <cfRule type="expression" dxfId="26" priority="2060" stopIfTrue="1">
      <formula>$A426="integer"</formula>
    </cfRule>
  </conditionalFormatting>
  <conditionalFormatting sqref="B426:E432">
    <cfRule type="expression" dxfId="27" priority="2061" stopIfTrue="1">
      <formula>$A426="text"</formula>
    </cfRule>
  </conditionalFormatting>
  <conditionalFormatting sqref="B426:E432">
    <cfRule type="expression" dxfId="28" priority="2062" stopIfTrue="1">
      <formula>$A426="end repeat"</formula>
    </cfRule>
  </conditionalFormatting>
  <conditionalFormatting sqref="B426:E432">
    <cfRule type="expression" dxfId="28" priority="2063" stopIfTrue="1">
      <formula>$A426="begin repeat"</formula>
    </cfRule>
  </conditionalFormatting>
  <conditionalFormatting sqref="B426:E432">
    <cfRule type="expression" dxfId="29" priority="2064" stopIfTrue="1">
      <formula>$A426="end group"</formula>
    </cfRule>
  </conditionalFormatting>
  <conditionalFormatting sqref="B426:E432">
    <cfRule type="expression" dxfId="29" priority="2065" stopIfTrue="1">
      <formula>$A426="begin group"</formula>
    </cfRule>
  </conditionalFormatting>
  <conditionalFormatting sqref="B426:B432">
    <cfRule type="expression" dxfId="30" priority="2066" stopIfTrue="1">
      <formula>$A426="comments"</formula>
    </cfRule>
  </conditionalFormatting>
  <conditionalFormatting sqref="B426:B432">
    <cfRule type="expression" dxfId="36" priority="2067" stopIfTrue="1">
      <formula>OR(AND(LEFT($A426, 14)="sensor_stream ", LEN($A426)&gt;14, NOT(ISNUMBER(SEARCH(" ", $A426, 15)))), AND(LEFT($A426, 17)="sensor_statistic ", LEN($A426)&gt;17, NOT(ISNUMBER(SEARCH(" ", $A426, 18)))))</formula>
    </cfRule>
  </conditionalFormatting>
  <conditionalFormatting sqref="B419:C421 D419:E421">
    <cfRule type="expression" dxfId="0" priority="2068" stopIfTrue="1">
      <formula>$A419="begin group"</formula>
    </cfRule>
  </conditionalFormatting>
  <conditionalFormatting sqref="B419:C421 D419:E421">
    <cfRule type="expression" dxfId="1" priority="2069" stopIfTrue="1">
      <formula>$A419="begin repeat"</formula>
    </cfRule>
  </conditionalFormatting>
  <conditionalFormatting sqref="B419:E421">
    <cfRule type="expression" dxfId="31" priority="2070" stopIfTrue="1">
      <formula>$A419="enumerator"</formula>
    </cfRule>
  </conditionalFormatting>
  <conditionalFormatting sqref="B419:E421">
    <cfRule type="expression" dxfId="2" priority="2071" stopIfTrue="1">
      <formula>$A419="text"</formula>
    </cfRule>
  </conditionalFormatting>
  <conditionalFormatting sqref="B419:E421">
    <cfRule type="expression" dxfId="3" priority="2072" stopIfTrue="1">
      <formula>$A419="integer"</formula>
    </cfRule>
  </conditionalFormatting>
  <conditionalFormatting sqref="B419:E421">
    <cfRule type="expression" dxfId="4" priority="2073" stopIfTrue="1">
      <formula>$A419="decimal"</formula>
    </cfRule>
  </conditionalFormatting>
  <conditionalFormatting sqref="B419:C421 D419:E421">
    <cfRule type="expression" dxfId="5" priority="2074" stopIfTrue="1">
      <formula>OR(AND(LEFT($A419, 16)="select_multiple ", LEN($A419)&gt;16, NOT(ISNUMBER(SEARCH(" ", $A419, 17)))), AND(LEFT($A419, 11)="select_one ", LEN($A419)&gt;11, NOT(ISNUMBER(SEARCH(" ", $A419, 12)))))</formula>
    </cfRule>
  </conditionalFormatting>
  <conditionalFormatting sqref="B419:B421">
    <cfRule type="expression" dxfId="6" priority="2075" stopIfTrue="1">
      <formula>OR($A419="audio audit", $A419="text audit", $A419="speed violations count", $A419="speed violations list", $A419="speed violations audit")</formula>
    </cfRule>
  </conditionalFormatting>
  <conditionalFormatting sqref="B419:C421 D419:E421">
    <cfRule type="expression" dxfId="32" priority="2076" stopIfTrue="1">
      <formula>$A419="file"</formula>
    </cfRule>
  </conditionalFormatting>
  <conditionalFormatting sqref="B419:C421 D419:E421">
    <cfRule type="expression" dxfId="7" priority="2077" stopIfTrue="1">
      <formula>$A419="note"</formula>
    </cfRule>
  </conditionalFormatting>
  <conditionalFormatting sqref="B419:C421 D419:E421">
    <cfRule type="expression" dxfId="8" priority="2078" stopIfTrue="1">
      <formula>$A419="barcode"</formula>
    </cfRule>
  </conditionalFormatting>
  <conditionalFormatting sqref="B419:C421 D419:E421">
    <cfRule type="expression" dxfId="9" priority="2079" stopIfTrue="1">
      <formula>OR($A419="geopoint", $A419="geoshape", $A419="geotrace")</formula>
    </cfRule>
  </conditionalFormatting>
  <conditionalFormatting sqref="B419:B421">
    <cfRule type="expression" dxfId="10" priority="2080" stopIfTrue="1">
      <formula>OR($A419="calculate", $A419="calculate_here")</formula>
    </cfRule>
  </conditionalFormatting>
  <conditionalFormatting sqref="B419:C421 D419:E421">
    <cfRule type="expression" dxfId="11" priority="2081" stopIfTrue="1">
      <formula>OR($A419="date", $A419="datetime", $A419="time")</formula>
    </cfRule>
  </conditionalFormatting>
  <conditionalFormatting sqref="B419:C421 D419:E421">
    <cfRule type="expression" dxfId="12" priority="2082" stopIfTrue="1">
      <formula>$A419="image"</formula>
    </cfRule>
  </conditionalFormatting>
  <conditionalFormatting sqref="B419:C421 D419:E421">
    <cfRule type="expression" dxfId="13" priority="2083" stopIfTrue="1">
      <formula>OR($A419="audio", $A419="video")</formula>
    </cfRule>
  </conditionalFormatting>
  <conditionalFormatting sqref="B419:E421">
    <cfRule type="expression" dxfId="33" priority="2084" stopIfTrue="1">
      <formula>$A419="file"</formula>
    </cfRule>
  </conditionalFormatting>
  <conditionalFormatting sqref="B419:E421">
    <cfRule type="expression" dxfId="34" priority="2085" stopIfTrue="1">
      <formula>$A419="enumerator"</formula>
    </cfRule>
  </conditionalFormatting>
  <conditionalFormatting sqref="B419:E421">
    <cfRule type="expression" dxfId="35" priority="2086" stopIfTrue="1">
      <formula>OR(AND(LEFT($A419, 14)="sensor_stream ", LEN($A419)&gt;14, NOT(ISNUMBER(SEARCH(" ", $A419, 15)))), AND(LEFT($A419, 17)="sensor_statistic ", LEN($A419)&gt;17, NOT(ISNUMBER(SEARCH(" ", $A419, 18)))))</formula>
    </cfRule>
  </conditionalFormatting>
  <conditionalFormatting sqref="B419:E421">
    <cfRule type="expression" dxfId="14" priority="2087" stopIfTrue="1">
      <formula>$A419="comments"</formula>
    </cfRule>
  </conditionalFormatting>
  <conditionalFormatting sqref="B419:E421">
    <cfRule type="expression" dxfId="15" priority="2088" stopIfTrue="1">
      <formula>OR($A419="audio", $A419="video")</formula>
    </cfRule>
  </conditionalFormatting>
  <conditionalFormatting sqref="B419:E421">
    <cfRule type="expression" dxfId="16" priority="2089" stopIfTrue="1">
      <formula>$A419="image"</formula>
    </cfRule>
  </conditionalFormatting>
  <conditionalFormatting sqref="B419:E421">
    <cfRule type="expression" dxfId="17" priority="2090" stopIfTrue="1">
      <formula>OR($A419="date", $A419="datetime", $A419="time")</formula>
    </cfRule>
  </conditionalFormatting>
  <conditionalFormatting sqref="B419:E421">
    <cfRule type="expression" dxfId="18" priority="2091" stopIfTrue="1">
      <formula>OR($A419="calculate", $A419="calculate_here")</formula>
    </cfRule>
  </conditionalFormatting>
  <conditionalFormatting sqref="B419:E421">
    <cfRule type="expression" dxfId="19" priority="2092" stopIfTrue="1">
      <formula>$A419="note"</formula>
    </cfRule>
  </conditionalFormatting>
  <conditionalFormatting sqref="B419:E421">
    <cfRule type="expression" dxfId="20" priority="2093" stopIfTrue="1">
      <formula>$A419="barcode"</formula>
    </cfRule>
  </conditionalFormatting>
  <conditionalFormatting sqref="B419:E421">
    <cfRule type="expression" dxfId="21" priority="2094" stopIfTrue="1">
      <formula>OR($A419="geopoint", $A419="geoshape", $A419="geotrace")</formula>
    </cfRule>
  </conditionalFormatting>
  <conditionalFormatting sqref="B419:E421">
    <cfRule type="expression" dxfId="22" priority="2095" stopIfTrue="1">
      <formula>OR($A419="audio audit", $A419="text audit", $A419="speed violations count", $A419="speed violations list", $A419="speed violations audit")</formula>
    </cfRule>
  </conditionalFormatting>
  <conditionalFormatting sqref="B419:E421">
    <cfRule type="expression" dxfId="23" priority="2096" stopIfTrue="1">
      <formula>OR($A419="username", $A419="phonenumber", $A419="start", $A419="end", $A419="deviceid", $A419="subscriberid", $A419="simserial", $A419="caseid")</formula>
    </cfRule>
  </conditionalFormatting>
  <conditionalFormatting sqref="B419:E421">
    <cfRule type="expression" dxfId="24" priority="2097" stopIfTrue="1">
      <formula>OR(AND(LEFT($A419, 16)="select_multiple ", LEN($A419)&gt;16, NOT(ISNUMBER(SEARCH(" ", $A419, 17)))), AND(LEFT($A419, 11)="select_one ", LEN($A419)&gt;11, NOT(ISNUMBER(SEARCH(" ", $A419, 12)))))</formula>
    </cfRule>
  </conditionalFormatting>
  <conditionalFormatting sqref="B419:E421">
    <cfRule type="expression" dxfId="25" priority="2098" stopIfTrue="1">
      <formula>$A419="decimal"</formula>
    </cfRule>
  </conditionalFormatting>
  <conditionalFormatting sqref="B419:E421">
    <cfRule type="expression" dxfId="26" priority="2099" stopIfTrue="1">
      <formula>$A419="integer"</formula>
    </cfRule>
  </conditionalFormatting>
  <conditionalFormatting sqref="B419:E421">
    <cfRule type="expression" dxfId="27" priority="2100" stopIfTrue="1">
      <formula>$A419="text"</formula>
    </cfRule>
  </conditionalFormatting>
  <conditionalFormatting sqref="B419:E421">
    <cfRule type="expression" dxfId="28" priority="2101" stopIfTrue="1">
      <formula>$A419="end repeat"</formula>
    </cfRule>
  </conditionalFormatting>
  <conditionalFormatting sqref="B419:E421">
    <cfRule type="expression" dxfId="28" priority="2102" stopIfTrue="1">
      <formula>$A419="begin repeat"</formula>
    </cfRule>
  </conditionalFormatting>
  <conditionalFormatting sqref="B419:E421">
    <cfRule type="expression" dxfId="29" priority="2103" stopIfTrue="1">
      <formula>$A419="end group"</formula>
    </cfRule>
  </conditionalFormatting>
  <conditionalFormatting sqref="B419:E421">
    <cfRule type="expression" dxfId="29" priority="2104" stopIfTrue="1">
      <formula>$A419="begin group"</formula>
    </cfRule>
  </conditionalFormatting>
  <conditionalFormatting sqref="B419:B421">
    <cfRule type="expression" dxfId="30" priority="2105" stopIfTrue="1">
      <formula>$A419="comments"</formula>
    </cfRule>
  </conditionalFormatting>
  <conditionalFormatting sqref="B419:B421">
    <cfRule type="expression" dxfId="36" priority="2106" stopIfTrue="1">
      <formula>OR(AND(LEFT($A419, 14)="sensor_stream ", LEN($A419)&gt;14, NOT(ISNUMBER(SEARCH(" ", $A419, 15)))), AND(LEFT($A419, 17)="sensor_statistic ", LEN($A419)&gt;17, NOT(ISNUMBER(SEARCH(" ", $A419, 18)))))</formula>
    </cfRule>
  </conditionalFormatting>
  <conditionalFormatting sqref="B411:C415 D411:E415">
    <cfRule type="expression" dxfId="0" priority="2107" stopIfTrue="1">
      <formula>$A411="begin group"</formula>
    </cfRule>
  </conditionalFormatting>
  <conditionalFormatting sqref="B411:C415 D411:E415">
    <cfRule type="expression" dxfId="1" priority="2108" stopIfTrue="1">
      <formula>$A411="begin repeat"</formula>
    </cfRule>
  </conditionalFormatting>
  <conditionalFormatting sqref="B411:E415">
    <cfRule type="expression" dxfId="31" priority="2109" stopIfTrue="1">
      <formula>$A411="enumerator"</formula>
    </cfRule>
  </conditionalFormatting>
  <conditionalFormatting sqref="B411:E415">
    <cfRule type="expression" dxfId="2" priority="2110" stopIfTrue="1">
      <formula>$A411="text"</formula>
    </cfRule>
  </conditionalFormatting>
  <conditionalFormatting sqref="B411:E415">
    <cfRule type="expression" dxfId="3" priority="2111" stopIfTrue="1">
      <formula>$A411="integer"</formula>
    </cfRule>
  </conditionalFormatting>
  <conditionalFormatting sqref="B411:E415">
    <cfRule type="expression" dxfId="4" priority="2112" stopIfTrue="1">
      <formula>$A411="decimal"</formula>
    </cfRule>
  </conditionalFormatting>
  <conditionalFormatting sqref="B411:C415 D411:E415">
    <cfRule type="expression" dxfId="5" priority="2113" stopIfTrue="1">
      <formula>OR(AND(LEFT($A411, 16)="select_multiple ", LEN($A411)&gt;16, NOT(ISNUMBER(SEARCH(" ", $A411, 17)))), AND(LEFT($A411, 11)="select_one ", LEN($A411)&gt;11, NOT(ISNUMBER(SEARCH(" ", $A411, 12)))))</formula>
    </cfRule>
  </conditionalFormatting>
  <conditionalFormatting sqref="B411:B415">
    <cfRule type="expression" dxfId="6" priority="2114" stopIfTrue="1">
      <formula>OR($A411="audio audit", $A411="text audit", $A411="speed violations count", $A411="speed violations list", $A411="speed violations audit")</formula>
    </cfRule>
  </conditionalFormatting>
  <conditionalFormatting sqref="B411:C415 D411:E415">
    <cfRule type="expression" dxfId="32" priority="2115" stopIfTrue="1">
      <formula>$A411="file"</formula>
    </cfRule>
  </conditionalFormatting>
  <conditionalFormatting sqref="B411:C415 D411:E415">
    <cfRule type="expression" dxfId="7" priority="2116" stopIfTrue="1">
      <formula>$A411="note"</formula>
    </cfRule>
  </conditionalFormatting>
  <conditionalFormatting sqref="B411:C415 D411:E415">
    <cfRule type="expression" dxfId="8" priority="2117" stopIfTrue="1">
      <formula>$A411="barcode"</formula>
    </cfRule>
  </conditionalFormatting>
  <conditionalFormatting sqref="B411:C415 D411:E415">
    <cfRule type="expression" dxfId="9" priority="2118" stopIfTrue="1">
      <formula>OR($A411="geopoint", $A411="geoshape", $A411="geotrace")</formula>
    </cfRule>
  </conditionalFormatting>
  <conditionalFormatting sqref="B411:B415">
    <cfRule type="expression" dxfId="10" priority="2119" stopIfTrue="1">
      <formula>OR($A411="calculate", $A411="calculate_here")</formula>
    </cfRule>
  </conditionalFormatting>
  <conditionalFormatting sqref="B411:C415 D411:E415">
    <cfRule type="expression" dxfId="11" priority="2120" stopIfTrue="1">
      <formula>OR($A411="date", $A411="datetime", $A411="time")</formula>
    </cfRule>
  </conditionalFormatting>
  <conditionalFormatting sqref="B411:C415 D411:E415">
    <cfRule type="expression" dxfId="12" priority="2121" stopIfTrue="1">
      <formula>$A411="image"</formula>
    </cfRule>
  </conditionalFormatting>
  <conditionalFormatting sqref="B411:C415 D411:E415">
    <cfRule type="expression" dxfId="13" priority="2122" stopIfTrue="1">
      <formula>OR($A411="audio", $A411="video")</formula>
    </cfRule>
  </conditionalFormatting>
  <conditionalFormatting sqref="B411:E415">
    <cfRule type="expression" dxfId="33" priority="2123" stopIfTrue="1">
      <formula>$A411="file"</formula>
    </cfRule>
  </conditionalFormatting>
  <conditionalFormatting sqref="B411:E415">
    <cfRule type="expression" dxfId="34" priority="2124" stopIfTrue="1">
      <formula>$A411="enumerator"</formula>
    </cfRule>
  </conditionalFormatting>
  <conditionalFormatting sqref="B411:E415">
    <cfRule type="expression" dxfId="35" priority="2125" stopIfTrue="1">
      <formula>OR(AND(LEFT($A411, 14)="sensor_stream ", LEN($A411)&gt;14, NOT(ISNUMBER(SEARCH(" ", $A411, 15)))), AND(LEFT($A411, 17)="sensor_statistic ", LEN($A411)&gt;17, NOT(ISNUMBER(SEARCH(" ", $A411, 18)))))</formula>
    </cfRule>
  </conditionalFormatting>
  <conditionalFormatting sqref="B411:E415">
    <cfRule type="expression" dxfId="14" priority="2126" stopIfTrue="1">
      <formula>$A411="comments"</formula>
    </cfRule>
  </conditionalFormatting>
  <conditionalFormatting sqref="B411:E415">
    <cfRule type="expression" dxfId="15" priority="2127" stopIfTrue="1">
      <formula>OR($A411="audio", $A411="video")</formula>
    </cfRule>
  </conditionalFormatting>
  <conditionalFormatting sqref="B411:E415">
    <cfRule type="expression" dxfId="16" priority="2128" stopIfTrue="1">
      <formula>$A411="image"</formula>
    </cfRule>
  </conditionalFormatting>
  <conditionalFormatting sqref="B411:E415">
    <cfRule type="expression" dxfId="17" priority="2129" stopIfTrue="1">
      <formula>OR($A411="date", $A411="datetime", $A411="time")</formula>
    </cfRule>
  </conditionalFormatting>
  <conditionalFormatting sqref="B411:E415">
    <cfRule type="expression" dxfId="18" priority="2130" stopIfTrue="1">
      <formula>OR($A411="calculate", $A411="calculate_here")</formula>
    </cfRule>
  </conditionalFormatting>
  <conditionalFormatting sqref="B411:E415">
    <cfRule type="expression" dxfId="19" priority="2131" stopIfTrue="1">
      <formula>$A411="note"</formula>
    </cfRule>
  </conditionalFormatting>
  <conditionalFormatting sqref="B411:E415">
    <cfRule type="expression" dxfId="20" priority="2132" stopIfTrue="1">
      <formula>$A411="barcode"</formula>
    </cfRule>
  </conditionalFormatting>
  <conditionalFormatting sqref="B411:E415">
    <cfRule type="expression" dxfId="21" priority="2133" stopIfTrue="1">
      <formula>OR($A411="geopoint", $A411="geoshape", $A411="geotrace")</formula>
    </cfRule>
  </conditionalFormatting>
  <conditionalFormatting sqref="B411:E415">
    <cfRule type="expression" dxfId="22" priority="2134" stopIfTrue="1">
      <formula>OR($A411="audio audit", $A411="text audit", $A411="speed violations count", $A411="speed violations list", $A411="speed violations audit")</formula>
    </cfRule>
  </conditionalFormatting>
  <conditionalFormatting sqref="B411:E415">
    <cfRule type="expression" dxfId="23" priority="2135" stopIfTrue="1">
      <formula>OR($A411="username", $A411="phonenumber", $A411="start", $A411="end", $A411="deviceid", $A411="subscriberid", $A411="simserial", $A411="caseid")</formula>
    </cfRule>
  </conditionalFormatting>
  <conditionalFormatting sqref="B411:E415">
    <cfRule type="expression" dxfId="24" priority="2136" stopIfTrue="1">
      <formula>OR(AND(LEFT($A411, 16)="select_multiple ", LEN($A411)&gt;16, NOT(ISNUMBER(SEARCH(" ", $A411, 17)))), AND(LEFT($A411, 11)="select_one ", LEN($A411)&gt;11, NOT(ISNUMBER(SEARCH(" ", $A411, 12)))))</formula>
    </cfRule>
  </conditionalFormatting>
  <conditionalFormatting sqref="B411:E415">
    <cfRule type="expression" dxfId="25" priority="2137" stopIfTrue="1">
      <formula>$A411="decimal"</formula>
    </cfRule>
  </conditionalFormatting>
  <conditionalFormatting sqref="B411:E415">
    <cfRule type="expression" dxfId="26" priority="2138" stopIfTrue="1">
      <formula>$A411="integer"</formula>
    </cfRule>
  </conditionalFormatting>
  <conditionalFormatting sqref="B411:E415">
    <cfRule type="expression" dxfId="27" priority="2139" stopIfTrue="1">
      <formula>$A411="text"</formula>
    </cfRule>
  </conditionalFormatting>
  <conditionalFormatting sqref="B411:E415">
    <cfRule type="expression" dxfId="28" priority="2140" stopIfTrue="1">
      <formula>$A411="end repeat"</formula>
    </cfRule>
  </conditionalFormatting>
  <conditionalFormatting sqref="B411:E415">
    <cfRule type="expression" dxfId="28" priority="2141" stopIfTrue="1">
      <formula>$A411="begin repeat"</formula>
    </cfRule>
  </conditionalFormatting>
  <conditionalFormatting sqref="B411:E415">
    <cfRule type="expression" dxfId="29" priority="2142" stopIfTrue="1">
      <formula>$A411="end group"</formula>
    </cfRule>
  </conditionalFormatting>
  <conditionalFormatting sqref="B411:E415">
    <cfRule type="expression" dxfId="29" priority="2143" stopIfTrue="1">
      <formula>$A411="begin group"</formula>
    </cfRule>
  </conditionalFormatting>
  <conditionalFormatting sqref="B411:B415">
    <cfRule type="expression" dxfId="30" priority="2144" stopIfTrue="1">
      <formula>$A411="comments"</formula>
    </cfRule>
  </conditionalFormatting>
  <conditionalFormatting sqref="B411:B415">
    <cfRule type="expression" dxfId="36" priority="2145" stopIfTrue="1">
      <formula>OR(AND(LEFT($A411, 14)="sensor_stream ", LEN($A411)&gt;14, NOT(ISNUMBER(SEARCH(" ", $A411, 15)))), AND(LEFT($A411, 17)="sensor_statistic ", LEN($A411)&gt;17, NOT(ISNUMBER(SEARCH(" ", $A411, 18)))))</formula>
    </cfRule>
  </conditionalFormatting>
  <conditionalFormatting sqref="B398:C401 D398:E401">
    <cfRule type="expression" dxfId="0" priority="2146" stopIfTrue="1">
      <formula>$A398="begin group"</formula>
    </cfRule>
  </conditionalFormatting>
  <conditionalFormatting sqref="B398:C401 D398:E401">
    <cfRule type="expression" dxfId="1" priority="2147" stopIfTrue="1">
      <formula>$A398="begin repeat"</formula>
    </cfRule>
  </conditionalFormatting>
  <conditionalFormatting sqref="B398:E401">
    <cfRule type="expression" dxfId="31" priority="2148" stopIfTrue="1">
      <formula>$A398="enumerator"</formula>
    </cfRule>
  </conditionalFormatting>
  <conditionalFormatting sqref="B398:E401">
    <cfRule type="expression" dxfId="2" priority="2149" stopIfTrue="1">
      <formula>$A398="text"</formula>
    </cfRule>
  </conditionalFormatting>
  <conditionalFormatting sqref="B398:E401">
    <cfRule type="expression" dxfId="3" priority="2150" stopIfTrue="1">
      <formula>$A398="integer"</formula>
    </cfRule>
  </conditionalFormatting>
  <conditionalFormatting sqref="B398:E401">
    <cfRule type="expression" dxfId="4" priority="2151" stopIfTrue="1">
      <formula>$A398="decimal"</formula>
    </cfRule>
  </conditionalFormatting>
  <conditionalFormatting sqref="B398:C401 D398:E401">
    <cfRule type="expression" dxfId="5" priority="2152" stopIfTrue="1">
      <formula>OR(AND(LEFT($A398, 16)="select_multiple ", LEN($A398)&gt;16, NOT(ISNUMBER(SEARCH(" ", $A398, 17)))), AND(LEFT($A398, 11)="select_one ", LEN($A398)&gt;11, NOT(ISNUMBER(SEARCH(" ", $A398, 12)))))</formula>
    </cfRule>
  </conditionalFormatting>
  <conditionalFormatting sqref="B398:B401">
    <cfRule type="expression" dxfId="6" priority="2153" stopIfTrue="1">
      <formula>OR($A398="audio audit", $A398="text audit", $A398="speed violations count", $A398="speed violations list", $A398="speed violations audit")</formula>
    </cfRule>
  </conditionalFormatting>
  <conditionalFormatting sqref="B398:C401 D398:E401">
    <cfRule type="expression" dxfId="32" priority="2154" stopIfTrue="1">
      <formula>$A398="file"</formula>
    </cfRule>
  </conditionalFormatting>
  <conditionalFormatting sqref="B398:C401 D398:E401">
    <cfRule type="expression" dxfId="7" priority="2155" stopIfTrue="1">
      <formula>$A398="note"</formula>
    </cfRule>
  </conditionalFormatting>
  <conditionalFormatting sqref="B398:C401 D398:E401">
    <cfRule type="expression" dxfId="8" priority="2156" stopIfTrue="1">
      <formula>$A398="barcode"</formula>
    </cfRule>
  </conditionalFormatting>
  <conditionalFormatting sqref="B398:C401 D398:E401">
    <cfRule type="expression" dxfId="9" priority="2157" stopIfTrue="1">
      <formula>OR($A398="geopoint", $A398="geoshape", $A398="geotrace")</formula>
    </cfRule>
  </conditionalFormatting>
  <conditionalFormatting sqref="B398:B401">
    <cfRule type="expression" dxfId="10" priority="2158" stopIfTrue="1">
      <formula>OR($A398="calculate", $A398="calculate_here")</formula>
    </cfRule>
  </conditionalFormatting>
  <conditionalFormatting sqref="B398:C401 D398:E401">
    <cfRule type="expression" dxfId="11" priority="2159" stopIfTrue="1">
      <formula>OR($A398="date", $A398="datetime", $A398="time")</formula>
    </cfRule>
  </conditionalFormatting>
  <conditionalFormatting sqref="B398:C401 D398:E401">
    <cfRule type="expression" dxfId="12" priority="2160" stopIfTrue="1">
      <formula>$A398="image"</formula>
    </cfRule>
  </conditionalFormatting>
  <conditionalFormatting sqref="B398:C401 D398:E401">
    <cfRule type="expression" dxfId="13" priority="2161" stopIfTrue="1">
      <formula>OR($A398="audio", $A398="video")</formula>
    </cfRule>
  </conditionalFormatting>
  <conditionalFormatting sqref="B398:E401">
    <cfRule type="expression" dxfId="33" priority="2162" stopIfTrue="1">
      <formula>$A398="file"</formula>
    </cfRule>
  </conditionalFormatting>
  <conditionalFormatting sqref="B398:E401">
    <cfRule type="expression" dxfId="34" priority="2163" stopIfTrue="1">
      <formula>$A398="enumerator"</formula>
    </cfRule>
  </conditionalFormatting>
  <conditionalFormatting sqref="B398:E401">
    <cfRule type="expression" dxfId="35" priority="2164" stopIfTrue="1">
      <formula>OR(AND(LEFT($A398, 14)="sensor_stream ", LEN($A398)&gt;14, NOT(ISNUMBER(SEARCH(" ", $A398, 15)))), AND(LEFT($A398, 17)="sensor_statistic ", LEN($A398)&gt;17, NOT(ISNUMBER(SEARCH(" ", $A398, 18)))))</formula>
    </cfRule>
  </conditionalFormatting>
  <conditionalFormatting sqref="B398:E401">
    <cfRule type="expression" dxfId="14" priority="2165" stopIfTrue="1">
      <formula>$A398="comments"</formula>
    </cfRule>
  </conditionalFormatting>
  <conditionalFormatting sqref="B398:E401">
    <cfRule type="expression" dxfId="15" priority="2166" stopIfTrue="1">
      <formula>OR($A398="audio", $A398="video")</formula>
    </cfRule>
  </conditionalFormatting>
  <conditionalFormatting sqref="B398:E401">
    <cfRule type="expression" dxfId="16" priority="2167" stopIfTrue="1">
      <formula>$A398="image"</formula>
    </cfRule>
  </conditionalFormatting>
  <conditionalFormatting sqref="B398:E401">
    <cfRule type="expression" dxfId="17" priority="2168" stopIfTrue="1">
      <formula>OR($A398="date", $A398="datetime", $A398="time")</formula>
    </cfRule>
  </conditionalFormatting>
  <conditionalFormatting sqref="B398:E401">
    <cfRule type="expression" dxfId="18" priority="2169" stopIfTrue="1">
      <formula>OR($A398="calculate", $A398="calculate_here")</formula>
    </cfRule>
  </conditionalFormatting>
  <conditionalFormatting sqref="B398:E401">
    <cfRule type="expression" dxfId="19" priority="2170" stopIfTrue="1">
      <formula>$A398="note"</formula>
    </cfRule>
  </conditionalFormatting>
  <conditionalFormatting sqref="B398:E401">
    <cfRule type="expression" dxfId="20" priority="2171" stopIfTrue="1">
      <formula>$A398="barcode"</formula>
    </cfRule>
  </conditionalFormatting>
  <conditionalFormatting sqref="B398:E401">
    <cfRule type="expression" dxfId="21" priority="2172" stopIfTrue="1">
      <formula>OR($A398="geopoint", $A398="geoshape", $A398="geotrace")</formula>
    </cfRule>
  </conditionalFormatting>
  <conditionalFormatting sqref="B398:E401">
    <cfRule type="expression" dxfId="22" priority="2173" stopIfTrue="1">
      <formula>OR($A398="audio audit", $A398="text audit", $A398="speed violations count", $A398="speed violations list", $A398="speed violations audit")</formula>
    </cfRule>
  </conditionalFormatting>
  <conditionalFormatting sqref="B398:E401">
    <cfRule type="expression" dxfId="23" priority="2174" stopIfTrue="1">
      <formula>OR($A398="username", $A398="phonenumber", $A398="start", $A398="end", $A398="deviceid", $A398="subscriberid", $A398="simserial", $A398="caseid")</formula>
    </cfRule>
  </conditionalFormatting>
  <conditionalFormatting sqref="B398:E401">
    <cfRule type="expression" dxfId="24" priority="2175" stopIfTrue="1">
      <formula>OR(AND(LEFT($A398, 16)="select_multiple ", LEN($A398)&gt;16, NOT(ISNUMBER(SEARCH(" ", $A398, 17)))), AND(LEFT($A398, 11)="select_one ", LEN($A398)&gt;11, NOT(ISNUMBER(SEARCH(" ", $A398, 12)))))</formula>
    </cfRule>
  </conditionalFormatting>
  <conditionalFormatting sqref="B398:E401">
    <cfRule type="expression" dxfId="25" priority="2176" stopIfTrue="1">
      <formula>$A398="decimal"</formula>
    </cfRule>
  </conditionalFormatting>
  <conditionalFormatting sqref="B398:E401">
    <cfRule type="expression" dxfId="26" priority="2177" stopIfTrue="1">
      <formula>$A398="integer"</formula>
    </cfRule>
  </conditionalFormatting>
  <conditionalFormatting sqref="B398:E401">
    <cfRule type="expression" dxfId="27" priority="2178" stopIfTrue="1">
      <formula>$A398="text"</formula>
    </cfRule>
  </conditionalFormatting>
  <conditionalFormatting sqref="B398:E401">
    <cfRule type="expression" dxfId="28" priority="2179" stopIfTrue="1">
      <formula>$A398="end repeat"</formula>
    </cfRule>
  </conditionalFormatting>
  <conditionalFormatting sqref="B398:E401">
    <cfRule type="expression" dxfId="28" priority="2180" stopIfTrue="1">
      <formula>$A398="begin repeat"</formula>
    </cfRule>
  </conditionalFormatting>
  <conditionalFormatting sqref="B398:E401">
    <cfRule type="expression" dxfId="29" priority="2181" stopIfTrue="1">
      <formula>$A398="end group"</formula>
    </cfRule>
  </conditionalFormatting>
  <conditionalFormatting sqref="B398:E401">
    <cfRule type="expression" dxfId="29" priority="2182" stopIfTrue="1">
      <formula>$A398="begin group"</formula>
    </cfRule>
  </conditionalFormatting>
  <conditionalFormatting sqref="B398:B401">
    <cfRule type="expression" dxfId="30" priority="2183" stopIfTrue="1">
      <formula>$A398="comments"</formula>
    </cfRule>
  </conditionalFormatting>
  <conditionalFormatting sqref="B398:B401">
    <cfRule type="expression" dxfId="36" priority="2184" stopIfTrue="1">
      <formula>OR(AND(LEFT($A398, 14)="sensor_stream ", LEN($A398)&gt;14, NOT(ISNUMBER(SEARCH(" ", $A398, 15)))), AND(LEFT($A398, 17)="sensor_statistic ", LEN($A398)&gt;17, NOT(ISNUMBER(SEARCH(" ", $A398, 18)))))</formula>
    </cfRule>
  </conditionalFormatting>
  <conditionalFormatting sqref="B382:C394 D382:E394">
    <cfRule type="expression" dxfId="0" priority="2185" stopIfTrue="1">
      <formula>$A382="begin group"</formula>
    </cfRule>
  </conditionalFormatting>
  <conditionalFormatting sqref="B382:C394 D382:E394">
    <cfRule type="expression" dxfId="1" priority="2186" stopIfTrue="1">
      <formula>$A382="begin repeat"</formula>
    </cfRule>
  </conditionalFormatting>
  <conditionalFormatting sqref="B382:E394">
    <cfRule type="expression" dxfId="31" priority="2187" stopIfTrue="1">
      <formula>$A382="enumerator"</formula>
    </cfRule>
  </conditionalFormatting>
  <conditionalFormatting sqref="B382:E394">
    <cfRule type="expression" dxfId="2" priority="2188" stopIfTrue="1">
      <formula>$A382="text"</formula>
    </cfRule>
  </conditionalFormatting>
  <conditionalFormatting sqref="B382:E394">
    <cfRule type="expression" dxfId="3" priority="2189" stopIfTrue="1">
      <formula>$A382="integer"</formula>
    </cfRule>
  </conditionalFormatting>
  <conditionalFormatting sqref="B382:E394">
    <cfRule type="expression" dxfId="4" priority="2190" stopIfTrue="1">
      <formula>$A382="decimal"</formula>
    </cfRule>
  </conditionalFormatting>
  <conditionalFormatting sqref="B382:C394 D382:E394">
    <cfRule type="expression" dxfId="5" priority="2191" stopIfTrue="1">
      <formula>OR(AND(LEFT($A382, 16)="select_multiple ", LEN($A382)&gt;16, NOT(ISNUMBER(SEARCH(" ", $A382, 17)))), AND(LEFT($A382, 11)="select_one ", LEN($A382)&gt;11, NOT(ISNUMBER(SEARCH(" ", $A382, 12)))))</formula>
    </cfRule>
  </conditionalFormatting>
  <conditionalFormatting sqref="B382:B394">
    <cfRule type="expression" dxfId="6" priority="2192" stopIfTrue="1">
      <formula>OR($A382="audio audit", $A382="text audit", $A382="speed violations count", $A382="speed violations list", $A382="speed violations audit")</formula>
    </cfRule>
  </conditionalFormatting>
  <conditionalFormatting sqref="B382:C394 D382:E394">
    <cfRule type="expression" dxfId="32" priority="2193" stopIfTrue="1">
      <formula>$A382="file"</formula>
    </cfRule>
  </conditionalFormatting>
  <conditionalFormatting sqref="B382:C394 D382:E394">
    <cfRule type="expression" dxfId="7" priority="2194" stopIfTrue="1">
      <formula>$A382="note"</formula>
    </cfRule>
  </conditionalFormatting>
  <conditionalFormatting sqref="B382:C394 D382:E394">
    <cfRule type="expression" dxfId="8" priority="2195" stopIfTrue="1">
      <formula>$A382="barcode"</formula>
    </cfRule>
  </conditionalFormatting>
  <conditionalFormatting sqref="B382:C394 D382:E394">
    <cfRule type="expression" dxfId="9" priority="2196" stopIfTrue="1">
      <formula>OR($A382="geopoint", $A382="geoshape", $A382="geotrace")</formula>
    </cfRule>
  </conditionalFormatting>
  <conditionalFormatting sqref="B382:B394">
    <cfRule type="expression" dxfId="10" priority="2197" stopIfTrue="1">
      <formula>OR($A382="calculate", $A382="calculate_here")</formula>
    </cfRule>
  </conditionalFormatting>
  <conditionalFormatting sqref="B382:C394 D382:E394">
    <cfRule type="expression" dxfId="11" priority="2198" stopIfTrue="1">
      <formula>OR($A382="date", $A382="datetime", $A382="time")</formula>
    </cfRule>
  </conditionalFormatting>
  <conditionalFormatting sqref="B382:C394 D382:E394">
    <cfRule type="expression" dxfId="12" priority="2199" stopIfTrue="1">
      <formula>$A382="image"</formula>
    </cfRule>
  </conditionalFormatting>
  <conditionalFormatting sqref="B382:C394 D382:E394">
    <cfRule type="expression" dxfId="13" priority="2200" stopIfTrue="1">
      <formula>OR($A382="audio", $A382="video")</formula>
    </cfRule>
  </conditionalFormatting>
  <conditionalFormatting sqref="B382:E394">
    <cfRule type="expression" dxfId="33" priority="2201" stopIfTrue="1">
      <formula>$A382="file"</formula>
    </cfRule>
  </conditionalFormatting>
  <conditionalFormatting sqref="B382:E394">
    <cfRule type="expression" dxfId="34" priority="2202" stopIfTrue="1">
      <formula>$A382="enumerator"</formula>
    </cfRule>
  </conditionalFormatting>
  <conditionalFormatting sqref="B382:E394">
    <cfRule type="expression" dxfId="35" priority="2203" stopIfTrue="1">
      <formula>OR(AND(LEFT($A382, 14)="sensor_stream ", LEN($A382)&gt;14, NOT(ISNUMBER(SEARCH(" ", $A382, 15)))), AND(LEFT($A382, 17)="sensor_statistic ", LEN($A382)&gt;17, NOT(ISNUMBER(SEARCH(" ", $A382, 18)))))</formula>
    </cfRule>
  </conditionalFormatting>
  <conditionalFormatting sqref="B382:E394">
    <cfRule type="expression" dxfId="14" priority="2204" stopIfTrue="1">
      <formula>$A382="comments"</formula>
    </cfRule>
  </conditionalFormatting>
  <conditionalFormatting sqref="B382:E394">
    <cfRule type="expression" dxfId="15" priority="2205" stopIfTrue="1">
      <formula>OR($A382="audio", $A382="video")</formula>
    </cfRule>
  </conditionalFormatting>
  <conditionalFormatting sqref="B382:E394">
    <cfRule type="expression" dxfId="16" priority="2206" stopIfTrue="1">
      <formula>$A382="image"</formula>
    </cfRule>
  </conditionalFormatting>
  <conditionalFormatting sqref="B382:E394">
    <cfRule type="expression" dxfId="17" priority="2207" stopIfTrue="1">
      <formula>OR($A382="date", $A382="datetime", $A382="time")</formula>
    </cfRule>
  </conditionalFormatting>
  <conditionalFormatting sqref="B382:E394">
    <cfRule type="expression" dxfId="18" priority="2208" stopIfTrue="1">
      <formula>OR($A382="calculate", $A382="calculate_here")</formula>
    </cfRule>
  </conditionalFormatting>
  <conditionalFormatting sqref="B382:E394">
    <cfRule type="expression" dxfId="19" priority="2209" stopIfTrue="1">
      <formula>$A382="note"</formula>
    </cfRule>
  </conditionalFormatting>
  <conditionalFormatting sqref="B382:E394">
    <cfRule type="expression" dxfId="20" priority="2210" stopIfTrue="1">
      <formula>$A382="barcode"</formula>
    </cfRule>
  </conditionalFormatting>
  <conditionalFormatting sqref="B382:E394">
    <cfRule type="expression" dxfId="21" priority="2211" stopIfTrue="1">
      <formula>OR($A382="geopoint", $A382="geoshape", $A382="geotrace")</formula>
    </cfRule>
  </conditionalFormatting>
  <conditionalFormatting sqref="B382:E394">
    <cfRule type="expression" dxfId="22" priority="2212" stopIfTrue="1">
      <formula>OR($A382="audio audit", $A382="text audit", $A382="speed violations count", $A382="speed violations list", $A382="speed violations audit")</formula>
    </cfRule>
  </conditionalFormatting>
  <conditionalFormatting sqref="B382:E394">
    <cfRule type="expression" dxfId="23" priority="2213" stopIfTrue="1">
      <formula>OR($A382="username", $A382="phonenumber", $A382="start", $A382="end", $A382="deviceid", $A382="subscriberid", $A382="simserial", $A382="caseid")</formula>
    </cfRule>
  </conditionalFormatting>
  <conditionalFormatting sqref="B382:E394">
    <cfRule type="expression" dxfId="24" priority="2214" stopIfTrue="1">
      <formula>OR(AND(LEFT($A382, 16)="select_multiple ", LEN($A382)&gt;16, NOT(ISNUMBER(SEARCH(" ", $A382, 17)))), AND(LEFT($A382, 11)="select_one ", LEN($A382)&gt;11, NOT(ISNUMBER(SEARCH(" ", $A382, 12)))))</formula>
    </cfRule>
  </conditionalFormatting>
  <conditionalFormatting sqref="B382:E394">
    <cfRule type="expression" dxfId="25" priority="2215" stopIfTrue="1">
      <formula>$A382="decimal"</formula>
    </cfRule>
  </conditionalFormatting>
  <conditionalFormatting sqref="B382:E394">
    <cfRule type="expression" dxfId="26" priority="2216" stopIfTrue="1">
      <formula>$A382="integer"</formula>
    </cfRule>
  </conditionalFormatting>
  <conditionalFormatting sqref="B382:E394">
    <cfRule type="expression" dxfId="27" priority="2217" stopIfTrue="1">
      <formula>$A382="text"</formula>
    </cfRule>
  </conditionalFormatting>
  <conditionalFormatting sqref="B382:E394">
    <cfRule type="expression" dxfId="28" priority="2218" stopIfTrue="1">
      <formula>$A382="end repeat"</formula>
    </cfRule>
  </conditionalFormatting>
  <conditionalFormatting sqref="B382:E394">
    <cfRule type="expression" dxfId="28" priority="2219" stopIfTrue="1">
      <formula>$A382="begin repeat"</formula>
    </cfRule>
  </conditionalFormatting>
  <conditionalFormatting sqref="B382:E394">
    <cfRule type="expression" dxfId="29" priority="2220" stopIfTrue="1">
      <formula>$A382="end group"</formula>
    </cfRule>
  </conditionalFormatting>
  <conditionalFormatting sqref="B382:E394">
    <cfRule type="expression" dxfId="29" priority="2221" stopIfTrue="1">
      <formula>$A382="begin group"</formula>
    </cfRule>
  </conditionalFormatting>
  <conditionalFormatting sqref="B382:B394">
    <cfRule type="expression" dxfId="30" priority="2222" stopIfTrue="1">
      <formula>$A382="comments"</formula>
    </cfRule>
  </conditionalFormatting>
  <conditionalFormatting sqref="B382:B394">
    <cfRule type="expression" dxfId="36" priority="2223" stopIfTrue="1">
      <formula>OR(AND(LEFT($A382, 14)="sensor_stream ", LEN($A382)&gt;14, NOT(ISNUMBER(SEARCH(" ", $A382, 15)))), AND(LEFT($A382, 17)="sensor_statistic ", LEN($A382)&gt;17, NOT(ISNUMBER(SEARCH(" ", $A382, 18)))))</formula>
    </cfRule>
  </conditionalFormatting>
  <conditionalFormatting sqref="B366:C380 D366:E380">
    <cfRule type="expression" dxfId="0" priority="2224" stopIfTrue="1">
      <formula>$A366="begin group"</formula>
    </cfRule>
  </conditionalFormatting>
  <conditionalFormatting sqref="B366:C380 D366:E380">
    <cfRule type="expression" dxfId="1" priority="2225" stopIfTrue="1">
      <formula>$A366="begin repeat"</formula>
    </cfRule>
  </conditionalFormatting>
  <conditionalFormatting sqref="B366:E380">
    <cfRule type="expression" dxfId="31" priority="2226" stopIfTrue="1">
      <formula>$A366="enumerator"</formula>
    </cfRule>
  </conditionalFormatting>
  <conditionalFormatting sqref="B366:E380">
    <cfRule type="expression" dxfId="2" priority="2227" stopIfTrue="1">
      <formula>$A366="text"</formula>
    </cfRule>
  </conditionalFormatting>
  <conditionalFormatting sqref="B366:E380">
    <cfRule type="expression" dxfId="3" priority="2228" stopIfTrue="1">
      <formula>$A366="integer"</formula>
    </cfRule>
  </conditionalFormatting>
  <conditionalFormatting sqref="B366:E380">
    <cfRule type="expression" dxfId="4" priority="2229" stopIfTrue="1">
      <formula>$A366="decimal"</formula>
    </cfRule>
  </conditionalFormatting>
  <conditionalFormatting sqref="B366:C380 D366:E380">
    <cfRule type="expression" dxfId="5" priority="2230" stopIfTrue="1">
      <formula>OR(AND(LEFT($A366, 16)="select_multiple ", LEN($A366)&gt;16, NOT(ISNUMBER(SEARCH(" ", $A366, 17)))), AND(LEFT($A366, 11)="select_one ", LEN($A366)&gt;11, NOT(ISNUMBER(SEARCH(" ", $A366, 12)))))</formula>
    </cfRule>
  </conditionalFormatting>
  <conditionalFormatting sqref="B366:B380">
    <cfRule type="expression" dxfId="6" priority="2231" stopIfTrue="1">
      <formula>OR($A366="audio audit", $A366="text audit", $A366="speed violations count", $A366="speed violations list", $A366="speed violations audit")</formula>
    </cfRule>
  </conditionalFormatting>
  <conditionalFormatting sqref="B366:C380 D366:E380">
    <cfRule type="expression" dxfId="32" priority="2232" stopIfTrue="1">
      <formula>$A366="file"</formula>
    </cfRule>
  </conditionalFormatting>
  <conditionalFormatting sqref="B366:C380 D366:E380">
    <cfRule type="expression" dxfId="7" priority="2233" stopIfTrue="1">
      <formula>$A366="note"</formula>
    </cfRule>
  </conditionalFormatting>
  <conditionalFormatting sqref="B366:C380 D366:E380">
    <cfRule type="expression" dxfId="8" priority="2234" stopIfTrue="1">
      <formula>$A366="barcode"</formula>
    </cfRule>
  </conditionalFormatting>
  <conditionalFormatting sqref="B366:C380 D366:E380">
    <cfRule type="expression" dxfId="9" priority="2235" stopIfTrue="1">
      <formula>OR($A366="geopoint", $A366="geoshape", $A366="geotrace")</formula>
    </cfRule>
  </conditionalFormatting>
  <conditionalFormatting sqref="B366:B380">
    <cfRule type="expression" dxfId="10" priority="2236" stopIfTrue="1">
      <formula>OR($A366="calculate", $A366="calculate_here")</formula>
    </cfRule>
  </conditionalFormatting>
  <conditionalFormatting sqref="B366:C380 D366:E380">
    <cfRule type="expression" dxfId="11" priority="2237" stopIfTrue="1">
      <formula>OR($A366="date", $A366="datetime", $A366="time")</formula>
    </cfRule>
  </conditionalFormatting>
  <conditionalFormatting sqref="B366:C380 D366:E380">
    <cfRule type="expression" dxfId="12" priority="2238" stopIfTrue="1">
      <formula>$A366="image"</formula>
    </cfRule>
  </conditionalFormatting>
  <conditionalFormatting sqref="B366:C380 D366:E380">
    <cfRule type="expression" dxfId="13" priority="2239" stopIfTrue="1">
      <formula>OR($A366="audio", $A366="video")</formula>
    </cfRule>
  </conditionalFormatting>
  <conditionalFormatting sqref="B366:E380">
    <cfRule type="expression" dxfId="33" priority="2240" stopIfTrue="1">
      <formula>$A366="file"</formula>
    </cfRule>
  </conditionalFormatting>
  <conditionalFormatting sqref="B366:E380">
    <cfRule type="expression" dxfId="34" priority="2241" stopIfTrue="1">
      <formula>$A366="enumerator"</formula>
    </cfRule>
  </conditionalFormatting>
  <conditionalFormatting sqref="B366:E380">
    <cfRule type="expression" dxfId="35" priority="2242" stopIfTrue="1">
      <formula>OR(AND(LEFT($A366, 14)="sensor_stream ", LEN($A366)&gt;14, NOT(ISNUMBER(SEARCH(" ", $A366, 15)))), AND(LEFT($A366, 17)="sensor_statistic ", LEN($A366)&gt;17, NOT(ISNUMBER(SEARCH(" ", $A366, 18)))))</formula>
    </cfRule>
  </conditionalFormatting>
  <conditionalFormatting sqref="B366:E380">
    <cfRule type="expression" dxfId="14" priority="2243" stopIfTrue="1">
      <formula>$A366="comments"</formula>
    </cfRule>
  </conditionalFormatting>
  <conditionalFormatting sqref="B366:E380">
    <cfRule type="expression" dxfId="15" priority="2244" stopIfTrue="1">
      <formula>OR($A366="audio", $A366="video")</formula>
    </cfRule>
  </conditionalFormatting>
  <conditionalFormatting sqref="B366:E380">
    <cfRule type="expression" dxfId="16" priority="2245" stopIfTrue="1">
      <formula>$A366="image"</formula>
    </cfRule>
  </conditionalFormatting>
  <conditionalFormatting sqref="B366:E380">
    <cfRule type="expression" dxfId="17" priority="2246" stopIfTrue="1">
      <formula>OR($A366="date", $A366="datetime", $A366="time")</formula>
    </cfRule>
  </conditionalFormatting>
  <conditionalFormatting sqref="B366:E380">
    <cfRule type="expression" dxfId="18" priority="2247" stopIfTrue="1">
      <formula>OR($A366="calculate", $A366="calculate_here")</formula>
    </cfRule>
  </conditionalFormatting>
  <conditionalFormatting sqref="B366:E380">
    <cfRule type="expression" dxfId="19" priority="2248" stopIfTrue="1">
      <formula>$A366="note"</formula>
    </cfRule>
  </conditionalFormatting>
  <conditionalFormatting sqref="B366:E380">
    <cfRule type="expression" dxfId="20" priority="2249" stopIfTrue="1">
      <formula>$A366="barcode"</formula>
    </cfRule>
  </conditionalFormatting>
  <conditionalFormatting sqref="B366:E380">
    <cfRule type="expression" dxfId="21" priority="2250" stopIfTrue="1">
      <formula>OR($A366="geopoint", $A366="geoshape", $A366="geotrace")</formula>
    </cfRule>
  </conditionalFormatting>
  <conditionalFormatting sqref="B366:E380">
    <cfRule type="expression" dxfId="22" priority="2251" stopIfTrue="1">
      <formula>OR($A366="audio audit", $A366="text audit", $A366="speed violations count", $A366="speed violations list", $A366="speed violations audit")</formula>
    </cfRule>
  </conditionalFormatting>
  <conditionalFormatting sqref="B366:E380">
    <cfRule type="expression" dxfId="23" priority="2252" stopIfTrue="1">
      <formula>OR($A366="username", $A366="phonenumber", $A366="start", $A366="end", $A366="deviceid", $A366="subscriberid", $A366="simserial", $A366="caseid")</formula>
    </cfRule>
  </conditionalFormatting>
  <conditionalFormatting sqref="B366:E380">
    <cfRule type="expression" dxfId="24" priority="2253" stopIfTrue="1">
      <formula>OR(AND(LEFT($A366, 16)="select_multiple ", LEN($A366)&gt;16, NOT(ISNUMBER(SEARCH(" ", $A366, 17)))), AND(LEFT($A366, 11)="select_one ", LEN($A366)&gt;11, NOT(ISNUMBER(SEARCH(" ", $A366, 12)))))</formula>
    </cfRule>
  </conditionalFormatting>
  <conditionalFormatting sqref="B366:E380">
    <cfRule type="expression" dxfId="25" priority="2254" stopIfTrue="1">
      <formula>$A366="decimal"</formula>
    </cfRule>
  </conditionalFormatting>
  <conditionalFormatting sqref="B366:E380">
    <cfRule type="expression" dxfId="26" priority="2255" stopIfTrue="1">
      <formula>$A366="integer"</formula>
    </cfRule>
  </conditionalFormatting>
  <conditionalFormatting sqref="B366:E380">
    <cfRule type="expression" dxfId="27" priority="2256" stopIfTrue="1">
      <formula>$A366="text"</formula>
    </cfRule>
  </conditionalFormatting>
  <conditionalFormatting sqref="B366:E380">
    <cfRule type="expression" dxfId="28" priority="2257" stopIfTrue="1">
      <formula>$A366="end repeat"</formula>
    </cfRule>
  </conditionalFormatting>
  <conditionalFormatting sqref="B366:E380">
    <cfRule type="expression" dxfId="28" priority="2258" stopIfTrue="1">
      <formula>$A366="begin repeat"</formula>
    </cfRule>
  </conditionalFormatting>
  <conditionalFormatting sqref="B366:E380">
    <cfRule type="expression" dxfId="29" priority="2259" stopIfTrue="1">
      <formula>$A366="end group"</formula>
    </cfRule>
  </conditionalFormatting>
  <conditionalFormatting sqref="B366:E380">
    <cfRule type="expression" dxfId="29" priority="2260" stopIfTrue="1">
      <formula>$A366="begin group"</formula>
    </cfRule>
  </conditionalFormatting>
  <conditionalFormatting sqref="B366:B380">
    <cfRule type="expression" dxfId="30" priority="2261" stopIfTrue="1">
      <formula>$A366="comments"</formula>
    </cfRule>
  </conditionalFormatting>
  <conditionalFormatting sqref="B366:B380">
    <cfRule type="expression" dxfId="36" priority="2262" stopIfTrue="1">
      <formula>OR(AND(LEFT($A366, 14)="sensor_stream ", LEN($A366)&gt;14, NOT(ISNUMBER(SEARCH(" ", $A366, 15)))), AND(LEFT($A366, 17)="sensor_statistic ", LEN($A366)&gt;17, NOT(ISNUMBER(SEARCH(" ", $A366, 18)))))</formula>
    </cfRule>
  </conditionalFormatting>
  <conditionalFormatting sqref="B352:C352 D352:E352">
    <cfRule type="expression" dxfId="0" priority="2263" stopIfTrue="1">
      <formula>$A352="begin group"</formula>
    </cfRule>
  </conditionalFormatting>
  <conditionalFormatting sqref="B352:C352 D352:E352">
    <cfRule type="expression" dxfId="1" priority="2264" stopIfTrue="1">
      <formula>$A352="begin repeat"</formula>
    </cfRule>
  </conditionalFormatting>
  <conditionalFormatting sqref="B352:E352">
    <cfRule type="expression" dxfId="31" priority="2265" stopIfTrue="1">
      <formula>$A352="enumerator"</formula>
    </cfRule>
  </conditionalFormatting>
  <conditionalFormatting sqref="B352:E352">
    <cfRule type="expression" dxfId="2" priority="2266" stopIfTrue="1">
      <formula>$A352="text"</formula>
    </cfRule>
  </conditionalFormatting>
  <conditionalFormatting sqref="B352:E352">
    <cfRule type="expression" dxfId="3" priority="2267" stopIfTrue="1">
      <formula>$A352="integer"</formula>
    </cfRule>
  </conditionalFormatting>
  <conditionalFormatting sqref="B352:E352">
    <cfRule type="expression" dxfId="4" priority="2268" stopIfTrue="1">
      <formula>$A352="decimal"</formula>
    </cfRule>
  </conditionalFormatting>
  <conditionalFormatting sqref="B352:C352 D352:E352">
    <cfRule type="expression" dxfId="5" priority="2269" stopIfTrue="1">
      <formula>OR(AND(LEFT($A352, 16)="select_multiple ", LEN($A352)&gt;16, NOT(ISNUMBER(SEARCH(" ", $A352, 17)))), AND(LEFT($A352, 11)="select_one ", LEN($A352)&gt;11, NOT(ISNUMBER(SEARCH(" ", $A352, 12)))))</formula>
    </cfRule>
  </conditionalFormatting>
  <conditionalFormatting sqref="B352">
    <cfRule type="expression" dxfId="6" priority="2270" stopIfTrue="1">
      <formula>OR($A352="audio audit", $A352="text audit", $A352="speed violations count", $A352="speed violations list", $A352="speed violations audit")</formula>
    </cfRule>
  </conditionalFormatting>
  <conditionalFormatting sqref="B352:C352 D352:E352">
    <cfRule type="expression" dxfId="32" priority="2271" stopIfTrue="1">
      <formula>$A352="file"</formula>
    </cfRule>
  </conditionalFormatting>
  <conditionalFormatting sqref="B352:C352 D352:E352">
    <cfRule type="expression" dxfId="7" priority="2272" stopIfTrue="1">
      <formula>$A352="note"</formula>
    </cfRule>
  </conditionalFormatting>
  <conditionalFormatting sqref="B352:C352 D352:E352">
    <cfRule type="expression" dxfId="8" priority="2273" stopIfTrue="1">
      <formula>$A352="barcode"</formula>
    </cfRule>
  </conditionalFormatting>
  <conditionalFormatting sqref="B352:C352 D352:E352">
    <cfRule type="expression" dxfId="9" priority="2274" stopIfTrue="1">
      <formula>OR($A352="geopoint", $A352="geoshape", $A352="geotrace")</formula>
    </cfRule>
  </conditionalFormatting>
  <conditionalFormatting sqref="B352">
    <cfRule type="expression" dxfId="10" priority="2275" stopIfTrue="1">
      <formula>OR($A352="calculate", $A352="calculate_here")</formula>
    </cfRule>
  </conditionalFormatting>
  <conditionalFormatting sqref="B352:C352 D352:E352">
    <cfRule type="expression" dxfId="11" priority="2276" stopIfTrue="1">
      <formula>OR($A352="date", $A352="datetime", $A352="time")</formula>
    </cfRule>
  </conditionalFormatting>
  <conditionalFormatting sqref="B352:C352 D352:E352">
    <cfRule type="expression" dxfId="12" priority="2277" stopIfTrue="1">
      <formula>$A352="image"</formula>
    </cfRule>
  </conditionalFormatting>
  <conditionalFormatting sqref="B352:C352 D352:E352">
    <cfRule type="expression" dxfId="13" priority="2278" stopIfTrue="1">
      <formula>OR($A352="audio", $A352="video")</formula>
    </cfRule>
  </conditionalFormatting>
  <conditionalFormatting sqref="B352:E352">
    <cfRule type="expression" dxfId="33" priority="2279" stopIfTrue="1">
      <formula>$A352="file"</formula>
    </cfRule>
  </conditionalFormatting>
  <conditionalFormatting sqref="B352:E352">
    <cfRule type="expression" dxfId="34" priority="2280" stopIfTrue="1">
      <formula>$A352="enumerator"</formula>
    </cfRule>
  </conditionalFormatting>
  <conditionalFormatting sqref="B352:E352">
    <cfRule type="expression" dxfId="35" priority="2281" stopIfTrue="1">
      <formula>OR(AND(LEFT($A352, 14)="sensor_stream ", LEN($A352)&gt;14, NOT(ISNUMBER(SEARCH(" ", $A352, 15)))), AND(LEFT($A352, 17)="sensor_statistic ", LEN($A352)&gt;17, NOT(ISNUMBER(SEARCH(" ", $A352, 18)))))</formula>
    </cfRule>
  </conditionalFormatting>
  <conditionalFormatting sqref="B352:E352">
    <cfRule type="expression" dxfId="14" priority="2282" stopIfTrue="1">
      <formula>$A352="comments"</formula>
    </cfRule>
  </conditionalFormatting>
  <conditionalFormatting sqref="B352:E352">
    <cfRule type="expression" dxfId="15" priority="2283" stopIfTrue="1">
      <formula>OR($A352="audio", $A352="video")</formula>
    </cfRule>
  </conditionalFormatting>
  <conditionalFormatting sqref="B352:E352">
    <cfRule type="expression" dxfId="16" priority="2284" stopIfTrue="1">
      <formula>$A352="image"</formula>
    </cfRule>
  </conditionalFormatting>
  <conditionalFormatting sqref="B352:E352">
    <cfRule type="expression" dxfId="17" priority="2285" stopIfTrue="1">
      <formula>OR($A352="date", $A352="datetime", $A352="time")</formula>
    </cfRule>
  </conditionalFormatting>
  <conditionalFormatting sqref="B352:E352">
    <cfRule type="expression" dxfId="18" priority="2286" stopIfTrue="1">
      <formula>OR($A352="calculate", $A352="calculate_here")</formula>
    </cfRule>
  </conditionalFormatting>
  <conditionalFormatting sqref="B352:E352">
    <cfRule type="expression" dxfId="19" priority="2287" stopIfTrue="1">
      <formula>$A352="note"</formula>
    </cfRule>
  </conditionalFormatting>
  <conditionalFormatting sqref="B352:E352">
    <cfRule type="expression" dxfId="20" priority="2288" stopIfTrue="1">
      <formula>$A352="barcode"</formula>
    </cfRule>
  </conditionalFormatting>
  <conditionalFormatting sqref="B352:E352">
    <cfRule type="expression" dxfId="21" priority="2289" stopIfTrue="1">
      <formula>OR($A352="geopoint", $A352="geoshape", $A352="geotrace")</formula>
    </cfRule>
  </conditionalFormatting>
  <conditionalFormatting sqref="B352:E352">
    <cfRule type="expression" dxfId="22" priority="2290" stopIfTrue="1">
      <formula>OR($A352="audio audit", $A352="text audit", $A352="speed violations count", $A352="speed violations list", $A352="speed violations audit")</formula>
    </cfRule>
  </conditionalFormatting>
  <conditionalFormatting sqref="B352:E352">
    <cfRule type="expression" dxfId="23" priority="2291" stopIfTrue="1">
      <formula>OR($A352="username", $A352="phonenumber", $A352="start", $A352="end", $A352="deviceid", $A352="subscriberid", $A352="simserial", $A352="caseid")</formula>
    </cfRule>
  </conditionalFormatting>
  <conditionalFormatting sqref="B352:E352">
    <cfRule type="expression" dxfId="24" priority="2292" stopIfTrue="1">
      <formula>OR(AND(LEFT($A352, 16)="select_multiple ", LEN($A352)&gt;16, NOT(ISNUMBER(SEARCH(" ", $A352, 17)))), AND(LEFT($A352, 11)="select_one ", LEN($A352)&gt;11, NOT(ISNUMBER(SEARCH(" ", $A352, 12)))))</formula>
    </cfRule>
  </conditionalFormatting>
  <conditionalFormatting sqref="B352:E352">
    <cfRule type="expression" dxfId="25" priority="2293" stopIfTrue="1">
      <formula>$A352="decimal"</formula>
    </cfRule>
  </conditionalFormatting>
  <conditionalFormatting sqref="B352:E352">
    <cfRule type="expression" dxfId="26" priority="2294" stopIfTrue="1">
      <formula>$A352="integer"</formula>
    </cfRule>
  </conditionalFormatting>
  <conditionalFormatting sqref="B352:E352">
    <cfRule type="expression" dxfId="27" priority="2295" stopIfTrue="1">
      <formula>$A352="text"</formula>
    </cfRule>
  </conditionalFormatting>
  <conditionalFormatting sqref="B352:E352">
    <cfRule type="expression" dxfId="28" priority="2296" stopIfTrue="1">
      <formula>$A352="end repeat"</formula>
    </cfRule>
  </conditionalFormatting>
  <conditionalFormatting sqref="B352:E352">
    <cfRule type="expression" dxfId="28" priority="2297" stopIfTrue="1">
      <formula>$A352="begin repeat"</formula>
    </cfRule>
  </conditionalFormatting>
  <conditionalFormatting sqref="B352:E352">
    <cfRule type="expression" dxfId="29" priority="2298" stopIfTrue="1">
      <formula>$A352="end group"</formula>
    </cfRule>
  </conditionalFormatting>
  <conditionalFormatting sqref="B352:E352">
    <cfRule type="expression" dxfId="29" priority="2299" stopIfTrue="1">
      <formula>$A352="begin group"</formula>
    </cfRule>
  </conditionalFormatting>
  <conditionalFormatting sqref="B352">
    <cfRule type="expression" dxfId="30" priority="2300" stopIfTrue="1">
      <formula>$A352="comments"</formula>
    </cfRule>
  </conditionalFormatting>
  <conditionalFormatting sqref="B352">
    <cfRule type="expression" dxfId="36" priority="2301" stopIfTrue="1">
      <formula>OR(AND(LEFT($A352, 14)="sensor_stream ", LEN($A352)&gt;14, NOT(ISNUMBER(SEARCH(" ", $A352, 15)))), AND(LEFT($A352, 17)="sensor_statistic ", LEN($A352)&gt;17, NOT(ISNUMBER(SEARCH(" ", $A352, 18)))))</formula>
    </cfRule>
  </conditionalFormatting>
  <conditionalFormatting sqref="B344:C346 D344:E346">
    <cfRule type="expression" dxfId="0" priority="2302" stopIfTrue="1">
      <formula>$A344="begin group"</formula>
    </cfRule>
  </conditionalFormatting>
  <conditionalFormatting sqref="B344:C346 D344:E346">
    <cfRule type="expression" dxfId="1" priority="2303" stopIfTrue="1">
      <formula>$A344="begin repeat"</formula>
    </cfRule>
  </conditionalFormatting>
  <conditionalFormatting sqref="B344:E346">
    <cfRule type="expression" dxfId="31" priority="2304" stopIfTrue="1">
      <formula>$A344="enumerator"</formula>
    </cfRule>
  </conditionalFormatting>
  <conditionalFormatting sqref="B344:E346">
    <cfRule type="expression" dxfId="2" priority="2305" stopIfTrue="1">
      <formula>$A344="text"</formula>
    </cfRule>
  </conditionalFormatting>
  <conditionalFormatting sqref="B344:E346">
    <cfRule type="expression" dxfId="3" priority="2306" stopIfTrue="1">
      <formula>$A344="integer"</formula>
    </cfRule>
  </conditionalFormatting>
  <conditionalFormatting sqref="B344:E346">
    <cfRule type="expression" dxfId="4" priority="2307" stopIfTrue="1">
      <formula>$A344="decimal"</formula>
    </cfRule>
  </conditionalFormatting>
  <conditionalFormatting sqref="B344:C346 D344:E346">
    <cfRule type="expression" dxfId="5" priority="2308" stopIfTrue="1">
      <formula>OR(AND(LEFT($A344, 16)="select_multiple ", LEN($A344)&gt;16, NOT(ISNUMBER(SEARCH(" ", $A344, 17)))), AND(LEFT($A344, 11)="select_one ", LEN($A344)&gt;11, NOT(ISNUMBER(SEARCH(" ", $A344, 12)))))</formula>
    </cfRule>
  </conditionalFormatting>
  <conditionalFormatting sqref="B344:B346">
    <cfRule type="expression" dxfId="6" priority="2309" stopIfTrue="1">
      <formula>OR($A344="audio audit", $A344="text audit", $A344="speed violations count", $A344="speed violations list", $A344="speed violations audit")</formula>
    </cfRule>
  </conditionalFormatting>
  <conditionalFormatting sqref="B344:C346 D344:E346">
    <cfRule type="expression" dxfId="32" priority="2310" stopIfTrue="1">
      <formula>$A344="file"</formula>
    </cfRule>
  </conditionalFormatting>
  <conditionalFormatting sqref="B344:C346 D344:E346">
    <cfRule type="expression" dxfId="7" priority="2311" stopIfTrue="1">
      <formula>$A344="note"</formula>
    </cfRule>
  </conditionalFormatting>
  <conditionalFormatting sqref="B344:C346 D344:E346">
    <cfRule type="expression" dxfId="8" priority="2312" stopIfTrue="1">
      <formula>$A344="barcode"</formula>
    </cfRule>
  </conditionalFormatting>
  <conditionalFormatting sqref="B344:C346 D344:E346">
    <cfRule type="expression" dxfId="9" priority="2313" stopIfTrue="1">
      <formula>OR($A344="geopoint", $A344="geoshape", $A344="geotrace")</formula>
    </cfRule>
  </conditionalFormatting>
  <conditionalFormatting sqref="B344:B346">
    <cfRule type="expression" dxfId="10" priority="2314" stopIfTrue="1">
      <formula>OR($A344="calculate", $A344="calculate_here")</formula>
    </cfRule>
  </conditionalFormatting>
  <conditionalFormatting sqref="B344:C346 D344:E346">
    <cfRule type="expression" dxfId="11" priority="2315" stopIfTrue="1">
      <formula>OR($A344="date", $A344="datetime", $A344="time")</formula>
    </cfRule>
  </conditionalFormatting>
  <conditionalFormatting sqref="B344:C346 D344:E346">
    <cfRule type="expression" dxfId="12" priority="2316" stopIfTrue="1">
      <formula>$A344="image"</formula>
    </cfRule>
  </conditionalFormatting>
  <conditionalFormatting sqref="B344:C346 D344:E346">
    <cfRule type="expression" dxfId="13" priority="2317" stopIfTrue="1">
      <formula>OR($A344="audio", $A344="video")</formula>
    </cfRule>
  </conditionalFormatting>
  <conditionalFormatting sqref="B344:E346">
    <cfRule type="expression" dxfId="33" priority="2318" stopIfTrue="1">
      <formula>$A344="file"</formula>
    </cfRule>
  </conditionalFormatting>
  <conditionalFormatting sqref="B344:E346">
    <cfRule type="expression" dxfId="34" priority="2319" stopIfTrue="1">
      <formula>$A344="enumerator"</formula>
    </cfRule>
  </conditionalFormatting>
  <conditionalFormatting sqref="B344:E346">
    <cfRule type="expression" dxfId="35" priority="2320" stopIfTrue="1">
      <formula>OR(AND(LEFT($A344, 14)="sensor_stream ", LEN($A344)&gt;14, NOT(ISNUMBER(SEARCH(" ", $A344, 15)))), AND(LEFT($A344, 17)="sensor_statistic ", LEN($A344)&gt;17, NOT(ISNUMBER(SEARCH(" ", $A344, 18)))))</formula>
    </cfRule>
  </conditionalFormatting>
  <conditionalFormatting sqref="B344:E346">
    <cfRule type="expression" dxfId="14" priority="2321" stopIfTrue="1">
      <formula>$A344="comments"</formula>
    </cfRule>
  </conditionalFormatting>
  <conditionalFormatting sqref="B344:E346">
    <cfRule type="expression" dxfId="15" priority="2322" stopIfTrue="1">
      <formula>OR($A344="audio", $A344="video")</formula>
    </cfRule>
  </conditionalFormatting>
  <conditionalFormatting sqref="B344:E346">
    <cfRule type="expression" dxfId="16" priority="2323" stopIfTrue="1">
      <formula>$A344="image"</formula>
    </cfRule>
  </conditionalFormatting>
  <conditionalFormatting sqref="B344:E346">
    <cfRule type="expression" dxfId="17" priority="2324" stopIfTrue="1">
      <formula>OR($A344="date", $A344="datetime", $A344="time")</formula>
    </cfRule>
  </conditionalFormatting>
  <conditionalFormatting sqref="B344:E346">
    <cfRule type="expression" dxfId="18" priority="2325" stopIfTrue="1">
      <formula>OR($A344="calculate", $A344="calculate_here")</formula>
    </cfRule>
  </conditionalFormatting>
  <conditionalFormatting sqref="B344:E346">
    <cfRule type="expression" dxfId="19" priority="2326" stopIfTrue="1">
      <formula>$A344="note"</formula>
    </cfRule>
  </conditionalFormatting>
  <conditionalFormatting sqref="B344:E346">
    <cfRule type="expression" dxfId="20" priority="2327" stopIfTrue="1">
      <formula>$A344="barcode"</formula>
    </cfRule>
  </conditionalFormatting>
  <conditionalFormatting sqref="B344:E346">
    <cfRule type="expression" dxfId="21" priority="2328" stopIfTrue="1">
      <formula>OR($A344="geopoint", $A344="geoshape", $A344="geotrace")</formula>
    </cfRule>
  </conditionalFormatting>
  <conditionalFormatting sqref="B344:E346">
    <cfRule type="expression" dxfId="22" priority="2329" stopIfTrue="1">
      <formula>OR($A344="audio audit", $A344="text audit", $A344="speed violations count", $A344="speed violations list", $A344="speed violations audit")</formula>
    </cfRule>
  </conditionalFormatting>
  <conditionalFormatting sqref="B344:E346">
    <cfRule type="expression" dxfId="23" priority="2330" stopIfTrue="1">
      <formula>OR($A344="username", $A344="phonenumber", $A344="start", $A344="end", $A344="deviceid", $A344="subscriberid", $A344="simserial", $A344="caseid")</formula>
    </cfRule>
  </conditionalFormatting>
  <conditionalFormatting sqref="B344:E346">
    <cfRule type="expression" dxfId="24" priority="2331" stopIfTrue="1">
      <formula>OR(AND(LEFT($A344, 16)="select_multiple ", LEN($A344)&gt;16, NOT(ISNUMBER(SEARCH(" ", $A344, 17)))), AND(LEFT($A344, 11)="select_one ", LEN($A344)&gt;11, NOT(ISNUMBER(SEARCH(" ", $A344, 12)))))</formula>
    </cfRule>
  </conditionalFormatting>
  <conditionalFormatting sqref="B344:E346">
    <cfRule type="expression" dxfId="25" priority="2332" stopIfTrue="1">
      <formula>$A344="decimal"</formula>
    </cfRule>
  </conditionalFormatting>
  <conditionalFormatting sqref="B344:E346">
    <cfRule type="expression" dxfId="26" priority="2333" stopIfTrue="1">
      <formula>$A344="integer"</formula>
    </cfRule>
  </conditionalFormatting>
  <conditionalFormatting sqref="B344:E346">
    <cfRule type="expression" dxfId="27" priority="2334" stopIfTrue="1">
      <formula>$A344="text"</formula>
    </cfRule>
  </conditionalFormatting>
  <conditionalFormatting sqref="B344:E346">
    <cfRule type="expression" dxfId="28" priority="2335" stopIfTrue="1">
      <formula>$A344="end repeat"</formula>
    </cfRule>
  </conditionalFormatting>
  <conditionalFormatting sqref="B344:E346">
    <cfRule type="expression" dxfId="28" priority="2336" stopIfTrue="1">
      <formula>$A344="begin repeat"</formula>
    </cfRule>
  </conditionalFormatting>
  <conditionalFormatting sqref="B344:E346">
    <cfRule type="expression" dxfId="29" priority="2337" stopIfTrue="1">
      <formula>$A344="end group"</formula>
    </cfRule>
  </conditionalFormatting>
  <conditionalFormatting sqref="B344:E346">
    <cfRule type="expression" dxfId="29" priority="2338" stopIfTrue="1">
      <formula>$A344="begin group"</formula>
    </cfRule>
  </conditionalFormatting>
  <conditionalFormatting sqref="B344:B346">
    <cfRule type="expression" dxfId="30" priority="2339" stopIfTrue="1">
      <formula>$A344="comments"</formula>
    </cfRule>
  </conditionalFormatting>
  <conditionalFormatting sqref="B344:B346">
    <cfRule type="expression" dxfId="36" priority="2340" stopIfTrue="1">
      <formula>OR(AND(LEFT($A344, 14)="sensor_stream ", LEN($A344)&gt;14, NOT(ISNUMBER(SEARCH(" ", $A344, 15)))), AND(LEFT($A344, 17)="sensor_statistic ", LEN($A344)&gt;17, NOT(ISNUMBER(SEARCH(" ", $A344, 18)))))</formula>
    </cfRule>
  </conditionalFormatting>
  <conditionalFormatting sqref="B340:C341 D340:E341">
    <cfRule type="expression" dxfId="0" priority="2341" stopIfTrue="1">
      <formula>$A340="begin group"</formula>
    </cfRule>
  </conditionalFormatting>
  <conditionalFormatting sqref="B340:C341 D340:E341">
    <cfRule type="expression" dxfId="1" priority="2342" stopIfTrue="1">
      <formula>$A340="begin repeat"</formula>
    </cfRule>
  </conditionalFormatting>
  <conditionalFormatting sqref="B340:E341">
    <cfRule type="expression" dxfId="31" priority="2343" stopIfTrue="1">
      <formula>$A340="enumerator"</formula>
    </cfRule>
  </conditionalFormatting>
  <conditionalFormatting sqref="B340:E341">
    <cfRule type="expression" dxfId="2" priority="2344" stopIfTrue="1">
      <formula>$A340="text"</formula>
    </cfRule>
  </conditionalFormatting>
  <conditionalFormatting sqref="B340:E341">
    <cfRule type="expression" dxfId="3" priority="2345" stopIfTrue="1">
      <formula>$A340="integer"</formula>
    </cfRule>
  </conditionalFormatting>
  <conditionalFormatting sqref="B340:E341">
    <cfRule type="expression" dxfId="4" priority="2346" stopIfTrue="1">
      <formula>$A340="decimal"</formula>
    </cfRule>
  </conditionalFormatting>
  <conditionalFormatting sqref="B340:C341 D340:E341">
    <cfRule type="expression" dxfId="5" priority="2347" stopIfTrue="1">
      <formula>OR(AND(LEFT($A340, 16)="select_multiple ", LEN($A340)&gt;16, NOT(ISNUMBER(SEARCH(" ", $A340, 17)))), AND(LEFT($A340, 11)="select_one ", LEN($A340)&gt;11, NOT(ISNUMBER(SEARCH(" ", $A340, 12)))))</formula>
    </cfRule>
  </conditionalFormatting>
  <conditionalFormatting sqref="B340:B341">
    <cfRule type="expression" dxfId="6" priority="2348" stopIfTrue="1">
      <formula>OR($A340="audio audit", $A340="text audit", $A340="speed violations count", $A340="speed violations list", $A340="speed violations audit")</formula>
    </cfRule>
  </conditionalFormatting>
  <conditionalFormatting sqref="B340:C341 D340:E341">
    <cfRule type="expression" dxfId="32" priority="2349" stopIfTrue="1">
      <formula>$A340="file"</formula>
    </cfRule>
  </conditionalFormatting>
  <conditionalFormatting sqref="B340:C341 D340:E341">
    <cfRule type="expression" dxfId="7" priority="2350" stopIfTrue="1">
      <formula>$A340="note"</formula>
    </cfRule>
  </conditionalFormatting>
  <conditionalFormatting sqref="B340:C341 D340:E341">
    <cfRule type="expression" dxfId="8" priority="2351" stopIfTrue="1">
      <formula>$A340="barcode"</formula>
    </cfRule>
  </conditionalFormatting>
  <conditionalFormatting sqref="B340:C341 D340:E341">
    <cfRule type="expression" dxfId="9" priority="2352" stopIfTrue="1">
      <formula>OR($A340="geopoint", $A340="geoshape", $A340="geotrace")</formula>
    </cfRule>
  </conditionalFormatting>
  <conditionalFormatting sqref="B340:B341">
    <cfRule type="expression" dxfId="10" priority="2353" stopIfTrue="1">
      <formula>OR($A340="calculate", $A340="calculate_here")</formula>
    </cfRule>
  </conditionalFormatting>
  <conditionalFormatting sqref="B340:C341 D340:E341">
    <cfRule type="expression" dxfId="11" priority="2354" stopIfTrue="1">
      <formula>OR($A340="date", $A340="datetime", $A340="time")</formula>
    </cfRule>
  </conditionalFormatting>
  <conditionalFormatting sqref="B340:C341 D340:E341">
    <cfRule type="expression" dxfId="12" priority="2355" stopIfTrue="1">
      <formula>$A340="image"</formula>
    </cfRule>
  </conditionalFormatting>
  <conditionalFormatting sqref="B340:C341 D340:E341">
    <cfRule type="expression" dxfId="13" priority="2356" stopIfTrue="1">
      <formula>OR($A340="audio", $A340="video")</formula>
    </cfRule>
  </conditionalFormatting>
  <conditionalFormatting sqref="B340:E341">
    <cfRule type="expression" dxfId="33" priority="2357" stopIfTrue="1">
      <formula>$A340="file"</formula>
    </cfRule>
  </conditionalFormatting>
  <conditionalFormatting sqref="B340:E341">
    <cfRule type="expression" dxfId="34" priority="2358" stopIfTrue="1">
      <formula>$A340="enumerator"</formula>
    </cfRule>
  </conditionalFormatting>
  <conditionalFormatting sqref="B340:E341">
    <cfRule type="expression" dxfId="35" priority="2359" stopIfTrue="1">
      <formula>OR(AND(LEFT($A340, 14)="sensor_stream ", LEN($A340)&gt;14, NOT(ISNUMBER(SEARCH(" ", $A340, 15)))), AND(LEFT($A340, 17)="sensor_statistic ", LEN($A340)&gt;17, NOT(ISNUMBER(SEARCH(" ", $A340, 18)))))</formula>
    </cfRule>
  </conditionalFormatting>
  <conditionalFormatting sqref="B340:E341">
    <cfRule type="expression" dxfId="14" priority="2360" stopIfTrue="1">
      <formula>$A340="comments"</formula>
    </cfRule>
  </conditionalFormatting>
  <conditionalFormatting sqref="B340:E341">
    <cfRule type="expression" dxfId="15" priority="2361" stopIfTrue="1">
      <formula>OR($A340="audio", $A340="video")</formula>
    </cfRule>
  </conditionalFormatting>
  <conditionalFormatting sqref="B340:E341">
    <cfRule type="expression" dxfId="16" priority="2362" stopIfTrue="1">
      <formula>$A340="image"</formula>
    </cfRule>
  </conditionalFormatting>
  <conditionalFormatting sqref="B340:E341">
    <cfRule type="expression" dxfId="17" priority="2363" stopIfTrue="1">
      <formula>OR($A340="date", $A340="datetime", $A340="time")</formula>
    </cfRule>
  </conditionalFormatting>
  <conditionalFormatting sqref="B340:E341">
    <cfRule type="expression" dxfId="18" priority="2364" stopIfTrue="1">
      <formula>OR($A340="calculate", $A340="calculate_here")</formula>
    </cfRule>
  </conditionalFormatting>
  <conditionalFormatting sqref="B340:E341">
    <cfRule type="expression" dxfId="19" priority="2365" stopIfTrue="1">
      <formula>$A340="note"</formula>
    </cfRule>
  </conditionalFormatting>
  <conditionalFormatting sqref="B340:E341">
    <cfRule type="expression" dxfId="20" priority="2366" stopIfTrue="1">
      <formula>$A340="barcode"</formula>
    </cfRule>
  </conditionalFormatting>
  <conditionalFormatting sqref="B340:E341">
    <cfRule type="expression" dxfId="21" priority="2367" stopIfTrue="1">
      <formula>OR($A340="geopoint", $A340="geoshape", $A340="geotrace")</formula>
    </cfRule>
  </conditionalFormatting>
  <conditionalFormatting sqref="B340:E341">
    <cfRule type="expression" dxfId="22" priority="2368" stopIfTrue="1">
      <formula>OR($A340="audio audit", $A340="text audit", $A340="speed violations count", $A340="speed violations list", $A340="speed violations audit")</formula>
    </cfRule>
  </conditionalFormatting>
  <conditionalFormatting sqref="B340:E341">
    <cfRule type="expression" dxfId="23" priority="2369" stopIfTrue="1">
      <formula>OR($A340="username", $A340="phonenumber", $A340="start", $A340="end", $A340="deviceid", $A340="subscriberid", $A340="simserial", $A340="caseid")</formula>
    </cfRule>
  </conditionalFormatting>
  <conditionalFormatting sqref="B340:E341">
    <cfRule type="expression" dxfId="24" priority="2370" stopIfTrue="1">
      <formula>OR(AND(LEFT($A340, 16)="select_multiple ", LEN($A340)&gt;16, NOT(ISNUMBER(SEARCH(" ", $A340, 17)))), AND(LEFT($A340, 11)="select_one ", LEN($A340)&gt;11, NOT(ISNUMBER(SEARCH(" ", $A340, 12)))))</formula>
    </cfRule>
  </conditionalFormatting>
  <conditionalFormatting sqref="B340:E341">
    <cfRule type="expression" dxfId="25" priority="2371" stopIfTrue="1">
      <formula>$A340="decimal"</formula>
    </cfRule>
  </conditionalFormatting>
  <conditionalFormatting sqref="B340:E341">
    <cfRule type="expression" dxfId="26" priority="2372" stopIfTrue="1">
      <formula>$A340="integer"</formula>
    </cfRule>
  </conditionalFormatting>
  <conditionalFormatting sqref="B340:E341">
    <cfRule type="expression" dxfId="27" priority="2373" stopIfTrue="1">
      <formula>$A340="text"</formula>
    </cfRule>
  </conditionalFormatting>
  <conditionalFormatting sqref="B340:E341">
    <cfRule type="expression" dxfId="28" priority="2374" stopIfTrue="1">
      <formula>$A340="end repeat"</formula>
    </cfRule>
  </conditionalFormatting>
  <conditionalFormatting sqref="B340:E341">
    <cfRule type="expression" dxfId="28" priority="2375" stopIfTrue="1">
      <formula>$A340="begin repeat"</formula>
    </cfRule>
  </conditionalFormatting>
  <conditionalFormatting sqref="B340:E341">
    <cfRule type="expression" dxfId="29" priority="2376" stopIfTrue="1">
      <formula>$A340="end group"</formula>
    </cfRule>
  </conditionalFormatting>
  <conditionalFormatting sqref="B340:E341">
    <cfRule type="expression" dxfId="29" priority="2377" stopIfTrue="1">
      <formula>$A340="begin group"</formula>
    </cfRule>
  </conditionalFormatting>
  <conditionalFormatting sqref="B340:B341">
    <cfRule type="expression" dxfId="30" priority="2378" stopIfTrue="1">
      <formula>$A340="comments"</formula>
    </cfRule>
  </conditionalFormatting>
  <conditionalFormatting sqref="B340:B341">
    <cfRule type="expression" dxfId="36" priority="2379" stopIfTrue="1">
      <formula>OR(AND(LEFT($A340, 14)="sensor_stream ", LEN($A340)&gt;14, NOT(ISNUMBER(SEARCH(" ", $A340, 15)))), AND(LEFT($A340, 17)="sensor_statistic ", LEN($A340)&gt;17, NOT(ISNUMBER(SEARCH(" ", $A340, 18)))))</formula>
    </cfRule>
  </conditionalFormatting>
  <conditionalFormatting sqref="B330:C332 D330:E332">
    <cfRule type="expression" dxfId="0" priority="2380" stopIfTrue="1">
      <formula>$A330="begin group"</formula>
    </cfRule>
  </conditionalFormatting>
  <conditionalFormatting sqref="B330:C332 D330:E332">
    <cfRule type="expression" dxfId="1" priority="2381" stopIfTrue="1">
      <formula>$A330="begin repeat"</formula>
    </cfRule>
  </conditionalFormatting>
  <conditionalFormatting sqref="B330:E332">
    <cfRule type="expression" dxfId="31" priority="2382" stopIfTrue="1">
      <formula>$A330="enumerator"</formula>
    </cfRule>
  </conditionalFormatting>
  <conditionalFormatting sqref="B330:E332">
    <cfRule type="expression" dxfId="2" priority="2383" stopIfTrue="1">
      <formula>$A330="text"</formula>
    </cfRule>
  </conditionalFormatting>
  <conditionalFormatting sqref="B330:E332">
    <cfRule type="expression" dxfId="3" priority="2384" stopIfTrue="1">
      <formula>$A330="integer"</formula>
    </cfRule>
  </conditionalFormatting>
  <conditionalFormatting sqref="B330:E332">
    <cfRule type="expression" dxfId="4" priority="2385" stopIfTrue="1">
      <formula>$A330="decimal"</formula>
    </cfRule>
  </conditionalFormatting>
  <conditionalFormatting sqref="B330:C332 D330:E332">
    <cfRule type="expression" dxfId="5" priority="2386" stopIfTrue="1">
      <formula>OR(AND(LEFT($A330, 16)="select_multiple ", LEN($A330)&gt;16, NOT(ISNUMBER(SEARCH(" ", $A330, 17)))), AND(LEFT($A330, 11)="select_one ", LEN($A330)&gt;11, NOT(ISNUMBER(SEARCH(" ", $A330, 12)))))</formula>
    </cfRule>
  </conditionalFormatting>
  <conditionalFormatting sqref="B330:B332">
    <cfRule type="expression" dxfId="6" priority="2387" stopIfTrue="1">
      <formula>OR($A330="audio audit", $A330="text audit", $A330="speed violations count", $A330="speed violations list", $A330="speed violations audit")</formula>
    </cfRule>
  </conditionalFormatting>
  <conditionalFormatting sqref="B330:C332 D330:E332">
    <cfRule type="expression" dxfId="32" priority="2388" stopIfTrue="1">
      <formula>$A330="file"</formula>
    </cfRule>
  </conditionalFormatting>
  <conditionalFormatting sqref="B330:C332 D330:E332">
    <cfRule type="expression" dxfId="7" priority="2389" stopIfTrue="1">
      <formula>$A330="note"</formula>
    </cfRule>
  </conditionalFormatting>
  <conditionalFormatting sqref="B330:C332 D330:E332">
    <cfRule type="expression" dxfId="8" priority="2390" stopIfTrue="1">
      <formula>$A330="barcode"</formula>
    </cfRule>
  </conditionalFormatting>
  <conditionalFormatting sqref="B330:C332 D330:E332">
    <cfRule type="expression" dxfId="9" priority="2391" stopIfTrue="1">
      <formula>OR($A330="geopoint", $A330="geoshape", $A330="geotrace")</formula>
    </cfRule>
  </conditionalFormatting>
  <conditionalFormatting sqref="B330:B332">
    <cfRule type="expression" dxfId="10" priority="2392" stopIfTrue="1">
      <formula>OR($A330="calculate", $A330="calculate_here")</formula>
    </cfRule>
  </conditionalFormatting>
  <conditionalFormatting sqref="B330:C332 D330:E332">
    <cfRule type="expression" dxfId="11" priority="2393" stopIfTrue="1">
      <formula>OR($A330="date", $A330="datetime", $A330="time")</formula>
    </cfRule>
  </conditionalFormatting>
  <conditionalFormatting sqref="B330:C332 D330:E332">
    <cfRule type="expression" dxfId="12" priority="2394" stopIfTrue="1">
      <formula>$A330="image"</formula>
    </cfRule>
  </conditionalFormatting>
  <conditionalFormatting sqref="B330:C332 D330:E332">
    <cfRule type="expression" dxfId="13" priority="2395" stopIfTrue="1">
      <formula>OR($A330="audio", $A330="video")</formula>
    </cfRule>
  </conditionalFormatting>
  <conditionalFormatting sqref="B330:E332">
    <cfRule type="expression" dxfId="33" priority="2396" stopIfTrue="1">
      <formula>$A330="file"</formula>
    </cfRule>
  </conditionalFormatting>
  <conditionalFormatting sqref="B330:E332">
    <cfRule type="expression" dxfId="34" priority="2397" stopIfTrue="1">
      <formula>$A330="enumerator"</formula>
    </cfRule>
  </conditionalFormatting>
  <conditionalFormatting sqref="B330:E332">
    <cfRule type="expression" dxfId="35" priority="2398" stopIfTrue="1">
      <formula>OR(AND(LEFT($A330, 14)="sensor_stream ", LEN($A330)&gt;14, NOT(ISNUMBER(SEARCH(" ", $A330, 15)))), AND(LEFT($A330, 17)="sensor_statistic ", LEN($A330)&gt;17, NOT(ISNUMBER(SEARCH(" ", $A330, 18)))))</formula>
    </cfRule>
  </conditionalFormatting>
  <conditionalFormatting sqref="B330:E332">
    <cfRule type="expression" dxfId="14" priority="2399" stopIfTrue="1">
      <formula>$A330="comments"</formula>
    </cfRule>
  </conditionalFormatting>
  <conditionalFormatting sqref="B330:E332">
    <cfRule type="expression" dxfId="15" priority="2400" stopIfTrue="1">
      <formula>OR($A330="audio", $A330="video")</formula>
    </cfRule>
  </conditionalFormatting>
  <conditionalFormatting sqref="B330:E332">
    <cfRule type="expression" dxfId="16" priority="2401" stopIfTrue="1">
      <formula>$A330="image"</formula>
    </cfRule>
  </conditionalFormatting>
  <conditionalFormatting sqref="B330:E332">
    <cfRule type="expression" dxfId="17" priority="2402" stopIfTrue="1">
      <formula>OR($A330="date", $A330="datetime", $A330="time")</formula>
    </cfRule>
  </conditionalFormatting>
  <conditionalFormatting sqref="B330:E332">
    <cfRule type="expression" dxfId="18" priority="2403" stopIfTrue="1">
      <formula>OR($A330="calculate", $A330="calculate_here")</formula>
    </cfRule>
  </conditionalFormatting>
  <conditionalFormatting sqref="B330:E332">
    <cfRule type="expression" dxfId="19" priority="2404" stopIfTrue="1">
      <formula>$A330="note"</formula>
    </cfRule>
  </conditionalFormatting>
  <conditionalFormatting sqref="B330:E332">
    <cfRule type="expression" dxfId="20" priority="2405" stopIfTrue="1">
      <formula>$A330="barcode"</formula>
    </cfRule>
  </conditionalFormatting>
  <conditionalFormatting sqref="B330:E332">
    <cfRule type="expression" dxfId="21" priority="2406" stopIfTrue="1">
      <formula>OR($A330="geopoint", $A330="geoshape", $A330="geotrace")</formula>
    </cfRule>
  </conditionalFormatting>
  <conditionalFormatting sqref="B330:E332">
    <cfRule type="expression" dxfId="22" priority="2407" stopIfTrue="1">
      <formula>OR($A330="audio audit", $A330="text audit", $A330="speed violations count", $A330="speed violations list", $A330="speed violations audit")</formula>
    </cfRule>
  </conditionalFormatting>
  <conditionalFormatting sqref="B330:E332">
    <cfRule type="expression" dxfId="23" priority="2408" stopIfTrue="1">
      <formula>OR($A330="username", $A330="phonenumber", $A330="start", $A330="end", $A330="deviceid", $A330="subscriberid", $A330="simserial", $A330="caseid")</formula>
    </cfRule>
  </conditionalFormatting>
  <conditionalFormatting sqref="B330:E332">
    <cfRule type="expression" dxfId="24" priority="2409" stopIfTrue="1">
      <formula>OR(AND(LEFT($A330, 16)="select_multiple ", LEN($A330)&gt;16, NOT(ISNUMBER(SEARCH(" ", $A330, 17)))), AND(LEFT($A330, 11)="select_one ", LEN($A330)&gt;11, NOT(ISNUMBER(SEARCH(" ", $A330, 12)))))</formula>
    </cfRule>
  </conditionalFormatting>
  <conditionalFormatting sqref="B330:E332">
    <cfRule type="expression" dxfId="25" priority="2410" stopIfTrue="1">
      <formula>$A330="decimal"</formula>
    </cfRule>
  </conditionalFormatting>
  <conditionalFormatting sqref="B330:E332">
    <cfRule type="expression" dxfId="26" priority="2411" stopIfTrue="1">
      <formula>$A330="integer"</formula>
    </cfRule>
  </conditionalFormatting>
  <conditionalFormatting sqref="B330:E332">
    <cfRule type="expression" dxfId="27" priority="2412" stopIfTrue="1">
      <formula>$A330="text"</formula>
    </cfRule>
  </conditionalFormatting>
  <conditionalFormatting sqref="B330:E332">
    <cfRule type="expression" dxfId="28" priority="2413" stopIfTrue="1">
      <formula>$A330="end repeat"</formula>
    </cfRule>
  </conditionalFormatting>
  <conditionalFormatting sqref="B330:E332">
    <cfRule type="expression" dxfId="28" priority="2414" stopIfTrue="1">
      <formula>$A330="begin repeat"</formula>
    </cfRule>
  </conditionalFormatting>
  <conditionalFormatting sqref="B330:E332">
    <cfRule type="expression" dxfId="29" priority="2415" stopIfTrue="1">
      <formula>$A330="end group"</formula>
    </cfRule>
  </conditionalFormatting>
  <conditionalFormatting sqref="B330:E332">
    <cfRule type="expression" dxfId="29" priority="2416" stopIfTrue="1">
      <formula>$A330="begin group"</formula>
    </cfRule>
  </conditionalFormatting>
  <conditionalFormatting sqref="B330:B332">
    <cfRule type="expression" dxfId="30" priority="2417" stopIfTrue="1">
      <formula>$A330="comments"</formula>
    </cfRule>
  </conditionalFormatting>
  <conditionalFormatting sqref="B330:B332">
    <cfRule type="expression" dxfId="36" priority="2418" stopIfTrue="1">
      <formula>OR(AND(LEFT($A330, 14)="sensor_stream ", LEN($A330)&gt;14, NOT(ISNUMBER(SEARCH(" ", $A330, 15)))), AND(LEFT($A330, 17)="sensor_statistic ", LEN($A330)&gt;17, NOT(ISNUMBER(SEARCH(" ", $A330, 18)))))</formula>
    </cfRule>
  </conditionalFormatting>
  <conditionalFormatting sqref="B320:C320 D320:E320">
    <cfRule type="expression" dxfId="0" priority="2419" stopIfTrue="1">
      <formula>$A320="begin group"</formula>
    </cfRule>
  </conditionalFormatting>
  <conditionalFormatting sqref="B320:C320 D320:E320">
    <cfRule type="expression" dxfId="1" priority="2420" stopIfTrue="1">
      <formula>$A320="begin repeat"</formula>
    </cfRule>
  </conditionalFormatting>
  <conditionalFormatting sqref="B320:E320">
    <cfRule type="expression" dxfId="31" priority="2421" stopIfTrue="1">
      <formula>$A320="enumerator"</formula>
    </cfRule>
  </conditionalFormatting>
  <conditionalFormatting sqref="B320:E320">
    <cfRule type="expression" dxfId="2" priority="2422" stopIfTrue="1">
      <formula>$A320="text"</formula>
    </cfRule>
  </conditionalFormatting>
  <conditionalFormatting sqref="B320:E320">
    <cfRule type="expression" dxfId="3" priority="2423" stopIfTrue="1">
      <formula>$A320="integer"</formula>
    </cfRule>
  </conditionalFormatting>
  <conditionalFormatting sqref="B320:E320">
    <cfRule type="expression" dxfId="4" priority="2424" stopIfTrue="1">
      <formula>$A320="decimal"</formula>
    </cfRule>
  </conditionalFormatting>
  <conditionalFormatting sqref="B320:C320 D320:E320">
    <cfRule type="expression" dxfId="5" priority="2425" stopIfTrue="1">
      <formula>OR(AND(LEFT($A320, 16)="select_multiple ", LEN($A320)&gt;16, NOT(ISNUMBER(SEARCH(" ", $A320, 17)))), AND(LEFT($A320, 11)="select_one ", LEN($A320)&gt;11, NOT(ISNUMBER(SEARCH(" ", $A320, 12)))))</formula>
    </cfRule>
  </conditionalFormatting>
  <conditionalFormatting sqref="B320">
    <cfRule type="expression" dxfId="6" priority="2426" stopIfTrue="1">
      <formula>OR($A320="audio audit", $A320="text audit", $A320="speed violations count", $A320="speed violations list", $A320="speed violations audit")</formula>
    </cfRule>
  </conditionalFormatting>
  <conditionalFormatting sqref="B320:C320 D320:E320">
    <cfRule type="expression" dxfId="32" priority="2427" stopIfTrue="1">
      <formula>$A320="file"</formula>
    </cfRule>
  </conditionalFormatting>
  <conditionalFormatting sqref="B320:C320 D320:E320">
    <cfRule type="expression" dxfId="7" priority="2428" stopIfTrue="1">
      <formula>$A320="note"</formula>
    </cfRule>
  </conditionalFormatting>
  <conditionalFormatting sqref="B320:C320 D320:E320">
    <cfRule type="expression" dxfId="8" priority="2429" stopIfTrue="1">
      <formula>$A320="barcode"</formula>
    </cfRule>
  </conditionalFormatting>
  <conditionalFormatting sqref="B320:C320 D320:E320">
    <cfRule type="expression" dxfId="9" priority="2430" stopIfTrue="1">
      <formula>OR($A320="geopoint", $A320="geoshape", $A320="geotrace")</formula>
    </cfRule>
  </conditionalFormatting>
  <conditionalFormatting sqref="B320">
    <cfRule type="expression" dxfId="10" priority="2431" stopIfTrue="1">
      <formula>OR($A320="calculate", $A320="calculate_here")</formula>
    </cfRule>
  </conditionalFormatting>
  <conditionalFormatting sqref="B320:C320 D320:E320">
    <cfRule type="expression" dxfId="11" priority="2432" stopIfTrue="1">
      <formula>OR($A320="date", $A320="datetime", $A320="time")</formula>
    </cfRule>
  </conditionalFormatting>
  <conditionalFormatting sqref="B320:C320 D320:E320">
    <cfRule type="expression" dxfId="12" priority="2433" stopIfTrue="1">
      <formula>$A320="image"</formula>
    </cfRule>
  </conditionalFormatting>
  <conditionalFormatting sqref="B320:C320 D320:E320">
    <cfRule type="expression" dxfId="13" priority="2434" stopIfTrue="1">
      <formula>OR($A320="audio", $A320="video")</formula>
    </cfRule>
  </conditionalFormatting>
  <conditionalFormatting sqref="B320:E320">
    <cfRule type="expression" dxfId="33" priority="2435" stopIfTrue="1">
      <formula>$A320="file"</formula>
    </cfRule>
  </conditionalFormatting>
  <conditionalFormatting sqref="B320:E320">
    <cfRule type="expression" dxfId="34" priority="2436" stopIfTrue="1">
      <formula>$A320="enumerator"</formula>
    </cfRule>
  </conditionalFormatting>
  <conditionalFormatting sqref="B320:E320">
    <cfRule type="expression" dxfId="35" priority="2437" stopIfTrue="1">
      <formula>OR(AND(LEFT($A320, 14)="sensor_stream ", LEN($A320)&gt;14, NOT(ISNUMBER(SEARCH(" ", $A320, 15)))), AND(LEFT($A320, 17)="sensor_statistic ", LEN($A320)&gt;17, NOT(ISNUMBER(SEARCH(" ", $A320, 18)))))</formula>
    </cfRule>
  </conditionalFormatting>
  <conditionalFormatting sqref="B320:E320">
    <cfRule type="expression" dxfId="14" priority="2438" stopIfTrue="1">
      <formula>$A320="comments"</formula>
    </cfRule>
  </conditionalFormatting>
  <conditionalFormatting sqref="B320:E320">
    <cfRule type="expression" dxfId="15" priority="2439" stopIfTrue="1">
      <formula>OR($A320="audio", $A320="video")</formula>
    </cfRule>
  </conditionalFormatting>
  <conditionalFormatting sqref="B320:E320">
    <cfRule type="expression" dxfId="16" priority="2440" stopIfTrue="1">
      <formula>$A320="image"</formula>
    </cfRule>
  </conditionalFormatting>
  <conditionalFormatting sqref="B320:E320">
    <cfRule type="expression" dxfId="17" priority="2441" stopIfTrue="1">
      <formula>OR($A320="date", $A320="datetime", $A320="time")</formula>
    </cfRule>
  </conditionalFormatting>
  <conditionalFormatting sqref="B320:E320">
    <cfRule type="expression" dxfId="18" priority="2442" stopIfTrue="1">
      <formula>OR($A320="calculate", $A320="calculate_here")</formula>
    </cfRule>
  </conditionalFormatting>
  <conditionalFormatting sqref="B320:E320">
    <cfRule type="expression" dxfId="19" priority="2443" stopIfTrue="1">
      <formula>$A320="note"</formula>
    </cfRule>
  </conditionalFormatting>
  <conditionalFormatting sqref="B320:E320">
    <cfRule type="expression" dxfId="20" priority="2444" stopIfTrue="1">
      <formula>$A320="barcode"</formula>
    </cfRule>
  </conditionalFormatting>
  <conditionalFormatting sqref="B320:E320">
    <cfRule type="expression" dxfId="21" priority="2445" stopIfTrue="1">
      <formula>OR($A320="geopoint", $A320="geoshape", $A320="geotrace")</formula>
    </cfRule>
  </conditionalFormatting>
  <conditionalFormatting sqref="B320:E320">
    <cfRule type="expression" dxfId="22" priority="2446" stopIfTrue="1">
      <formula>OR($A320="audio audit", $A320="text audit", $A320="speed violations count", $A320="speed violations list", $A320="speed violations audit")</formula>
    </cfRule>
  </conditionalFormatting>
  <conditionalFormatting sqref="B320:E320">
    <cfRule type="expression" dxfId="23" priority="2447" stopIfTrue="1">
      <formula>OR($A320="username", $A320="phonenumber", $A320="start", $A320="end", $A320="deviceid", $A320="subscriberid", $A320="simserial", $A320="caseid")</formula>
    </cfRule>
  </conditionalFormatting>
  <conditionalFormatting sqref="B320:E320">
    <cfRule type="expression" dxfId="24" priority="2448" stopIfTrue="1">
      <formula>OR(AND(LEFT($A320, 16)="select_multiple ", LEN($A320)&gt;16, NOT(ISNUMBER(SEARCH(" ", $A320, 17)))), AND(LEFT($A320, 11)="select_one ", LEN($A320)&gt;11, NOT(ISNUMBER(SEARCH(" ", $A320, 12)))))</formula>
    </cfRule>
  </conditionalFormatting>
  <conditionalFormatting sqref="B320:E320">
    <cfRule type="expression" dxfId="25" priority="2449" stopIfTrue="1">
      <formula>$A320="decimal"</formula>
    </cfRule>
  </conditionalFormatting>
  <conditionalFormatting sqref="B320:E320">
    <cfRule type="expression" dxfId="26" priority="2450" stopIfTrue="1">
      <formula>$A320="integer"</formula>
    </cfRule>
  </conditionalFormatting>
  <conditionalFormatting sqref="B320:E320">
    <cfRule type="expression" dxfId="27" priority="2451" stopIfTrue="1">
      <formula>$A320="text"</formula>
    </cfRule>
  </conditionalFormatting>
  <conditionalFormatting sqref="B320:E320">
    <cfRule type="expression" dxfId="28" priority="2452" stopIfTrue="1">
      <formula>$A320="end repeat"</formula>
    </cfRule>
  </conditionalFormatting>
  <conditionalFormatting sqref="B320:E320">
    <cfRule type="expression" dxfId="28" priority="2453" stopIfTrue="1">
      <formula>$A320="begin repeat"</formula>
    </cfRule>
  </conditionalFormatting>
  <conditionalFormatting sqref="B320:E320">
    <cfRule type="expression" dxfId="29" priority="2454" stopIfTrue="1">
      <formula>$A320="end group"</formula>
    </cfRule>
  </conditionalFormatting>
  <conditionalFormatting sqref="B320:E320">
    <cfRule type="expression" dxfId="29" priority="2455" stopIfTrue="1">
      <formula>$A320="begin group"</formula>
    </cfRule>
  </conditionalFormatting>
  <conditionalFormatting sqref="B320">
    <cfRule type="expression" dxfId="30" priority="2456" stopIfTrue="1">
      <formula>$A320="comments"</formula>
    </cfRule>
  </conditionalFormatting>
  <conditionalFormatting sqref="B320">
    <cfRule type="expression" dxfId="36" priority="2457" stopIfTrue="1">
      <formula>OR(AND(LEFT($A320, 14)="sensor_stream ", LEN($A320)&gt;14, NOT(ISNUMBER(SEARCH(" ", $A320, 15)))), AND(LEFT($A320, 17)="sensor_statistic ", LEN($A320)&gt;17, NOT(ISNUMBER(SEARCH(" ", $A320, 18)))))</formula>
    </cfRule>
  </conditionalFormatting>
  <conditionalFormatting sqref="B312:C312 D312:E312">
    <cfRule type="expression" dxfId="0" priority="2458" stopIfTrue="1">
      <formula>$A312="begin group"</formula>
    </cfRule>
  </conditionalFormatting>
  <conditionalFormatting sqref="B312:C312 D312:E312">
    <cfRule type="expression" dxfId="1" priority="2459" stopIfTrue="1">
      <formula>$A312="begin repeat"</formula>
    </cfRule>
  </conditionalFormatting>
  <conditionalFormatting sqref="B312:E312">
    <cfRule type="expression" dxfId="31" priority="2460" stopIfTrue="1">
      <formula>$A312="enumerator"</formula>
    </cfRule>
  </conditionalFormatting>
  <conditionalFormatting sqref="B312:E312">
    <cfRule type="expression" dxfId="2" priority="2461" stopIfTrue="1">
      <formula>$A312="text"</formula>
    </cfRule>
  </conditionalFormatting>
  <conditionalFormatting sqref="B312:E312">
    <cfRule type="expression" dxfId="3" priority="2462" stopIfTrue="1">
      <formula>$A312="integer"</formula>
    </cfRule>
  </conditionalFormatting>
  <conditionalFormatting sqref="B312:E312">
    <cfRule type="expression" dxfId="4" priority="2463" stopIfTrue="1">
      <formula>$A312="decimal"</formula>
    </cfRule>
  </conditionalFormatting>
  <conditionalFormatting sqref="B312:C312 D312:E312">
    <cfRule type="expression" dxfId="5" priority="2464" stopIfTrue="1">
      <formula>OR(AND(LEFT($A312, 16)="select_multiple ", LEN($A312)&gt;16, NOT(ISNUMBER(SEARCH(" ", $A312, 17)))), AND(LEFT($A312, 11)="select_one ", LEN($A312)&gt;11, NOT(ISNUMBER(SEARCH(" ", $A312, 12)))))</formula>
    </cfRule>
  </conditionalFormatting>
  <conditionalFormatting sqref="B312">
    <cfRule type="expression" dxfId="6" priority="2465" stopIfTrue="1">
      <formula>OR($A312="audio audit", $A312="text audit", $A312="speed violations count", $A312="speed violations list", $A312="speed violations audit")</formula>
    </cfRule>
  </conditionalFormatting>
  <conditionalFormatting sqref="B312:C312 D312:E312">
    <cfRule type="expression" dxfId="32" priority="2466" stopIfTrue="1">
      <formula>$A312="file"</formula>
    </cfRule>
  </conditionalFormatting>
  <conditionalFormatting sqref="B312:C312 D312:E312">
    <cfRule type="expression" dxfId="7" priority="2467" stopIfTrue="1">
      <formula>$A312="note"</formula>
    </cfRule>
  </conditionalFormatting>
  <conditionalFormatting sqref="B312:C312 D312:E312">
    <cfRule type="expression" dxfId="8" priority="2468" stopIfTrue="1">
      <formula>$A312="barcode"</formula>
    </cfRule>
  </conditionalFormatting>
  <conditionalFormatting sqref="B312:C312 D312:E312">
    <cfRule type="expression" dxfId="9" priority="2469" stopIfTrue="1">
      <formula>OR($A312="geopoint", $A312="geoshape", $A312="geotrace")</formula>
    </cfRule>
  </conditionalFormatting>
  <conditionalFormatting sqref="B312">
    <cfRule type="expression" dxfId="10" priority="2470" stopIfTrue="1">
      <formula>OR($A312="calculate", $A312="calculate_here")</formula>
    </cfRule>
  </conditionalFormatting>
  <conditionalFormatting sqref="B312:C312 D312:E312">
    <cfRule type="expression" dxfId="11" priority="2471" stopIfTrue="1">
      <formula>OR($A312="date", $A312="datetime", $A312="time")</formula>
    </cfRule>
  </conditionalFormatting>
  <conditionalFormatting sqref="B312:C312 D312:E312">
    <cfRule type="expression" dxfId="12" priority="2472" stopIfTrue="1">
      <formula>$A312="image"</formula>
    </cfRule>
  </conditionalFormatting>
  <conditionalFormatting sqref="B312:C312 D312:E312">
    <cfRule type="expression" dxfId="13" priority="2473" stopIfTrue="1">
      <formula>OR($A312="audio", $A312="video")</formula>
    </cfRule>
  </conditionalFormatting>
  <conditionalFormatting sqref="B312:E312">
    <cfRule type="expression" dxfId="33" priority="2474" stopIfTrue="1">
      <formula>$A312="file"</formula>
    </cfRule>
  </conditionalFormatting>
  <conditionalFormatting sqref="B312:E312">
    <cfRule type="expression" dxfId="34" priority="2475" stopIfTrue="1">
      <formula>$A312="enumerator"</formula>
    </cfRule>
  </conditionalFormatting>
  <conditionalFormatting sqref="B312:E312">
    <cfRule type="expression" dxfId="35" priority="2476" stopIfTrue="1">
      <formula>OR(AND(LEFT($A312, 14)="sensor_stream ", LEN($A312)&gt;14, NOT(ISNUMBER(SEARCH(" ", $A312, 15)))), AND(LEFT($A312, 17)="sensor_statistic ", LEN($A312)&gt;17, NOT(ISNUMBER(SEARCH(" ", $A312, 18)))))</formula>
    </cfRule>
  </conditionalFormatting>
  <conditionalFormatting sqref="B312:E312">
    <cfRule type="expression" dxfId="14" priority="2477" stopIfTrue="1">
      <formula>$A312="comments"</formula>
    </cfRule>
  </conditionalFormatting>
  <conditionalFormatting sqref="B312:E312">
    <cfRule type="expression" dxfId="15" priority="2478" stopIfTrue="1">
      <formula>OR($A312="audio", $A312="video")</formula>
    </cfRule>
  </conditionalFormatting>
  <conditionalFormatting sqref="B312:E312">
    <cfRule type="expression" dxfId="16" priority="2479" stopIfTrue="1">
      <formula>$A312="image"</formula>
    </cfRule>
  </conditionalFormatting>
  <conditionalFormatting sqref="B312:E312">
    <cfRule type="expression" dxfId="17" priority="2480" stopIfTrue="1">
      <formula>OR($A312="date", $A312="datetime", $A312="time")</formula>
    </cfRule>
  </conditionalFormatting>
  <conditionalFormatting sqref="B312:E312">
    <cfRule type="expression" dxfId="18" priority="2481" stopIfTrue="1">
      <formula>OR($A312="calculate", $A312="calculate_here")</formula>
    </cfRule>
  </conditionalFormatting>
  <conditionalFormatting sqref="B312:E312">
    <cfRule type="expression" dxfId="19" priority="2482" stopIfTrue="1">
      <formula>$A312="note"</formula>
    </cfRule>
  </conditionalFormatting>
  <conditionalFormatting sqref="B312:E312">
    <cfRule type="expression" dxfId="20" priority="2483" stopIfTrue="1">
      <formula>$A312="barcode"</formula>
    </cfRule>
  </conditionalFormatting>
  <conditionalFormatting sqref="B312:E312">
    <cfRule type="expression" dxfId="21" priority="2484" stopIfTrue="1">
      <formula>OR($A312="geopoint", $A312="geoshape", $A312="geotrace")</formula>
    </cfRule>
  </conditionalFormatting>
  <conditionalFormatting sqref="B312:E312">
    <cfRule type="expression" dxfId="22" priority="2485" stopIfTrue="1">
      <formula>OR($A312="audio audit", $A312="text audit", $A312="speed violations count", $A312="speed violations list", $A312="speed violations audit")</formula>
    </cfRule>
  </conditionalFormatting>
  <conditionalFormatting sqref="B312:E312">
    <cfRule type="expression" dxfId="23" priority="2486" stopIfTrue="1">
      <formula>OR($A312="username", $A312="phonenumber", $A312="start", $A312="end", $A312="deviceid", $A312="subscriberid", $A312="simserial", $A312="caseid")</formula>
    </cfRule>
  </conditionalFormatting>
  <conditionalFormatting sqref="B312:E312">
    <cfRule type="expression" dxfId="24" priority="2487" stopIfTrue="1">
      <formula>OR(AND(LEFT($A312, 16)="select_multiple ", LEN($A312)&gt;16, NOT(ISNUMBER(SEARCH(" ", $A312, 17)))), AND(LEFT($A312, 11)="select_one ", LEN($A312)&gt;11, NOT(ISNUMBER(SEARCH(" ", $A312, 12)))))</formula>
    </cfRule>
  </conditionalFormatting>
  <conditionalFormatting sqref="B312:E312">
    <cfRule type="expression" dxfId="25" priority="2488" stopIfTrue="1">
      <formula>$A312="decimal"</formula>
    </cfRule>
  </conditionalFormatting>
  <conditionalFormatting sqref="B312:E312">
    <cfRule type="expression" dxfId="26" priority="2489" stopIfTrue="1">
      <formula>$A312="integer"</formula>
    </cfRule>
  </conditionalFormatting>
  <conditionalFormatting sqref="B312:E312">
    <cfRule type="expression" dxfId="27" priority="2490" stopIfTrue="1">
      <formula>$A312="text"</formula>
    </cfRule>
  </conditionalFormatting>
  <conditionalFormatting sqref="B312:E312">
    <cfRule type="expression" dxfId="28" priority="2491" stopIfTrue="1">
      <formula>$A312="end repeat"</formula>
    </cfRule>
  </conditionalFormatting>
  <conditionalFormatting sqref="B312:E312">
    <cfRule type="expression" dxfId="28" priority="2492" stopIfTrue="1">
      <formula>$A312="begin repeat"</formula>
    </cfRule>
  </conditionalFormatting>
  <conditionalFormatting sqref="B312:E312">
    <cfRule type="expression" dxfId="29" priority="2493" stopIfTrue="1">
      <formula>$A312="end group"</formula>
    </cfRule>
  </conditionalFormatting>
  <conditionalFormatting sqref="B312:E312">
    <cfRule type="expression" dxfId="29" priority="2494" stopIfTrue="1">
      <formula>$A312="begin group"</formula>
    </cfRule>
  </conditionalFormatting>
  <conditionalFormatting sqref="B312">
    <cfRule type="expression" dxfId="30" priority="2495" stopIfTrue="1">
      <formula>$A312="comments"</formula>
    </cfRule>
  </conditionalFormatting>
  <conditionalFormatting sqref="B312">
    <cfRule type="expression" dxfId="36" priority="2496" stopIfTrue="1">
      <formula>OR(AND(LEFT($A312, 14)="sensor_stream ", LEN($A312)&gt;14, NOT(ISNUMBER(SEARCH(" ", $A312, 15)))), AND(LEFT($A312, 17)="sensor_statistic ", LEN($A312)&gt;17, NOT(ISNUMBER(SEARCH(" ", $A312, 18)))))</formula>
    </cfRule>
  </conditionalFormatting>
  <conditionalFormatting sqref="B299:C309 D299:E309">
    <cfRule type="expression" dxfId="0" priority="2497" stopIfTrue="1">
      <formula>$A299="begin group"</formula>
    </cfRule>
  </conditionalFormatting>
  <conditionalFormatting sqref="B299:C309 D299:E309">
    <cfRule type="expression" dxfId="1" priority="2498" stopIfTrue="1">
      <formula>$A299="begin repeat"</formula>
    </cfRule>
  </conditionalFormatting>
  <conditionalFormatting sqref="B299:E309">
    <cfRule type="expression" dxfId="31" priority="2499" stopIfTrue="1">
      <formula>$A299="enumerator"</formula>
    </cfRule>
  </conditionalFormatting>
  <conditionalFormatting sqref="B299:E309">
    <cfRule type="expression" dxfId="2" priority="2500" stopIfTrue="1">
      <formula>$A299="text"</formula>
    </cfRule>
  </conditionalFormatting>
  <conditionalFormatting sqref="B299:E309">
    <cfRule type="expression" dxfId="3" priority="2501" stopIfTrue="1">
      <formula>$A299="integer"</formula>
    </cfRule>
  </conditionalFormatting>
  <conditionalFormatting sqref="B299:E309">
    <cfRule type="expression" dxfId="4" priority="2502" stopIfTrue="1">
      <formula>$A299="decimal"</formula>
    </cfRule>
  </conditionalFormatting>
  <conditionalFormatting sqref="B299:C309 D299:E309">
    <cfRule type="expression" dxfId="5" priority="2503" stopIfTrue="1">
      <formula>OR(AND(LEFT($A299, 16)="select_multiple ", LEN($A299)&gt;16, NOT(ISNUMBER(SEARCH(" ", $A299, 17)))), AND(LEFT($A299, 11)="select_one ", LEN($A299)&gt;11, NOT(ISNUMBER(SEARCH(" ", $A299, 12)))))</formula>
    </cfRule>
  </conditionalFormatting>
  <conditionalFormatting sqref="B299:B309">
    <cfRule type="expression" dxfId="6" priority="2504" stopIfTrue="1">
      <formula>OR($A299="audio audit", $A299="text audit", $A299="speed violations count", $A299="speed violations list", $A299="speed violations audit")</formula>
    </cfRule>
  </conditionalFormatting>
  <conditionalFormatting sqref="B299:C309 D299:E309">
    <cfRule type="expression" dxfId="32" priority="2505" stopIfTrue="1">
      <formula>$A299="file"</formula>
    </cfRule>
  </conditionalFormatting>
  <conditionalFormatting sqref="B299:C309 D299:E309">
    <cfRule type="expression" dxfId="7" priority="2506" stopIfTrue="1">
      <formula>$A299="note"</formula>
    </cfRule>
  </conditionalFormatting>
  <conditionalFormatting sqref="B299:C309 D299:E309">
    <cfRule type="expression" dxfId="8" priority="2507" stopIfTrue="1">
      <formula>$A299="barcode"</formula>
    </cfRule>
  </conditionalFormatting>
  <conditionalFormatting sqref="B299:C309 D299:E309">
    <cfRule type="expression" dxfId="9" priority="2508" stopIfTrue="1">
      <formula>OR($A299="geopoint", $A299="geoshape", $A299="geotrace")</formula>
    </cfRule>
  </conditionalFormatting>
  <conditionalFormatting sqref="B299:B309">
    <cfRule type="expression" dxfId="10" priority="2509" stopIfTrue="1">
      <formula>OR($A299="calculate", $A299="calculate_here")</formula>
    </cfRule>
  </conditionalFormatting>
  <conditionalFormatting sqref="B299:C309 D299:E309">
    <cfRule type="expression" dxfId="11" priority="2510" stopIfTrue="1">
      <formula>OR($A299="date", $A299="datetime", $A299="time")</formula>
    </cfRule>
  </conditionalFormatting>
  <conditionalFormatting sqref="B299:C309 D299:E309">
    <cfRule type="expression" dxfId="12" priority="2511" stopIfTrue="1">
      <formula>$A299="image"</formula>
    </cfRule>
  </conditionalFormatting>
  <conditionalFormatting sqref="B299:C309 D299:E309">
    <cfRule type="expression" dxfId="13" priority="2512" stopIfTrue="1">
      <formula>OR($A299="audio", $A299="video")</formula>
    </cfRule>
  </conditionalFormatting>
  <conditionalFormatting sqref="B299:E309">
    <cfRule type="expression" dxfId="33" priority="2513" stopIfTrue="1">
      <formula>$A299="file"</formula>
    </cfRule>
  </conditionalFormatting>
  <conditionalFormatting sqref="B299:E309">
    <cfRule type="expression" dxfId="34" priority="2514" stopIfTrue="1">
      <formula>$A299="enumerator"</formula>
    </cfRule>
  </conditionalFormatting>
  <conditionalFormatting sqref="B299:E309">
    <cfRule type="expression" dxfId="35" priority="2515" stopIfTrue="1">
      <formula>OR(AND(LEFT($A299, 14)="sensor_stream ", LEN($A299)&gt;14, NOT(ISNUMBER(SEARCH(" ", $A299, 15)))), AND(LEFT($A299, 17)="sensor_statistic ", LEN($A299)&gt;17, NOT(ISNUMBER(SEARCH(" ", $A299, 18)))))</formula>
    </cfRule>
  </conditionalFormatting>
  <conditionalFormatting sqref="B299:E309">
    <cfRule type="expression" dxfId="14" priority="2516" stopIfTrue="1">
      <formula>$A299="comments"</formula>
    </cfRule>
  </conditionalFormatting>
  <conditionalFormatting sqref="B299:E309">
    <cfRule type="expression" dxfId="15" priority="2517" stopIfTrue="1">
      <formula>OR($A299="audio", $A299="video")</formula>
    </cfRule>
  </conditionalFormatting>
  <conditionalFormatting sqref="B299:E309">
    <cfRule type="expression" dxfId="16" priority="2518" stopIfTrue="1">
      <formula>$A299="image"</formula>
    </cfRule>
  </conditionalFormatting>
  <conditionalFormatting sqref="B299:E309">
    <cfRule type="expression" dxfId="17" priority="2519" stopIfTrue="1">
      <formula>OR($A299="date", $A299="datetime", $A299="time")</formula>
    </cfRule>
  </conditionalFormatting>
  <conditionalFormatting sqref="B299:E309">
    <cfRule type="expression" dxfId="18" priority="2520" stopIfTrue="1">
      <formula>OR($A299="calculate", $A299="calculate_here")</formula>
    </cfRule>
  </conditionalFormatting>
  <conditionalFormatting sqref="B299:E309">
    <cfRule type="expression" dxfId="19" priority="2521" stopIfTrue="1">
      <formula>$A299="note"</formula>
    </cfRule>
  </conditionalFormatting>
  <conditionalFormatting sqref="B299:E309">
    <cfRule type="expression" dxfId="20" priority="2522" stopIfTrue="1">
      <formula>$A299="barcode"</formula>
    </cfRule>
  </conditionalFormatting>
  <conditionalFormatting sqref="B299:E309">
    <cfRule type="expression" dxfId="21" priority="2523" stopIfTrue="1">
      <formula>OR($A299="geopoint", $A299="geoshape", $A299="geotrace")</formula>
    </cfRule>
  </conditionalFormatting>
  <conditionalFormatting sqref="B299:E309">
    <cfRule type="expression" dxfId="22" priority="2524" stopIfTrue="1">
      <formula>OR($A299="audio audit", $A299="text audit", $A299="speed violations count", $A299="speed violations list", $A299="speed violations audit")</formula>
    </cfRule>
  </conditionalFormatting>
  <conditionalFormatting sqref="B299:E309">
    <cfRule type="expression" dxfId="23" priority="2525" stopIfTrue="1">
      <formula>OR($A299="username", $A299="phonenumber", $A299="start", $A299="end", $A299="deviceid", $A299="subscriberid", $A299="simserial", $A299="caseid")</formula>
    </cfRule>
  </conditionalFormatting>
  <conditionalFormatting sqref="B299:E309">
    <cfRule type="expression" dxfId="24" priority="2526" stopIfTrue="1">
      <formula>OR(AND(LEFT($A299, 16)="select_multiple ", LEN($A299)&gt;16, NOT(ISNUMBER(SEARCH(" ", $A299, 17)))), AND(LEFT($A299, 11)="select_one ", LEN($A299)&gt;11, NOT(ISNUMBER(SEARCH(" ", $A299, 12)))))</formula>
    </cfRule>
  </conditionalFormatting>
  <conditionalFormatting sqref="B299:E309">
    <cfRule type="expression" dxfId="25" priority="2527" stopIfTrue="1">
      <formula>$A299="decimal"</formula>
    </cfRule>
  </conditionalFormatting>
  <conditionalFormatting sqref="B299:E309">
    <cfRule type="expression" dxfId="26" priority="2528" stopIfTrue="1">
      <formula>$A299="integer"</formula>
    </cfRule>
  </conditionalFormatting>
  <conditionalFormatting sqref="B299:E309">
    <cfRule type="expression" dxfId="27" priority="2529" stopIfTrue="1">
      <formula>$A299="text"</formula>
    </cfRule>
  </conditionalFormatting>
  <conditionalFormatting sqref="B299:E309">
    <cfRule type="expression" dxfId="28" priority="2530" stopIfTrue="1">
      <formula>$A299="end repeat"</formula>
    </cfRule>
  </conditionalFormatting>
  <conditionalFormatting sqref="B299:E309">
    <cfRule type="expression" dxfId="28" priority="2531" stopIfTrue="1">
      <formula>$A299="begin repeat"</formula>
    </cfRule>
  </conditionalFormatting>
  <conditionalFormatting sqref="B299:E309">
    <cfRule type="expression" dxfId="29" priority="2532" stopIfTrue="1">
      <formula>$A299="end group"</formula>
    </cfRule>
  </conditionalFormatting>
  <conditionalFormatting sqref="B299:E309">
    <cfRule type="expression" dxfId="29" priority="2533" stopIfTrue="1">
      <formula>$A299="begin group"</formula>
    </cfRule>
  </conditionalFormatting>
  <conditionalFormatting sqref="B299:B309">
    <cfRule type="expression" dxfId="30" priority="2534" stopIfTrue="1">
      <formula>$A299="comments"</formula>
    </cfRule>
  </conditionalFormatting>
  <conditionalFormatting sqref="B299:B309">
    <cfRule type="expression" dxfId="36" priority="2535" stopIfTrue="1">
      <formula>OR(AND(LEFT($A299, 14)="sensor_stream ", LEN($A299)&gt;14, NOT(ISNUMBER(SEARCH(" ", $A299, 15)))), AND(LEFT($A299, 17)="sensor_statistic ", LEN($A299)&gt;17, NOT(ISNUMBER(SEARCH(" ", $A299, 18)))))</formula>
    </cfRule>
  </conditionalFormatting>
  <conditionalFormatting sqref="B293:C296 D293:E296">
    <cfRule type="expression" dxfId="0" priority="2536" stopIfTrue="1">
      <formula>$A293="begin group"</formula>
    </cfRule>
  </conditionalFormatting>
  <conditionalFormatting sqref="B293:C296 D293:E296">
    <cfRule type="expression" dxfId="1" priority="2537" stopIfTrue="1">
      <formula>$A293="begin repeat"</formula>
    </cfRule>
  </conditionalFormatting>
  <conditionalFormatting sqref="B293:E296">
    <cfRule type="expression" dxfId="31" priority="2538" stopIfTrue="1">
      <formula>$A293="enumerator"</formula>
    </cfRule>
  </conditionalFormatting>
  <conditionalFormatting sqref="B293:E296">
    <cfRule type="expression" dxfId="2" priority="2539" stopIfTrue="1">
      <formula>$A293="text"</formula>
    </cfRule>
  </conditionalFormatting>
  <conditionalFormatting sqref="B293:E296">
    <cfRule type="expression" dxfId="3" priority="2540" stopIfTrue="1">
      <formula>$A293="integer"</formula>
    </cfRule>
  </conditionalFormatting>
  <conditionalFormatting sqref="B293:E296">
    <cfRule type="expression" dxfId="4" priority="2541" stopIfTrue="1">
      <formula>$A293="decimal"</formula>
    </cfRule>
  </conditionalFormatting>
  <conditionalFormatting sqref="B293:C296 D293:E296">
    <cfRule type="expression" dxfId="5" priority="2542" stopIfTrue="1">
      <formula>OR(AND(LEFT($A293, 16)="select_multiple ", LEN($A293)&gt;16, NOT(ISNUMBER(SEARCH(" ", $A293, 17)))), AND(LEFT($A293, 11)="select_one ", LEN($A293)&gt;11, NOT(ISNUMBER(SEARCH(" ", $A293, 12)))))</formula>
    </cfRule>
  </conditionalFormatting>
  <conditionalFormatting sqref="B293:B296">
    <cfRule type="expression" dxfId="6" priority="2543" stopIfTrue="1">
      <formula>OR($A293="audio audit", $A293="text audit", $A293="speed violations count", $A293="speed violations list", $A293="speed violations audit")</formula>
    </cfRule>
  </conditionalFormatting>
  <conditionalFormatting sqref="B293:C296 D293:E296">
    <cfRule type="expression" dxfId="32" priority="2544" stopIfTrue="1">
      <formula>$A293="file"</formula>
    </cfRule>
  </conditionalFormatting>
  <conditionalFormatting sqref="B293:C296 D293:E296">
    <cfRule type="expression" dxfId="7" priority="2545" stopIfTrue="1">
      <formula>$A293="note"</formula>
    </cfRule>
  </conditionalFormatting>
  <conditionalFormatting sqref="B293:C296 D293:E296">
    <cfRule type="expression" dxfId="8" priority="2546" stopIfTrue="1">
      <formula>$A293="barcode"</formula>
    </cfRule>
  </conditionalFormatting>
  <conditionalFormatting sqref="B293:C296 D293:E296">
    <cfRule type="expression" dxfId="9" priority="2547" stopIfTrue="1">
      <formula>OR($A293="geopoint", $A293="geoshape", $A293="geotrace")</formula>
    </cfRule>
  </conditionalFormatting>
  <conditionalFormatting sqref="B293:B296">
    <cfRule type="expression" dxfId="10" priority="2548" stopIfTrue="1">
      <formula>OR($A293="calculate", $A293="calculate_here")</formula>
    </cfRule>
  </conditionalFormatting>
  <conditionalFormatting sqref="B293:C296 D293:E296">
    <cfRule type="expression" dxfId="11" priority="2549" stopIfTrue="1">
      <formula>OR($A293="date", $A293="datetime", $A293="time")</formula>
    </cfRule>
  </conditionalFormatting>
  <conditionalFormatting sqref="B293:C296 D293:E296">
    <cfRule type="expression" dxfId="12" priority="2550" stopIfTrue="1">
      <formula>$A293="image"</formula>
    </cfRule>
  </conditionalFormatting>
  <conditionalFormatting sqref="B293:C296 D293:E296">
    <cfRule type="expression" dxfId="13" priority="2551" stopIfTrue="1">
      <formula>OR($A293="audio", $A293="video")</formula>
    </cfRule>
  </conditionalFormatting>
  <conditionalFormatting sqref="B293:E296">
    <cfRule type="expression" dxfId="33" priority="2552" stopIfTrue="1">
      <formula>$A293="file"</formula>
    </cfRule>
  </conditionalFormatting>
  <conditionalFormatting sqref="B293:E296">
    <cfRule type="expression" dxfId="34" priority="2553" stopIfTrue="1">
      <formula>$A293="enumerator"</formula>
    </cfRule>
  </conditionalFormatting>
  <conditionalFormatting sqref="B293:E296">
    <cfRule type="expression" dxfId="35" priority="2554" stopIfTrue="1">
      <formula>OR(AND(LEFT($A293, 14)="sensor_stream ", LEN($A293)&gt;14, NOT(ISNUMBER(SEARCH(" ", $A293, 15)))), AND(LEFT($A293, 17)="sensor_statistic ", LEN($A293)&gt;17, NOT(ISNUMBER(SEARCH(" ", $A293, 18)))))</formula>
    </cfRule>
  </conditionalFormatting>
  <conditionalFormatting sqref="B293:E296">
    <cfRule type="expression" dxfId="14" priority="2555" stopIfTrue="1">
      <formula>$A293="comments"</formula>
    </cfRule>
  </conditionalFormatting>
  <conditionalFormatting sqref="B293:E296">
    <cfRule type="expression" dxfId="15" priority="2556" stopIfTrue="1">
      <formula>OR($A293="audio", $A293="video")</formula>
    </cfRule>
  </conditionalFormatting>
  <conditionalFormatting sqref="B293:E296">
    <cfRule type="expression" dxfId="16" priority="2557" stopIfTrue="1">
      <formula>$A293="image"</formula>
    </cfRule>
  </conditionalFormatting>
  <conditionalFormatting sqref="B293:E296">
    <cfRule type="expression" dxfId="17" priority="2558" stopIfTrue="1">
      <formula>OR($A293="date", $A293="datetime", $A293="time")</formula>
    </cfRule>
  </conditionalFormatting>
  <conditionalFormatting sqref="B293:E296">
    <cfRule type="expression" dxfId="18" priority="2559" stopIfTrue="1">
      <formula>OR($A293="calculate", $A293="calculate_here")</formula>
    </cfRule>
  </conditionalFormatting>
  <conditionalFormatting sqref="B293:E296">
    <cfRule type="expression" dxfId="19" priority="2560" stopIfTrue="1">
      <formula>$A293="note"</formula>
    </cfRule>
  </conditionalFormatting>
  <conditionalFormatting sqref="B293:E296">
    <cfRule type="expression" dxfId="20" priority="2561" stopIfTrue="1">
      <formula>$A293="barcode"</formula>
    </cfRule>
  </conditionalFormatting>
  <conditionalFormatting sqref="B293:E296">
    <cfRule type="expression" dxfId="21" priority="2562" stopIfTrue="1">
      <formula>OR($A293="geopoint", $A293="geoshape", $A293="geotrace")</formula>
    </cfRule>
  </conditionalFormatting>
  <conditionalFormatting sqref="B293:E296">
    <cfRule type="expression" dxfId="22" priority="2563" stopIfTrue="1">
      <formula>OR($A293="audio audit", $A293="text audit", $A293="speed violations count", $A293="speed violations list", $A293="speed violations audit")</formula>
    </cfRule>
  </conditionalFormatting>
  <conditionalFormatting sqref="B293:E296">
    <cfRule type="expression" dxfId="23" priority="2564" stopIfTrue="1">
      <formula>OR($A293="username", $A293="phonenumber", $A293="start", $A293="end", $A293="deviceid", $A293="subscriberid", $A293="simserial", $A293="caseid")</formula>
    </cfRule>
  </conditionalFormatting>
  <conditionalFormatting sqref="B293:E296">
    <cfRule type="expression" dxfId="24" priority="2565" stopIfTrue="1">
      <formula>OR(AND(LEFT($A293, 16)="select_multiple ", LEN($A293)&gt;16, NOT(ISNUMBER(SEARCH(" ", $A293, 17)))), AND(LEFT($A293, 11)="select_one ", LEN($A293)&gt;11, NOT(ISNUMBER(SEARCH(" ", $A293, 12)))))</formula>
    </cfRule>
  </conditionalFormatting>
  <conditionalFormatting sqref="B293:E296">
    <cfRule type="expression" dxfId="25" priority="2566" stopIfTrue="1">
      <formula>$A293="decimal"</formula>
    </cfRule>
  </conditionalFormatting>
  <conditionalFormatting sqref="B293:E296">
    <cfRule type="expression" dxfId="26" priority="2567" stopIfTrue="1">
      <formula>$A293="integer"</formula>
    </cfRule>
  </conditionalFormatting>
  <conditionalFormatting sqref="B293:E296">
    <cfRule type="expression" dxfId="27" priority="2568" stopIfTrue="1">
      <formula>$A293="text"</formula>
    </cfRule>
  </conditionalFormatting>
  <conditionalFormatting sqref="B293:E296">
    <cfRule type="expression" dxfId="28" priority="2569" stopIfTrue="1">
      <formula>$A293="end repeat"</formula>
    </cfRule>
  </conditionalFormatting>
  <conditionalFormatting sqref="B293:E296">
    <cfRule type="expression" dxfId="28" priority="2570" stopIfTrue="1">
      <formula>$A293="begin repeat"</formula>
    </cfRule>
  </conditionalFormatting>
  <conditionalFormatting sqref="B293:E296">
    <cfRule type="expression" dxfId="29" priority="2571" stopIfTrue="1">
      <formula>$A293="end group"</formula>
    </cfRule>
  </conditionalFormatting>
  <conditionalFormatting sqref="B293:E296">
    <cfRule type="expression" dxfId="29" priority="2572" stopIfTrue="1">
      <formula>$A293="begin group"</formula>
    </cfRule>
  </conditionalFormatting>
  <conditionalFormatting sqref="B293:B296">
    <cfRule type="expression" dxfId="30" priority="2573" stopIfTrue="1">
      <formula>$A293="comments"</formula>
    </cfRule>
  </conditionalFormatting>
  <conditionalFormatting sqref="B293:B296">
    <cfRule type="expression" dxfId="36" priority="2574" stopIfTrue="1">
      <formula>OR(AND(LEFT($A293, 14)="sensor_stream ", LEN($A293)&gt;14, NOT(ISNUMBER(SEARCH(" ", $A293, 15)))), AND(LEFT($A293, 17)="sensor_statistic ", LEN($A293)&gt;17, NOT(ISNUMBER(SEARCH(" ", $A293, 18)))))</formula>
    </cfRule>
  </conditionalFormatting>
  <conditionalFormatting sqref="B287:C290 D287:E290">
    <cfRule type="expression" dxfId="0" priority="2575" stopIfTrue="1">
      <formula>$A287="begin group"</formula>
    </cfRule>
  </conditionalFormatting>
  <conditionalFormatting sqref="B287:C290 D287:E290">
    <cfRule type="expression" dxfId="1" priority="2576" stopIfTrue="1">
      <formula>$A287="begin repeat"</formula>
    </cfRule>
  </conditionalFormatting>
  <conditionalFormatting sqref="B287:E290">
    <cfRule type="expression" dxfId="31" priority="2577" stopIfTrue="1">
      <formula>$A287="enumerator"</formula>
    </cfRule>
  </conditionalFormatting>
  <conditionalFormatting sqref="B287:E290">
    <cfRule type="expression" dxfId="2" priority="2578" stopIfTrue="1">
      <formula>$A287="text"</formula>
    </cfRule>
  </conditionalFormatting>
  <conditionalFormatting sqref="B287:E290">
    <cfRule type="expression" dxfId="3" priority="2579" stopIfTrue="1">
      <formula>$A287="integer"</formula>
    </cfRule>
  </conditionalFormatting>
  <conditionalFormatting sqref="B287:E290">
    <cfRule type="expression" dxfId="4" priority="2580" stopIfTrue="1">
      <formula>$A287="decimal"</formula>
    </cfRule>
  </conditionalFormatting>
  <conditionalFormatting sqref="B287:C290 D287:E290">
    <cfRule type="expression" dxfId="5" priority="2581" stopIfTrue="1">
      <formula>OR(AND(LEFT($A287, 16)="select_multiple ", LEN($A287)&gt;16, NOT(ISNUMBER(SEARCH(" ", $A287, 17)))), AND(LEFT($A287, 11)="select_one ", LEN($A287)&gt;11, NOT(ISNUMBER(SEARCH(" ", $A287, 12)))))</formula>
    </cfRule>
  </conditionalFormatting>
  <conditionalFormatting sqref="B287:B290">
    <cfRule type="expression" dxfId="6" priority="2582" stopIfTrue="1">
      <formula>OR($A287="audio audit", $A287="text audit", $A287="speed violations count", $A287="speed violations list", $A287="speed violations audit")</formula>
    </cfRule>
  </conditionalFormatting>
  <conditionalFormatting sqref="B287:C290 D287:E290">
    <cfRule type="expression" dxfId="32" priority="2583" stopIfTrue="1">
      <formula>$A287="file"</formula>
    </cfRule>
  </conditionalFormatting>
  <conditionalFormatting sqref="B287:C290 D287:E290">
    <cfRule type="expression" dxfId="7" priority="2584" stopIfTrue="1">
      <formula>$A287="note"</formula>
    </cfRule>
  </conditionalFormatting>
  <conditionalFormatting sqref="B287:C290 D287:E290">
    <cfRule type="expression" dxfId="8" priority="2585" stopIfTrue="1">
      <formula>$A287="barcode"</formula>
    </cfRule>
  </conditionalFormatting>
  <conditionalFormatting sqref="B287:C290 D287:E290">
    <cfRule type="expression" dxfId="9" priority="2586" stopIfTrue="1">
      <formula>OR($A287="geopoint", $A287="geoshape", $A287="geotrace")</formula>
    </cfRule>
  </conditionalFormatting>
  <conditionalFormatting sqref="B287:B290">
    <cfRule type="expression" dxfId="10" priority="2587" stopIfTrue="1">
      <formula>OR($A287="calculate", $A287="calculate_here")</formula>
    </cfRule>
  </conditionalFormatting>
  <conditionalFormatting sqref="B287:C290 D287:E290">
    <cfRule type="expression" dxfId="11" priority="2588" stopIfTrue="1">
      <formula>OR($A287="date", $A287="datetime", $A287="time")</formula>
    </cfRule>
  </conditionalFormatting>
  <conditionalFormatting sqref="B287:C290 D287:E290">
    <cfRule type="expression" dxfId="12" priority="2589" stopIfTrue="1">
      <formula>$A287="image"</formula>
    </cfRule>
  </conditionalFormatting>
  <conditionalFormatting sqref="B287:C290 D287:E290">
    <cfRule type="expression" dxfId="13" priority="2590" stopIfTrue="1">
      <formula>OR($A287="audio", $A287="video")</formula>
    </cfRule>
  </conditionalFormatting>
  <conditionalFormatting sqref="B287:E290">
    <cfRule type="expression" dxfId="33" priority="2591" stopIfTrue="1">
      <formula>$A287="file"</formula>
    </cfRule>
  </conditionalFormatting>
  <conditionalFormatting sqref="B287:E290">
    <cfRule type="expression" dxfId="34" priority="2592" stopIfTrue="1">
      <formula>$A287="enumerator"</formula>
    </cfRule>
  </conditionalFormatting>
  <conditionalFormatting sqref="B287:E290">
    <cfRule type="expression" dxfId="35" priority="2593" stopIfTrue="1">
      <formula>OR(AND(LEFT($A287, 14)="sensor_stream ", LEN($A287)&gt;14, NOT(ISNUMBER(SEARCH(" ", $A287, 15)))), AND(LEFT($A287, 17)="sensor_statistic ", LEN($A287)&gt;17, NOT(ISNUMBER(SEARCH(" ", $A287, 18)))))</formula>
    </cfRule>
  </conditionalFormatting>
  <conditionalFormatting sqref="B287:E290">
    <cfRule type="expression" dxfId="14" priority="2594" stopIfTrue="1">
      <formula>$A287="comments"</formula>
    </cfRule>
  </conditionalFormatting>
  <conditionalFormatting sqref="B287:E290">
    <cfRule type="expression" dxfId="15" priority="2595" stopIfTrue="1">
      <formula>OR($A287="audio", $A287="video")</formula>
    </cfRule>
  </conditionalFormatting>
  <conditionalFormatting sqref="B287:E290">
    <cfRule type="expression" dxfId="16" priority="2596" stopIfTrue="1">
      <formula>$A287="image"</formula>
    </cfRule>
  </conditionalFormatting>
  <conditionalFormatting sqref="B287:E290">
    <cfRule type="expression" dxfId="17" priority="2597" stopIfTrue="1">
      <formula>OR($A287="date", $A287="datetime", $A287="time")</formula>
    </cfRule>
  </conditionalFormatting>
  <conditionalFormatting sqref="B287:E290">
    <cfRule type="expression" dxfId="18" priority="2598" stopIfTrue="1">
      <formula>OR($A287="calculate", $A287="calculate_here")</formula>
    </cfRule>
  </conditionalFormatting>
  <conditionalFormatting sqref="B287:E290">
    <cfRule type="expression" dxfId="19" priority="2599" stopIfTrue="1">
      <formula>$A287="note"</formula>
    </cfRule>
  </conditionalFormatting>
  <conditionalFormatting sqref="B287:E290">
    <cfRule type="expression" dxfId="20" priority="2600" stopIfTrue="1">
      <formula>$A287="barcode"</formula>
    </cfRule>
  </conditionalFormatting>
  <conditionalFormatting sqref="B287:E290">
    <cfRule type="expression" dxfId="21" priority="2601" stopIfTrue="1">
      <formula>OR($A287="geopoint", $A287="geoshape", $A287="geotrace")</formula>
    </cfRule>
  </conditionalFormatting>
  <conditionalFormatting sqref="B287:E290">
    <cfRule type="expression" dxfId="22" priority="2602" stopIfTrue="1">
      <formula>OR($A287="audio audit", $A287="text audit", $A287="speed violations count", $A287="speed violations list", $A287="speed violations audit")</formula>
    </cfRule>
  </conditionalFormatting>
  <conditionalFormatting sqref="B287:E290">
    <cfRule type="expression" dxfId="23" priority="2603" stopIfTrue="1">
      <formula>OR($A287="username", $A287="phonenumber", $A287="start", $A287="end", $A287="deviceid", $A287="subscriberid", $A287="simserial", $A287="caseid")</formula>
    </cfRule>
  </conditionalFormatting>
  <conditionalFormatting sqref="B287:E290">
    <cfRule type="expression" dxfId="24" priority="2604" stopIfTrue="1">
      <formula>OR(AND(LEFT($A287, 16)="select_multiple ", LEN($A287)&gt;16, NOT(ISNUMBER(SEARCH(" ", $A287, 17)))), AND(LEFT($A287, 11)="select_one ", LEN($A287)&gt;11, NOT(ISNUMBER(SEARCH(" ", $A287, 12)))))</formula>
    </cfRule>
  </conditionalFormatting>
  <conditionalFormatting sqref="B287:E290">
    <cfRule type="expression" dxfId="25" priority="2605" stopIfTrue="1">
      <formula>$A287="decimal"</formula>
    </cfRule>
  </conditionalFormatting>
  <conditionalFormatting sqref="B287:E290">
    <cfRule type="expression" dxfId="26" priority="2606" stopIfTrue="1">
      <formula>$A287="integer"</formula>
    </cfRule>
  </conditionalFormatting>
  <conditionalFormatting sqref="B287:E290">
    <cfRule type="expression" dxfId="27" priority="2607" stopIfTrue="1">
      <formula>$A287="text"</formula>
    </cfRule>
  </conditionalFormatting>
  <conditionalFormatting sqref="B287:E290">
    <cfRule type="expression" dxfId="28" priority="2608" stopIfTrue="1">
      <formula>$A287="end repeat"</formula>
    </cfRule>
  </conditionalFormatting>
  <conditionalFormatting sqref="B287:E290">
    <cfRule type="expression" dxfId="28" priority="2609" stopIfTrue="1">
      <formula>$A287="begin repeat"</formula>
    </cfRule>
  </conditionalFormatting>
  <conditionalFormatting sqref="B287:E290">
    <cfRule type="expression" dxfId="29" priority="2610" stopIfTrue="1">
      <formula>$A287="end group"</formula>
    </cfRule>
  </conditionalFormatting>
  <conditionalFormatting sqref="B287:E290">
    <cfRule type="expression" dxfId="29" priority="2611" stopIfTrue="1">
      <formula>$A287="begin group"</formula>
    </cfRule>
  </conditionalFormatting>
  <conditionalFormatting sqref="B287:B290">
    <cfRule type="expression" dxfId="30" priority="2612" stopIfTrue="1">
      <formula>$A287="comments"</formula>
    </cfRule>
  </conditionalFormatting>
  <conditionalFormatting sqref="B287:B290">
    <cfRule type="expression" dxfId="36" priority="2613" stopIfTrue="1">
      <formula>OR(AND(LEFT($A287, 14)="sensor_stream ", LEN($A287)&gt;14, NOT(ISNUMBER(SEARCH(" ", $A287, 15)))), AND(LEFT($A287, 17)="sensor_statistic ", LEN($A287)&gt;17, NOT(ISNUMBER(SEARCH(" ", $A287, 18)))))</formula>
    </cfRule>
  </conditionalFormatting>
  <conditionalFormatting sqref="B279:C281 D279:E281">
    <cfRule type="expression" dxfId="0" priority="2614" stopIfTrue="1">
      <formula>$A279="begin group"</formula>
    </cfRule>
  </conditionalFormatting>
  <conditionalFormatting sqref="B279:C281 D279:E281">
    <cfRule type="expression" dxfId="1" priority="2615" stopIfTrue="1">
      <formula>$A279="begin repeat"</formula>
    </cfRule>
  </conditionalFormatting>
  <conditionalFormatting sqref="B279:E281">
    <cfRule type="expression" dxfId="31" priority="2616" stopIfTrue="1">
      <formula>$A279="enumerator"</formula>
    </cfRule>
  </conditionalFormatting>
  <conditionalFormatting sqref="B279:E281">
    <cfRule type="expression" dxfId="2" priority="2617" stopIfTrue="1">
      <formula>$A279="text"</formula>
    </cfRule>
  </conditionalFormatting>
  <conditionalFormatting sqref="B279:E281">
    <cfRule type="expression" dxfId="3" priority="2618" stopIfTrue="1">
      <formula>$A279="integer"</formula>
    </cfRule>
  </conditionalFormatting>
  <conditionalFormatting sqref="B279:E281">
    <cfRule type="expression" dxfId="4" priority="2619" stopIfTrue="1">
      <formula>$A279="decimal"</formula>
    </cfRule>
  </conditionalFormatting>
  <conditionalFormatting sqref="B279:C281 D279:E281">
    <cfRule type="expression" dxfId="5" priority="2620" stopIfTrue="1">
      <formula>OR(AND(LEFT($A279, 16)="select_multiple ", LEN($A279)&gt;16, NOT(ISNUMBER(SEARCH(" ", $A279, 17)))), AND(LEFT($A279, 11)="select_one ", LEN($A279)&gt;11, NOT(ISNUMBER(SEARCH(" ", $A279, 12)))))</formula>
    </cfRule>
  </conditionalFormatting>
  <conditionalFormatting sqref="B279:B281">
    <cfRule type="expression" dxfId="6" priority="2621" stopIfTrue="1">
      <formula>OR($A279="audio audit", $A279="text audit", $A279="speed violations count", $A279="speed violations list", $A279="speed violations audit")</formula>
    </cfRule>
  </conditionalFormatting>
  <conditionalFormatting sqref="B279:C281 D279:E281">
    <cfRule type="expression" dxfId="32" priority="2622" stopIfTrue="1">
      <formula>$A279="file"</formula>
    </cfRule>
  </conditionalFormatting>
  <conditionalFormatting sqref="B279:C281 D279:E281">
    <cfRule type="expression" dxfId="7" priority="2623" stopIfTrue="1">
      <formula>$A279="note"</formula>
    </cfRule>
  </conditionalFormatting>
  <conditionalFormatting sqref="B279:C281 D279:E281">
    <cfRule type="expression" dxfId="8" priority="2624" stopIfTrue="1">
      <formula>$A279="barcode"</formula>
    </cfRule>
  </conditionalFormatting>
  <conditionalFormatting sqref="B279:C281 D279:E281">
    <cfRule type="expression" dxfId="9" priority="2625" stopIfTrue="1">
      <formula>OR($A279="geopoint", $A279="geoshape", $A279="geotrace")</formula>
    </cfRule>
  </conditionalFormatting>
  <conditionalFormatting sqref="B279:B281">
    <cfRule type="expression" dxfId="10" priority="2626" stopIfTrue="1">
      <formula>OR($A279="calculate", $A279="calculate_here")</formula>
    </cfRule>
  </conditionalFormatting>
  <conditionalFormatting sqref="B279:C281 D279:E281">
    <cfRule type="expression" dxfId="11" priority="2627" stopIfTrue="1">
      <formula>OR($A279="date", $A279="datetime", $A279="time")</formula>
    </cfRule>
  </conditionalFormatting>
  <conditionalFormatting sqref="B279:C281 D279:E281">
    <cfRule type="expression" dxfId="12" priority="2628" stopIfTrue="1">
      <formula>$A279="image"</formula>
    </cfRule>
  </conditionalFormatting>
  <conditionalFormatting sqref="B279:C281 D279:E281">
    <cfRule type="expression" dxfId="13" priority="2629" stopIfTrue="1">
      <formula>OR($A279="audio", $A279="video")</formula>
    </cfRule>
  </conditionalFormatting>
  <conditionalFormatting sqref="B279:E281">
    <cfRule type="expression" dxfId="33" priority="2630" stopIfTrue="1">
      <formula>$A279="file"</formula>
    </cfRule>
  </conditionalFormatting>
  <conditionalFormatting sqref="B279:E281">
    <cfRule type="expression" dxfId="34" priority="2631" stopIfTrue="1">
      <formula>$A279="enumerator"</formula>
    </cfRule>
  </conditionalFormatting>
  <conditionalFormatting sqref="B279:E281">
    <cfRule type="expression" dxfId="35" priority="2632" stopIfTrue="1">
      <formula>OR(AND(LEFT($A279, 14)="sensor_stream ", LEN($A279)&gt;14, NOT(ISNUMBER(SEARCH(" ", $A279, 15)))), AND(LEFT($A279, 17)="sensor_statistic ", LEN($A279)&gt;17, NOT(ISNUMBER(SEARCH(" ", $A279, 18)))))</formula>
    </cfRule>
  </conditionalFormatting>
  <conditionalFormatting sqref="B279:E281">
    <cfRule type="expression" dxfId="14" priority="2633" stopIfTrue="1">
      <formula>$A279="comments"</formula>
    </cfRule>
  </conditionalFormatting>
  <conditionalFormatting sqref="B279:E281">
    <cfRule type="expression" dxfId="15" priority="2634" stopIfTrue="1">
      <formula>OR($A279="audio", $A279="video")</formula>
    </cfRule>
  </conditionalFormatting>
  <conditionalFormatting sqref="B279:E281">
    <cfRule type="expression" dxfId="16" priority="2635" stopIfTrue="1">
      <formula>$A279="image"</formula>
    </cfRule>
  </conditionalFormatting>
  <conditionalFormatting sqref="B279:E281">
    <cfRule type="expression" dxfId="17" priority="2636" stopIfTrue="1">
      <formula>OR($A279="date", $A279="datetime", $A279="time")</formula>
    </cfRule>
  </conditionalFormatting>
  <conditionalFormatting sqref="B279:E281">
    <cfRule type="expression" dxfId="18" priority="2637" stopIfTrue="1">
      <formula>OR($A279="calculate", $A279="calculate_here")</formula>
    </cfRule>
  </conditionalFormatting>
  <conditionalFormatting sqref="B279:E281">
    <cfRule type="expression" dxfId="19" priority="2638" stopIfTrue="1">
      <formula>$A279="note"</formula>
    </cfRule>
  </conditionalFormatting>
  <conditionalFormatting sqref="B279:E281">
    <cfRule type="expression" dxfId="20" priority="2639" stopIfTrue="1">
      <formula>$A279="barcode"</formula>
    </cfRule>
  </conditionalFormatting>
  <conditionalFormatting sqref="B279:E281">
    <cfRule type="expression" dxfId="21" priority="2640" stopIfTrue="1">
      <formula>OR($A279="geopoint", $A279="geoshape", $A279="geotrace")</formula>
    </cfRule>
  </conditionalFormatting>
  <conditionalFormatting sqref="B279:E281">
    <cfRule type="expression" dxfId="22" priority="2641" stopIfTrue="1">
      <formula>OR($A279="audio audit", $A279="text audit", $A279="speed violations count", $A279="speed violations list", $A279="speed violations audit")</formula>
    </cfRule>
  </conditionalFormatting>
  <conditionalFormatting sqref="B279:E281">
    <cfRule type="expression" dxfId="23" priority="2642" stopIfTrue="1">
      <formula>OR($A279="username", $A279="phonenumber", $A279="start", $A279="end", $A279="deviceid", $A279="subscriberid", $A279="simserial", $A279="caseid")</formula>
    </cfRule>
  </conditionalFormatting>
  <conditionalFormatting sqref="B279:E281">
    <cfRule type="expression" dxfId="24" priority="2643" stopIfTrue="1">
      <formula>OR(AND(LEFT($A279, 16)="select_multiple ", LEN($A279)&gt;16, NOT(ISNUMBER(SEARCH(" ", $A279, 17)))), AND(LEFT($A279, 11)="select_one ", LEN($A279)&gt;11, NOT(ISNUMBER(SEARCH(" ", $A279, 12)))))</formula>
    </cfRule>
  </conditionalFormatting>
  <conditionalFormatting sqref="B279:E281">
    <cfRule type="expression" dxfId="25" priority="2644" stopIfTrue="1">
      <formula>$A279="decimal"</formula>
    </cfRule>
  </conditionalFormatting>
  <conditionalFormatting sqref="B279:E281">
    <cfRule type="expression" dxfId="26" priority="2645" stopIfTrue="1">
      <formula>$A279="integer"</formula>
    </cfRule>
  </conditionalFormatting>
  <conditionalFormatting sqref="B279:E281">
    <cfRule type="expression" dxfId="27" priority="2646" stopIfTrue="1">
      <formula>$A279="text"</formula>
    </cfRule>
  </conditionalFormatting>
  <conditionalFormatting sqref="B279:E281">
    <cfRule type="expression" dxfId="28" priority="2647" stopIfTrue="1">
      <formula>$A279="end repeat"</formula>
    </cfRule>
  </conditionalFormatting>
  <conditionalFormatting sqref="B279:E281">
    <cfRule type="expression" dxfId="28" priority="2648" stopIfTrue="1">
      <formula>$A279="begin repeat"</formula>
    </cfRule>
  </conditionalFormatting>
  <conditionalFormatting sqref="B279:E281">
    <cfRule type="expression" dxfId="29" priority="2649" stopIfTrue="1">
      <formula>$A279="end group"</formula>
    </cfRule>
  </conditionalFormatting>
  <conditionalFormatting sqref="B279:E281">
    <cfRule type="expression" dxfId="29" priority="2650" stopIfTrue="1">
      <formula>$A279="begin group"</formula>
    </cfRule>
  </conditionalFormatting>
  <conditionalFormatting sqref="B279:B281">
    <cfRule type="expression" dxfId="30" priority="2651" stopIfTrue="1">
      <formula>$A279="comments"</formula>
    </cfRule>
  </conditionalFormatting>
  <conditionalFormatting sqref="B279:B281">
    <cfRule type="expression" dxfId="36" priority="2652" stopIfTrue="1">
      <formula>OR(AND(LEFT($A279, 14)="sensor_stream ", LEN($A279)&gt;14, NOT(ISNUMBER(SEARCH(" ", $A279, 15)))), AND(LEFT($A279, 17)="sensor_statistic ", LEN($A279)&gt;17, NOT(ISNUMBER(SEARCH(" ", $A279, 18)))))</formula>
    </cfRule>
  </conditionalFormatting>
  <conditionalFormatting sqref="B273:C274 D273:E274">
    <cfRule type="expression" dxfId="0" priority="2653" stopIfTrue="1">
      <formula>$A273="begin group"</formula>
    </cfRule>
  </conditionalFormatting>
  <conditionalFormatting sqref="B273:C274 D273:E274">
    <cfRule type="expression" dxfId="1" priority="2654" stopIfTrue="1">
      <formula>$A273="begin repeat"</formula>
    </cfRule>
  </conditionalFormatting>
  <conditionalFormatting sqref="B273:E274">
    <cfRule type="expression" dxfId="31" priority="2655" stopIfTrue="1">
      <formula>$A273="enumerator"</formula>
    </cfRule>
  </conditionalFormatting>
  <conditionalFormatting sqref="B273:E274">
    <cfRule type="expression" dxfId="2" priority="2656" stopIfTrue="1">
      <formula>$A273="text"</formula>
    </cfRule>
  </conditionalFormatting>
  <conditionalFormatting sqref="B273:E274">
    <cfRule type="expression" dxfId="3" priority="2657" stopIfTrue="1">
      <formula>$A273="integer"</formula>
    </cfRule>
  </conditionalFormatting>
  <conditionalFormatting sqref="B273:E274">
    <cfRule type="expression" dxfId="4" priority="2658" stopIfTrue="1">
      <formula>$A273="decimal"</formula>
    </cfRule>
  </conditionalFormatting>
  <conditionalFormatting sqref="B273:C274 D273:E274">
    <cfRule type="expression" dxfId="5" priority="2659" stopIfTrue="1">
      <formula>OR(AND(LEFT($A273, 16)="select_multiple ", LEN($A273)&gt;16, NOT(ISNUMBER(SEARCH(" ", $A273, 17)))), AND(LEFT($A273, 11)="select_one ", LEN($A273)&gt;11, NOT(ISNUMBER(SEARCH(" ", $A273, 12)))))</formula>
    </cfRule>
  </conditionalFormatting>
  <conditionalFormatting sqref="B273:B274">
    <cfRule type="expression" dxfId="6" priority="2660" stopIfTrue="1">
      <formula>OR($A273="audio audit", $A273="text audit", $A273="speed violations count", $A273="speed violations list", $A273="speed violations audit")</formula>
    </cfRule>
  </conditionalFormatting>
  <conditionalFormatting sqref="B273:C274 D273:E274">
    <cfRule type="expression" dxfId="32" priority="2661" stopIfTrue="1">
      <formula>$A273="file"</formula>
    </cfRule>
  </conditionalFormatting>
  <conditionalFormatting sqref="B273:C274 D273:E274">
    <cfRule type="expression" dxfId="7" priority="2662" stopIfTrue="1">
      <formula>$A273="note"</formula>
    </cfRule>
  </conditionalFormatting>
  <conditionalFormatting sqref="B273:C274 D273:E274">
    <cfRule type="expression" dxfId="8" priority="2663" stopIfTrue="1">
      <formula>$A273="barcode"</formula>
    </cfRule>
  </conditionalFormatting>
  <conditionalFormatting sqref="B273:C274 D273:E274">
    <cfRule type="expression" dxfId="9" priority="2664" stopIfTrue="1">
      <formula>OR($A273="geopoint", $A273="geoshape", $A273="geotrace")</formula>
    </cfRule>
  </conditionalFormatting>
  <conditionalFormatting sqref="B273:B274">
    <cfRule type="expression" dxfId="10" priority="2665" stopIfTrue="1">
      <formula>OR($A273="calculate", $A273="calculate_here")</formula>
    </cfRule>
  </conditionalFormatting>
  <conditionalFormatting sqref="B273:C274 D273:E274">
    <cfRule type="expression" dxfId="11" priority="2666" stopIfTrue="1">
      <formula>OR($A273="date", $A273="datetime", $A273="time")</formula>
    </cfRule>
  </conditionalFormatting>
  <conditionalFormatting sqref="B273:C274 D273:E274">
    <cfRule type="expression" dxfId="12" priority="2667" stopIfTrue="1">
      <formula>$A273="image"</formula>
    </cfRule>
  </conditionalFormatting>
  <conditionalFormatting sqref="B273:C274 D273:E274">
    <cfRule type="expression" dxfId="13" priority="2668" stopIfTrue="1">
      <formula>OR($A273="audio", $A273="video")</formula>
    </cfRule>
  </conditionalFormatting>
  <conditionalFormatting sqref="B273:E274">
    <cfRule type="expression" dxfId="33" priority="2669" stopIfTrue="1">
      <formula>$A273="file"</formula>
    </cfRule>
  </conditionalFormatting>
  <conditionalFormatting sqref="B273:E274">
    <cfRule type="expression" dxfId="34" priority="2670" stopIfTrue="1">
      <formula>$A273="enumerator"</formula>
    </cfRule>
  </conditionalFormatting>
  <conditionalFormatting sqref="B273:E274">
    <cfRule type="expression" dxfId="35" priority="2671" stopIfTrue="1">
      <formula>OR(AND(LEFT($A273, 14)="sensor_stream ", LEN($A273)&gt;14, NOT(ISNUMBER(SEARCH(" ", $A273, 15)))), AND(LEFT($A273, 17)="sensor_statistic ", LEN($A273)&gt;17, NOT(ISNUMBER(SEARCH(" ", $A273, 18)))))</formula>
    </cfRule>
  </conditionalFormatting>
  <conditionalFormatting sqref="B273:E274">
    <cfRule type="expression" dxfId="14" priority="2672" stopIfTrue="1">
      <formula>$A273="comments"</formula>
    </cfRule>
  </conditionalFormatting>
  <conditionalFormatting sqref="B273:E274">
    <cfRule type="expression" dxfId="15" priority="2673" stopIfTrue="1">
      <formula>OR($A273="audio", $A273="video")</formula>
    </cfRule>
  </conditionalFormatting>
  <conditionalFormatting sqref="B273:E274">
    <cfRule type="expression" dxfId="16" priority="2674" stopIfTrue="1">
      <formula>$A273="image"</formula>
    </cfRule>
  </conditionalFormatting>
  <conditionalFormatting sqref="B273:E274">
    <cfRule type="expression" dxfId="17" priority="2675" stopIfTrue="1">
      <formula>OR($A273="date", $A273="datetime", $A273="time")</formula>
    </cfRule>
  </conditionalFormatting>
  <conditionalFormatting sqref="B273:E274">
    <cfRule type="expression" dxfId="18" priority="2676" stopIfTrue="1">
      <formula>OR($A273="calculate", $A273="calculate_here")</formula>
    </cfRule>
  </conditionalFormatting>
  <conditionalFormatting sqref="B273:E274">
    <cfRule type="expression" dxfId="19" priority="2677" stopIfTrue="1">
      <formula>$A273="note"</formula>
    </cfRule>
  </conditionalFormatting>
  <conditionalFormatting sqref="B273:E274">
    <cfRule type="expression" dxfId="20" priority="2678" stopIfTrue="1">
      <formula>$A273="barcode"</formula>
    </cfRule>
  </conditionalFormatting>
  <conditionalFormatting sqref="B273:E274">
    <cfRule type="expression" dxfId="21" priority="2679" stopIfTrue="1">
      <formula>OR($A273="geopoint", $A273="geoshape", $A273="geotrace")</formula>
    </cfRule>
  </conditionalFormatting>
  <conditionalFormatting sqref="B273:E274">
    <cfRule type="expression" dxfId="22" priority="2680" stopIfTrue="1">
      <formula>OR($A273="audio audit", $A273="text audit", $A273="speed violations count", $A273="speed violations list", $A273="speed violations audit")</formula>
    </cfRule>
  </conditionalFormatting>
  <conditionalFormatting sqref="B273:E274">
    <cfRule type="expression" dxfId="23" priority="2681" stopIfTrue="1">
      <formula>OR($A273="username", $A273="phonenumber", $A273="start", $A273="end", $A273="deviceid", $A273="subscriberid", $A273="simserial", $A273="caseid")</formula>
    </cfRule>
  </conditionalFormatting>
  <conditionalFormatting sqref="B273:E274">
    <cfRule type="expression" dxfId="24" priority="2682" stopIfTrue="1">
      <formula>OR(AND(LEFT($A273, 16)="select_multiple ", LEN($A273)&gt;16, NOT(ISNUMBER(SEARCH(" ", $A273, 17)))), AND(LEFT($A273, 11)="select_one ", LEN($A273)&gt;11, NOT(ISNUMBER(SEARCH(" ", $A273, 12)))))</formula>
    </cfRule>
  </conditionalFormatting>
  <conditionalFormatting sqref="B273:E274">
    <cfRule type="expression" dxfId="25" priority="2683" stopIfTrue="1">
      <formula>$A273="decimal"</formula>
    </cfRule>
  </conditionalFormatting>
  <conditionalFormatting sqref="B273:E274">
    <cfRule type="expression" dxfId="26" priority="2684" stopIfTrue="1">
      <formula>$A273="integer"</formula>
    </cfRule>
  </conditionalFormatting>
  <conditionalFormatting sqref="B273:E274">
    <cfRule type="expression" dxfId="27" priority="2685" stopIfTrue="1">
      <formula>$A273="text"</formula>
    </cfRule>
  </conditionalFormatting>
  <conditionalFormatting sqref="B273:E274">
    <cfRule type="expression" dxfId="28" priority="2686" stopIfTrue="1">
      <formula>$A273="end repeat"</formula>
    </cfRule>
  </conditionalFormatting>
  <conditionalFormatting sqref="B273:E274">
    <cfRule type="expression" dxfId="28" priority="2687" stopIfTrue="1">
      <formula>$A273="begin repeat"</formula>
    </cfRule>
  </conditionalFormatting>
  <conditionalFormatting sqref="B273:E274">
    <cfRule type="expression" dxfId="29" priority="2688" stopIfTrue="1">
      <formula>$A273="end group"</formula>
    </cfRule>
  </conditionalFormatting>
  <conditionalFormatting sqref="B273:E274">
    <cfRule type="expression" dxfId="29" priority="2689" stopIfTrue="1">
      <formula>$A273="begin group"</formula>
    </cfRule>
  </conditionalFormatting>
  <conditionalFormatting sqref="B273:B274">
    <cfRule type="expression" dxfId="30" priority="2690" stopIfTrue="1">
      <formula>$A273="comments"</formula>
    </cfRule>
  </conditionalFormatting>
  <conditionalFormatting sqref="B273:B274">
    <cfRule type="expression" dxfId="36" priority="2691" stopIfTrue="1">
      <formula>OR(AND(LEFT($A273, 14)="sensor_stream ", LEN($A273)&gt;14, NOT(ISNUMBER(SEARCH(" ", $A273, 15)))), AND(LEFT($A273, 17)="sensor_statistic ", LEN($A273)&gt;17, NOT(ISNUMBER(SEARCH(" ", $A273, 18)))))</formula>
    </cfRule>
  </conditionalFormatting>
  <conditionalFormatting sqref="B267:C271 D267:E271">
    <cfRule type="expression" dxfId="0" priority="2692" stopIfTrue="1">
      <formula>$A267="begin group"</formula>
    </cfRule>
  </conditionalFormatting>
  <conditionalFormatting sqref="B267:C271 D267:E271">
    <cfRule type="expression" dxfId="1" priority="2693" stopIfTrue="1">
      <formula>$A267="begin repeat"</formula>
    </cfRule>
  </conditionalFormatting>
  <conditionalFormatting sqref="B267:E271">
    <cfRule type="expression" dxfId="31" priority="2694" stopIfTrue="1">
      <formula>$A267="enumerator"</formula>
    </cfRule>
  </conditionalFormatting>
  <conditionalFormatting sqref="B267:E271">
    <cfRule type="expression" dxfId="2" priority="2695" stopIfTrue="1">
      <formula>$A267="text"</formula>
    </cfRule>
  </conditionalFormatting>
  <conditionalFormatting sqref="B267:E271">
    <cfRule type="expression" dxfId="3" priority="2696" stopIfTrue="1">
      <formula>$A267="integer"</formula>
    </cfRule>
  </conditionalFormatting>
  <conditionalFormatting sqref="B267:E271">
    <cfRule type="expression" dxfId="4" priority="2697" stopIfTrue="1">
      <formula>$A267="decimal"</formula>
    </cfRule>
  </conditionalFormatting>
  <conditionalFormatting sqref="B267:C271 D267:E271">
    <cfRule type="expression" dxfId="5" priority="2698" stopIfTrue="1">
      <formula>OR(AND(LEFT($A267, 16)="select_multiple ", LEN($A267)&gt;16, NOT(ISNUMBER(SEARCH(" ", $A267, 17)))), AND(LEFT($A267, 11)="select_one ", LEN($A267)&gt;11, NOT(ISNUMBER(SEARCH(" ", $A267, 12)))))</formula>
    </cfRule>
  </conditionalFormatting>
  <conditionalFormatting sqref="B267:B271">
    <cfRule type="expression" dxfId="6" priority="2699" stopIfTrue="1">
      <formula>OR($A267="audio audit", $A267="text audit", $A267="speed violations count", $A267="speed violations list", $A267="speed violations audit")</formula>
    </cfRule>
  </conditionalFormatting>
  <conditionalFormatting sqref="B267:C271 D267:E271">
    <cfRule type="expression" dxfId="32" priority="2700" stopIfTrue="1">
      <formula>$A267="file"</formula>
    </cfRule>
  </conditionalFormatting>
  <conditionalFormatting sqref="B267:C271 D267:E271">
    <cfRule type="expression" dxfId="7" priority="2701" stopIfTrue="1">
      <formula>$A267="note"</formula>
    </cfRule>
  </conditionalFormatting>
  <conditionalFormatting sqref="B267:C271 D267:E271">
    <cfRule type="expression" dxfId="8" priority="2702" stopIfTrue="1">
      <formula>$A267="barcode"</formula>
    </cfRule>
  </conditionalFormatting>
  <conditionalFormatting sqref="B267:C271 D267:E271">
    <cfRule type="expression" dxfId="9" priority="2703" stopIfTrue="1">
      <formula>OR($A267="geopoint", $A267="geoshape", $A267="geotrace")</formula>
    </cfRule>
  </conditionalFormatting>
  <conditionalFormatting sqref="B267:B271">
    <cfRule type="expression" dxfId="10" priority="2704" stopIfTrue="1">
      <formula>OR($A267="calculate", $A267="calculate_here")</formula>
    </cfRule>
  </conditionalFormatting>
  <conditionalFormatting sqref="B267:C271 D267:E271">
    <cfRule type="expression" dxfId="11" priority="2705" stopIfTrue="1">
      <formula>OR($A267="date", $A267="datetime", $A267="time")</formula>
    </cfRule>
  </conditionalFormatting>
  <conditionalFormatting sqref="B267:C271 D267:E271">
    <cfRule type="expression" dxfId="12" priority="2706" stopIfTrue="1">
      <formula>$A267="image"</formula>
    </cfRule>
  </conditionalFormatting>
  <conditionalFormatting sqref="B267:C271 D267:E271">
    <cfRule type="expression" dxfId="13" priority="2707" stopIfTrue="1">
      <formula>OR($A267="audio", $A267="video")</formula>
    </cfRule>
  </conditionalFormatting>
  <conditionalFormatting sqref="B267:E271">
    <cfRule type="expression" dxfId="33" priority="2708" stopIfTrue="1">
      <formula>$A267="file"</formula>
    </cfRule>
  </conditionalFormatting>
  <conditionalFormatting sqref="B267:E271">
    <cfRule type="expression" dxfId="34" priority="2709" stopIfTrue="1">
      <formula>$A267="enumerator"</formula>
    </cfRule>
  </conditionalFormatting>
  <conditionalFormatting sqref="B267:E271">
    <cfRule type="expression" dxfId="35" priority="2710" stopIfTrue="1">
      <formula>OR(AND(LEFT($A267, 14)="sensor_stream ", LEN($A267)&gt;14, NOT(ISNUMBER(SEARCH(" ", $A267, 15)))), AND(LEFT($A267, 17)="sensor_statistic ", LEN($A267)&gt;17, NOT(ISNUMBER(SEARCH(" ", $A267, 18)))))</formula>
    </cfRule>
  </conditionalFormatting>
  <conditionalFormatting sqref="B267:E271">
    <cfRule type="expression" dxfId="14" priority="2711" stopIfTrue="1">
      <formula>$A267="comments"</formula>
    </cfRule>
  </conditionalFormatting>
  <conditionalFormatting sqref="B267:E271">
    <cfRule type="expression" dxfId="15" priority="2712" stopIfTrue="1">
      <formula>OR($A267="audio", $A267="video")</formula>
    </cfRule>
  </conditionalFormatting>
  <conditionalFormatting sqref="B267:E271">
    <cfRule type="expression" dxfId="16" priority="2713" stopIfTrue="1">
      <formula>$A267="image"</formula>
    </cfRule>
  </conditionalFormatting>
  <conditionalFormatting sqref="B267:E271">
    <cfRule type="expression" dxfId="17" priority="2714" stopIfTrue="1">
      <formula>OR($A267="date", $A267="datetime", $A267="time")</formula>
    </cfRule>
  </conditionalFormatting>
  <conditionalFormatting sqref="B267:E271">
    <cfRule type="expression" dxfId="18" priority="2715" stopIfTrue="1">
      <formula>OR($A267="calculate", $A267="calculate_here")</formula>
    </cfRule>
  </conditionalFormatting>
  <conditionalFormatting sqref="B267:E271">
    <cfRule type="expression" dxfId="19" priority="2716" stopIfTrue="1">
      <formula>$A267="note"</formula>
    </cfRule>
  </conditionalFormatting>
  <conditionalFormatting sqref="B267:E271">
    <cfRule type="expression" dxfId="20" priority="2717" stopIfTrue="1">
      <formula>$A267="barcode"</formula>
    </cfRule>
  </conditionalFormatting>
  <conditionalFormatting sqref="B267:E271">
    <cfRule type="expression" dxfId="21" priority="2718" stopIfTrue="1">
      <formula>OR($A267="geopoint", $A267="geoshape", $A267="geotrace")</formula>
    </cfRule>
  </conditionalFormatting>
  <conditionalFormatting sqref="B267:E271">
    <cfRule type="expression" dxfId="22" priority="2719" stopIfTrue="1">
      <formula>OR($A267="audio audit", $A267="text audit", $A267="speed violations count", $A267="speed violations list", $A267="speed violations audit")</formula>
    </cfRule>
  </conditionalFormatting>
  <conditionalFormatting sqref="B267:E271">
    <cfRule type="expression" dxfId="23" priority="2720" stopIfTrue="1">
      <formula>OR($A267="username", $A267="phonenumber", $A267="start", $A267="end", $A267="deviceid", $A267="subscriberid", $A267="simserial", $A267="caseid")</formula>
    </cfRule>
  </conditionalFormatting>
  <conditionalFormatting sqref="B267:E271">
    <cfRule type="expression" dxfId="24" priority="2721" stopIfTrue="1">
      <formula>OR(AND(LEFT($A267, 16)="select_multiple ", LEN($A267)&gt;16, NOT(ISNUMBER(SEARCH(" ", $A267, 17)))), AND(LEFT($A267, 11)="select_one ", LEN($A267)&gt;11, NOT(ISNUMBER(SEARCH(" ", $A267, 12)))))</formula>
    </cfRule>
  </conditionalFormatting>
  <conditionalFormatting sqref="B267:E271">
    <cfRule type="expression" dxfId="25" priority="2722" stopIfTrue="1">
      <formula>$A267="decimal"</formula>
    </cfRule>
  </conditionalFormatting>
  <conditionalFormatting sqref="B267:E271">
    <cfRule type="expression" dxfId="26" priority="2723" stopIfTrue="1">
      <formula>$A267="integer"</formula>
    </cfRule>
  </conditionalFormatting>
  <conditionalFormatting sqref="B267:E271">
    <cfRule type="expression" dxfId="27" priority="2724" stopIfTrue="1">
      <formula>$A267="text"</formula>
    </cfRule>
  </conditionalFormatting>
  <conditionalFormatting sqref="B267:E271">
    <cfRule type="expression" dxfId="28" priority="2725" stopIfTrue="1">
      <formula>$A267="end repeat"</formula>
    </cfRule>
  </conditionalFormatting>
  <conditionalFormatting sqref="B267:E271">
    <cfRule type="expression" dxfId="28" priority="2726" stopIfTrue="1">
      <formula>$A267="begin repeat"</formula>
    </cfRule>
  </conditionalFormatting>
  <conditionalFormatting sqref="B267:E271">
    <cfRule type="expression" dxfId="29" priority="2727" stopIfTrue="1">
      <formula>$A267="end group"</formula>
    </cfRule>
  </conditionalFormatting>
  <conditionalFormatting sqref="B267:E271">
    <cfRule type="expression" dxfId="29" priority="2728" stopIfTrue="1">
      <formula>$A267="begin group"</formula>
    </cfRule>
  </conditionalFormatting>
  <conditionalFormatting sqref="B267:B271">
    <cfRule type="expression" dxfId="30" priority="2729" stopIfTrue="1">
      <formula>$A267="comments"</formula>
    </cfRule>
  </conditionalFormatting>
  <conditionalFormatting sqref="B267:B271">
    <cfRule type="expression" dxfId="36" priority="2730" stopIfTrue="1">
      <formula>OR(AND(LEFT($A267, 14)="sensor_stream ", LEN($A267)&gt;14, NOT(ISNUMBER(SEARCH(" ", $A267, 15)))), AND(LEFT($A267, 17)="sensor_statistic ", LEN($A267)&gt;17, NOT(ISNUMBER(SEARCH(" ", $A267, 18)))))</formula>
    </cfRule>
  </conditionalFormatting>
  <conditionalFormatting sqref="B225:C265 D225:E265">
    <cfRule type="expression" dxfId="0" priority="2731" stopIfTrue="1">
      <formula>$A225="begin group"</formula>
    </cfRule>
  </conditionalFormatting>
  <conditionalFormatting sqref="B225:C265 D225:E265">
    <cfRule type="expression" dxfId="1" priority="2732" stopIfTrue="1">
      <formula>$A225="begin repeat"</formula>
    </cfRule>
  </conditionalFormatting>
  <conditionalFormatting sqref="B225:E265">
    <cfRule type="expression" dxfId="31" priority="2733" stopIfTrue="1">
      <formula>$A225="enumerator"</formula>
    </cfRule>
  </conditionalFormatting>
  <conditionalFormatting sqref="B225:E265">
    <cfRule type="expression" dxfId="2" priority="2734" stopIfTrue="1">
      <formula>$A225="text"</formula>
    </cfRule>
  </conditionalFormatting>
  <conditionalFormatting sqref="B225:E265">
    <cfRule type="expression" dxfId="3" priority="2735" stopIfTrue="1">
      <formula>$A225="integer"</formula>
    </cfRule>
  </conditionalFormatting>
  <conditionalFormatting sqref="B225:E265">
    <cfRule type="expression" dxfId="4" priority="2736" stopIfTrue="1">
      <formula>$A225="decimal"</formula>
    </cfRule>
  </conditionalFormatting>
  <conditionalFormatting sqref="B225:C265 D225:E265">
    <cfRule type="expression" dxfId="5" priority="2737" stopIfTrue="1">
      <formula>OR(AND(LEFT($A225, 16)="select_multiple ", LEN($A225)&gt;16, NOT(ISNUMBER(SEARCH(" ", $A225, 17)))), AND(LEFT($A225, 11)="select_one ", LEN($A225)&gt;11, NOT(ISNUMBER(SEARCH(" ", $A225, 12)))))</formula>
    </cfRule>
  </conditionalFormatting>
  <conditionalFormatting sqref="B225:B265">
    <cfRule type="expression" dxfId="6" priority="2738" stopIfTrue="1">
      <formula>OR($A225="audio audit", $A225="text audit", $A225="speed violations count", $A225="speed violations list", $A225="speed violations audit")</formula>
    </cfRule>
  </conditionalFormatting>
  <conditionalFormatting sqref="B225:C265 D225:E265">
    <cfRule type="expression" dxfId="32" priority="2739" stopIfTrue="1">
      <formula>$A225="file"</formula>
    </cfRule>
  </conditionalFormatting>
  <conditionalFormatting sqref="B225:C265 D225:E265">
    <cfRule type="expression" dxfId="7" priority="2740" stopIfTrue="1">
      <formula>$A225="note"</formula>
    </cfRule>
  </conditionalFormatting>
  <conditionalFormatting sqref="B225:C265 D225:E265">
    <cfRule type="expression" dxfId="8" priority="2741" stopIfTrue="1">
      <formula>$A225="barcode"</formula>
    </cfRule>
  </conditionalFormatting>
  <conditionalFormatting sqref="B225:C265 D225:E265">
    <cfRule type="expression" dxfId="9" priority="2742" stopIfTrue="1">
      <formula>OR($A225="geopoint", $A225="geoshape", $A225="geotrace")</formula>
    </cfRule>
  </conditionalFormatting>
  <conditionalFormatting sqref="B225:B265">
    <cfRule type="expression" dxfId="10" priority="2743" stopIfTrue="1">
      <formula>OR($A225="calculate", $A225="calculate_here")</formula>
    </cfRule>
  </conditionalFormatting>
  <conditionalFormatting sqref="B225:C265 D225:E265">
    <cfRule type="expression" dxfId="11" priority="2744" stopIfTrue="1">
      <formula>OR($A225="date", $A225="datetime", $A225="time")</formula>
    </cfRule>
  </conditionalFormatting>
  <conditionalFormatting sqref="B225:C265 D225:E265">
    <cfRule type="expression" dxfId="12" priority="2745" stopIfTrue="1">
      <formula>$A225="image"</formula>
    </cfRule>
  </conditionalFormatting>
  <conditionalFormatting sqref="B225:C265 D225:E265">
    <cfRule type="expression" dxfId="13" priority="2746" stopIfTrue="1">
      <formula>OR($A225="audio", $A225="video")</formula>
    </cfRule>
  </conditionalFormatting>
  <conditionalFormatting sqref="B225:E265">
    <cfRule type="expression" dxfId="33" priority="2747" stopIfTrue="1">
      <formula>$A225="file"</formula>
    </cfRule>
  </conditionalFormatting>
  <conditionalFormatting sqref="B225:E265">
    <cfRule type="expression" dxfId="34" priority="2748" stopIfTrue="1">
      <formula>$A225="enumerator"</formula>
    </cfRule>
  </conditionalFormatting>
  <conditionalFormatting sqref="B225:E265">
    <cfRule type="expression" dxfId="35" priority="2749" stopIfTrue="1">
      <formula>OR(AND(LEFT($A225, 14)="sensor_stream ", LEN($A225)&gt;14, NOT(ISNUMBER(SEARCH(" ", $A225, 15)))), AND(LEFT($A225, 17)="sensor_statistic ", LEN($A225)&gt;17, NOT(ISNUMBER(SEARCH(" ", $A225, 18)))))</formula>
    </cfRule>
  </conditionalFormatting>
  <conditionalFormatting sqref="B225:E265">
    <cfRule type="expression" dxfId="14" priority="2750" stopIfTrue="1">
      <formula>$A225="comments"</formula>
    </cfRule>
  </conditionalFormatting>
  <conditionalFormatting sqref="B225:E265">
    <cfRule type="expression" dxfId="15" priority="2751" stopIfTrue="1">
      <formula>OR($A225="audio", $A225="video")</formula>
    </cfRule>
  </conditionalFormatting>
  <conditionalFormatting sqref="B225:E265">
    <cfRule type="expression" dxfId="16" priority="2752" stopIfTrue="1">
      <formula>$A225="image"</formula>
    </cfRule>
  </conditionalFormatting>
  <conditionalFormatting sqref="B225:E265">
    <cfRule type="expression" dxfId="17" priority="2753" stopIfTrue="1">
      <formula>OR($A225="date", $A225="datetime", $A225="time")</formula>
    </cfRule>
  </conditionalFormatting>
  <conditionalFormatting sqref="B225:E265">
    <cfRule type="expression" dxfId="18" priority="2754" stopIfTrue="1">
      <formula>OR($A225="calculate", $A225="calculate_here")</formula>
    </cfRule>
  </conditionalFormatting>
  <conditionalFormatting sqref="B225:E265">
    <cfRule type="expression" dxfId="19" priority="2755" stopIfTrue="1">
      <formula>$A225="note"</formula>
    </cfRule>
  </conditionalFormatting>
  <conditionalFormatting sqref="B225:E265">
    <cfRule type="expression" dxfId="20" priority="2756" stopIfTrue="1">
      <formula>$A225="barcode"</formula>
    </cfRule>
  </conditionalFormatting>
  <conditionalFormatting sqref="B225:E265">
    <cfRule type="expression" dxfId="21" priority="2757" stopIfTrue="1">
      <formula>OR($A225="geopoint", $A225="geoshape", $A225="geotrace")</formula>
    </cfRule>
  </conditionalFormatting>
  <conditionalFormatting sqref="B225:E265">
    <cfRule type="expression" dxfId="22" priority="2758" stopIfTrue="1">
      <formula>OR($A225="audio audit", $A225="text audit", $A225="speed violations count", $A225="speed violations list", $A225="speed violations audit")</formula>
    </cfRule>
  </conditionalFormatting>
  <conditionalFormatting sqref="B225:E265">
    <cfRule type="expression" dxfId="23" priority="2759" stopIfTrue="1">
      <formula>OR($A225="username", $A225="phonenumber", $A225="start", $A225="end", $A225="deviceid", $A225="subscriberid", $A225="simserial", $A225="caseid")</formula>
    </cfRule>
  </conditionalFormatting>
  <conditionalFormatting sqref="B225:E265">
    <cfRule type="expression" dxfId="24" priority="2760" stopIfTrue="1">
      <formula>OR(AND(LEFT($A225, 16)="select_multiple ", LEN($A225)&gt;16, NOT(ISNUMBER(SEARCH(" ", $A225, 17)))), AND(LEFT($A225, 11)="select_one ", LEN($A225)&gt;11, NOT(ISNUMBER(SEARCH(" ", $A225, 12)))))</formula>
    </cfRule>
  </conditionalFormatting>
  <conditionalFormatting sqref="B225:E265">
    <cfRule type="expression" dxfId="25" priority="2761" stopIfTrue="1">
      <formula>$A225="decimal"</formula>
    </cfRule>
  </conditionalFormatting>
  <conditionalFormatting sqref="B225:E265">
    <cfRule type="expression" dxfId="26" priority="2762" stopIfTrue="1">
      <formula>$A225="integer"</formula>
    </cfRule>
  </conditionalFormatting>
  <conditionalFormatting sqref="B225:E265">
    <cfRule type="expression" dxfId="27" priority="2763" stopIfTrue="1">
      <formula>$A225="text"</formula>
    </cfRule>
  </conditionalFormatting>
  <conditionalFormatting sqref="B225:E265">
    <cfRule type="expression" dxfId="28" priority="2764" stopIfTrue="1">
      <formula>$A225="end repeat"</formula>
    </cfRule>
  </conditionalFormatting>
  <conditionalFormatting sqref="B225:E265">
    <cfRule type="expression" dxfId="28" priority="2765" stopIfTrue="1">
      <formula>$A225="begin repeat"</formula>
    </cfRule>
  </conditionalFormatting>
  <conditionalFormatting sqref="B225:E265">
    <cfRule type="expression" dxfId="29" priority="2766" stopIfTrue="1">
      <formula>$A225="end group"</formula>
    </cfRule>
  </conditionalFormatting>
  <conditionalFormatting sqref="B225:E265">
    <cfRule type="expression" dxfId="29" priority="2767" stopIfTrue="1">
      <formula>$A225="begin group"</formula>
    </cfRule>
  </conditionalFormatting>
  <conditionalFormatting sqref="B225:B265">
    <cfRule type="expression" dxfId="30" priority="2768" stopIfTrue="1">
      <formula>$A225="comments"</formula>
    </cfRule>
  </conditionalFormatting>
  <conditionalFormatting sqref="B225:B265">
    <cfRule type="expression" dxfId="36" priority="2769" stopIfTrue="1">
      <formula>OR(AND(LEFT($A225, 14)="sensor_stream ", LEN($A225)&gt;14, NOT(ISNUMBER(SEARCH(" ", $A225, 15)))), AND(LEFT($A225, 17)="sensor_statistic ", LEN($A225)&gt;17, NOT(ISNUMBER(SEARCH(" ", $A225, 18)))))</formula>
    </cfRule>
  </conditionalFormatting>
  <conditionalFormatting sqref="B217:C223 D217:E223">
    <cfRule type="expression" dxfId="0" priority="2770" stopIfTrue="1">
      <formula>$A217="begin group"</formula>
    </cfRule>
  </conditionalFormatting>
  <conditionalFormatting sqref="B217:C223 D217:E223">
    <cfRule type="expression" dxfId="1" priority="2771" stopIfTrue="1">
      <formula>$A217="begin repeat"</formula>
    </cfRule>
  </conditionalFormatting>
  <conditionalFormatting sqref="B217:E223">
    <cfRule type="expression" dxfId="31" priority="2772" stopIfTrue="1">
      <formula>$A217="enumerator"</formula>
    </cfRule>
  </conditionalFormatting>
  <conditionalFormatting sqref="B217:E223">
    <cfRule type="expression" dxfId="2" priority="2773" stopIfTrue="1">
      <formula>$A217="text"</formula>
    </cfRule>
  </conditionalFormatting>
  <conditionalFormatting sqref="B217:E223">
    <cfRule type="expression" dxfId="3" priority="2774" stopIfTrue="1">
      <formula>$A217="integer"</formula>
    </cfRule>
  </conditionalFormatting>
  <conditionalFormatting sqref="B217:E223">
    <cfRule type="expression" dxfId="4" priority="2775" stopIfTrue="1">
      <formula>$A217="decimal"</formula>
    </cfRule>
  </conditionalFormatting>
  <conditionalFormatting sqref="B217:C223 D217:E223">
    <cfRule type="expression" dxfId="5" priority="2776" stopIfTrue="1">
      <formula>OR(AND(LEFT($A217, 16)="select_multiple ", LEN($A217)&gt;16, NOT(ISNUMBER(SEARCH(" ", $A217, 17)))), AND(LEFT($A217, 11)="select_one ", LEN($A217)&gt;11, NOT(ISNUMBER(SEARCH(" ", $A217, 12)))))</formula>
    </cfRule>
  </conditionalFormatting>
  <conditionalFormatting sqref="B217:B223">
    <cfRule type="expression" dxfId="6" priority="2777" stopIfTrue="1">
      <formula>OR($A217="audio audit", $A217="text audit", $A217="speed violations count", $A217="speed violations list", $A217="speed violations audit")</formula>
    </cfRule>
  </conditionalFormatting>
  <conditionalFormatting sqref="B217:C223 D217:E223">
    <cfRule type="expression" dxfId="32" priority="2778" stopIfTrue="1">
      <formula>$A217="file"</formula>
    </cfRule>
  </conditionalFormatting>
  <conditionalFormatting sqref="B217:C223 D217:E223">
    <cfRule type="expression" dxfId="7" priority="2779" stopIfTrue="1">
      <formula>$A217="note"</formula>
    </cfRule>
  </conditionalFormatting>
  <conditionalFormatting sqref="B217:C223 D217:E223">
    <cfRule type="expression" dxfId="8" priority="2780" stopIfTrue="1">
      <formula>$A217="barcode"</formula>
    </cfRule>
  </conditionalFormatting>
  <conditionalFormatting sqref="B217:C223 D217:E223">
    <cfRule type="expression" dxfId="9" priority="2781" stopIfTrue="1">
      <formula>OR($A217="geopoint", $A217="geoshape", $A217="geotrace")</formula>
    </cfRule>
  </conditionalFormatting>
  <conditionalFormatting sqref="B217:B223">
    <cfRule type="expression" dxfId="10" priority="2782" stopIfTrue="1">
      <formula>OR($A217="calculate", $A217="calculate_here")</formula>
    </cfRule>
  </conditionalFormatting>
  <conditionalFormatting sqref="B217:C223 D217:E223">
    <cfRule type="expression" dxfId="11" priority="2783" stopIfTrue="1">
      <formula>OR($A217="date", $A217="datetime", $A217="time")</formula>
    </cfRule>
  </conditionalFormatting>
  <conditionalFormatting sqref="B217:C223 D217:E223">
    <cfRule type="expression" dxfId="12" priority="2784" stopIfTrue="1">
      <formula>$A217="image"</formula>
    </cfRule>
  </conditionalFormatting>
  <conditionalFormatting sqref="B217:C223 D217:E223">
    <cfRule type="expression" dxfId="13" priority="2785" stopIfTrue="1">
      <formula>OR($A217="audio", $A217="video")</formula>
    </cfRule>
  </conditionalFormatting>
  <conditionalFormatting sqref="B217:E223">
    <cfRule type="expression" dxfId="33" priority="2786" stopIfTrue="1">
      <formula>$A217="file"</formula>
    </cfRule>
  </conditionalFormatting>
  <conditionalFormatting sqref="B217:E223">
    <cfRule type="expression" dxfId="34" priority="2787" stopIfTrue="1">
      <formula>$A217="enumerator"</formula>
    </cfRule>
  </conditionalFormatting>
  <conditionalFormatting sqref="B217:E223">
    <cfRule type="expression" dxfId="35" priority="2788" stopIfTrue="1">
      <formula>OR(AND(LEFT($A217, 14)="sensor_stream ", LEN($A217)&gt;14, NOT(ISNUMBER(SEARCH(" ", $A217, 15)))), AND(LEFT($A217, 17)="sensor_statistic ", LEN($A217)&gt;17, NOT(ISNUMBER(SEARCH(" ", $A217, 18)))))</formula>
    </cfRule>
  </conditionalFormatting>
  <conditionalFormatting sqref="B217:E223">
    <cfRule type="expression" dxfId="14" priority="2789" stopIfTrue="1">
      <formula>$A217="comments"</formula>
    </cfRule>
  </conditionalFormatting>
  <conditionalFormatting sqref="B217:E223">
    <cfRule type="expression" dxfId="15" priority="2790" stopIfTrue="1">
      <formula>OR($A217="audio", $A217="video")</formula>
    </cfRule>
  </conditionalFormatting>
  <conditionalFormatting sqref="B217:E223">
    <cfRule type="expression" dxfId="16" priority="2791" stopIfTrue="1">
      <formula>$A217="image"</formula>
    </cfRule>
  </conditionalFormatting>
  <conditionalFormatting sqref="B217:E223">
    <cfRule type="expression" dxfId="17" priority="2792" stopIfTrue="1">
      <formula>OR($A217="date", $A217="datetime", $A217="time")</formula>
    </cfRule>
  </conditionalFormatting>
  <conditionalFormatting sqref="B217:E223">
    <cfRule type="expression" dxfId="18" priority="2793" stopIfTrue="1">
      <formula>OR($A217="calculate", $A217="calculate_here")</formula>
    </cfRule>
  </conditionalFormatting>
  <conditionalFormatting sqref="B217:E223">
    <cfRule type="expression" dxfId="19" priority="2794" stopIfTrue="1">
      <formula>$A217="note"</formula>
    </cfRule>
  </conditionalFormatting>
  <conditionalFormatting sqref="B217:E223">
    <cfRule type="expression" dxfId="20" priority="2795" stopIfTrue="1">
      <formula>$A217="barcode"</formula>
    </cfRule>
  </conditionalFormatting>
  <conditionalFormatting sqref="B217:E223">
    <cfRule type="expression" dxfId="21" priority="2796" stopIfTrue="1">
      <formula>OR($A217="geopoint", $A217="geoshape", $A217="geotrace")</formula>
    </cfRule>
  </conditionalFormatting>
  <conditionalFormatting sqref="B217:E223">
    <cfRule type="expression" dxfId="22" priority="2797" stopIfTrue="1">
      <formula>OR($A217="audio audit", $A217="text audit", $A217="speed violations count", $A217="speed violations list", $A217="speed violations audit")</formula>
    </cfRule>
  </conditionalFormatting>
  <conditionalFormatting sqref="B217:E223">
    <cfRule type="expression" dxfId="23" priority="2798" stopIfTrue="1">
      <formula>OR($A217="username", $A217="phonenumber", $A217="start", $A217="end", $A217="deviceid", $A217="subscriberid", $A217="simserial", $A217="caseid")</formula>
    </cfRule>
  </conditionalFormatting>
  <conditionalFormatting sqref="B217:E223">
    <cfRule type="expression" dxfId="24" priority="2799" stopIfTrue="1">
      <formula>OR(AND(LEFT($A217, 16)="select_multiple ", LEN($A217)&gt;16, NOT(ISNUMBER(SEARCH(" ", $A217, 17)))), AND(LEFT($A217, 11)="select_one ", LEN($A217)&gt;11, NOT(ISNUMBER(SEARCH(" ", $A217, 12)))))</formula>
    </cfRule>
  </conditionalFormatting>
  <conditionalFormatting sqref="B217:E223">
    <cfRule type="expression" dxfId="25" priority="2800" stopIfTrue="1">
      <formula>$A217="decimal"</formula>
    </cfRule>
  </conditionalFormatting>
  <conditionalFormatting sqref="B217:E223">
    <cfRule type="expression" dxfId="26" priority="2801" stopIfTrue="1">
      <formula>$A217="integer"</formula>
    </cfRule>
  </conditionalFormatting>
  <conditionalFormatting sqref="B217:E223">
    <cfRule type="expression" dxfId="27" priority="2802" stopIfTrue="1">
      <formula>$A217="text"</formula>
    </cfRule>
  </conditionalFormatting>
  <conditionalFormatting sqref="B217:E223">
    <cfRule type="expression" dxfId="28" priority="2803" stopIfTrue="1">
      <formula>$A217="end repeat"</formula>
    </cfRule>
  </conditionalFormatting>
  <conditionalFormatting sqref="B217:E223">
    <cfRule type="expression" dxfId="28" priority="2804" stopIfTrue="1">
      <formula>$A217="begin repeat"</formula>
    </cfRule>
  </conditionalFormatting>
  <conditionalFormatting sqref="B217:E223">
    <cfRule type="expression" dxfId="29" priority="2805" stopIfTrue="1">
      <formula>$A217="end group"</formula>
    </cfRule>
  </conditionalFormatting>
  <conditionalFormatting sqref="B217:E223">
    <cfRule type="expression" dxfId="29" priority="2806" stopIfTrue="1">
      <formula>$A217="begin group"</formula>
    </cfRule>
  </conditionalFormatting>
  <conditionalFormatting sqref="B217:B223">
    <cfRule type="expression" dxfId="30" priority="2807" stopIfTrue="1">
      <formula>$A217="comments"</formula>
    </cfRule>
  </conditionalFormatting>
  <conditionalFormatting sqref="B217:B223">
    <cfRule type="expression" dxfId="36" priority="2808" stopIfTrue="1">
      <formula>OR(AND(LEFT($A217, 14)="sensor_stream ", LEN($A217)&gt;14, NOT(ISNUMBER(SEARCH(" ", $A217, 15)))), AND(LEFT($A217, 17)="sensor_statistic ", LEN($A217)&gt;17, NOT(ISNUMBER(SEARCH(" ", $A217, 18)))))</formula>
    </cfRule>
  </conditionalFormatting>
  <conditionalFormatting sqref="B215:C215 D215:E215">
    <cfRule type="expression" dxfId="0" priority="2809" stopIfTrue="1">
      <formula>$A215="begin group"</formula>
    </cfRule>
  </conditionalFormatting>
  <conditionalFormatting sqref="B215:C215 D215:E215">
    <cfRule type="expression" dxfId="1" priority="2810" stopIfTrue="1">
      <formula>$A215="begin repeat"</formula>
    </cfRule>
  </conditionalFormatting>
  <conditionalFormatting sqref="B215:E215">
    <cfRule type="expression" dxfId="31" priority="2811" stopIfTrue="1">
      <formula>$A215="enumerator"</formula>
    </cfRule>
  </conditionalFormatting>
  <conditionalFormatting sqref="B215:E215">
    <cfRule type="expression" dxfId="2" priority="2812" stopIfTrue="1">
      <formula>$A215="text"</formula>
    </cfRule>
  </conditionalFormatting>
  <conditionalFormatting sqref="B215:E215">
    <cfRule type="expression" dxfId="3" priority="2813" stopIfTrue="1">
      <formula>$A215="integer"</formula>
    </cfRule>
  </conditionalFormatting>
  <conditionalFormatting sqref="B215:E215">
    <cfRule type="expression" dxfId="4" priority="2814" stopIfTrue="1">
      <formula>$A215="decimal"</formula>
    </cfRule>
  </conditionalFormatting>
  <conditionalFormatting sqref="B215:C215 D215:E215">
    <cfRule type="expression" dxfId="5" priority="2815" stopIfTrue="1">
      <formula>OR(AND(LEFT($A215, 16)="select_multiple ", LEN($A215)&gt;16, NOT(ISNUMBER(SEARCH(" ", $A215, 17)))), AND(LEFT($A215, 11)="select_one ", LEN($A215)&gt;11, NOT(ISNUMBER(SEARCH(" ", $A215, 12)))))</formula>
    </cfRule>
  </conditionalFormatting>
  <conditionalFormatting sqref="B215">
    <cfRule type="expression" dxfId="6" priority="2816" stopIfTrue="1">
      <formula>OR($A215="audio audit", $A215="text audit", $A215="speed violations count", $A215="speed violations list", $A215="speed violations audit")</formula>
    </cfRule>
  </conditionalFormatting>
  <conditionalFormatting sqref="B215:C215 D215:E215">
    <cfRule type="expression" dxfId="32" priority="2817" stopIfTrue="1">
      <formula>$A215="file"</formula>
    </cfRule>
  </conditionalFormatting>
  <conditionalFormatting sqref="B215:C215 D215:E215">
    <cfRule type="expression" dxfId="7" priority="2818" stopIfTrue="1">
      <formula>$A215="note"</formula>
    </cfRule>
  </conditionalFormatting>
  <conditionalFormatting sqref="B215:C215 D215:E215">
    <cfRule type="expression" dxfId="8" priority="2819" stopIfTrue="1">
      <formula>$A215="barcode"</formula>
    </cfRule>
  </conditionalFormatting>
  <conditionalFormatting sqref="B215:C215 D215:E215">
    <cfRule type="expression" dxfId="9" priority="2820" stopIfTrue="1">
      <formula>OR($A215="geopoint", $A215="geoshape", $A215="geotrace")</formula>
    </cfRule>
  </conditionalFormatting>
  <conditionalFormatting sqref="B215">
    <cfRule type="expression" dxfId="10" priority="2821" stopIfTrue="1">
      <formula>OR($A215="calculate", $A215="calculate_here")</formula>
    </cfRule>
  </conditionalFormatting>
  <conditionalFormatting sqref="B215:C215 D215:E215">
    <cfRule type="expression" dxfId="11" priority="2822" stopIfTrue="1">
      <formula>OR($A215="date", $A215="datetime", $A215="time")</formula>
    </cfRule>
  </conditionalFormatting>
  <conditionalFormatting sqref="B215:C215 D215:E215">
    <cfRule type="expression" dxfId="12" priority="2823" stopIfTrue="1">
      <formula>$A215="image"</formula>
    </cfRule>
  </conditionalFormatting>
  <conditionalFormatting sqref="B215:C215 D215:E215">
    <cfRule type="expression" dxfId="13" priority="2824" stopIfTrue="1">
      <formula>OR($A215="audio", $A215="video")</formula>
    </cfRule>
  </conditionalFormatting>
  <conditionalFormatting sqref="B215:E215">
    <cfRule type="expression" dxfId="33" priority="2825" stopIfTrue="1">
      <formula>$A215="file"</formula>
    </cfRule>
  </conditionalFormatting>
  <conditionalFormatting sqref="B215:E215">
    <cfRule type="expression" dxfId="34" priority="2826" stopIfTrue="1">
      <formula>$A215="enumerator"</formula>
    </cfRule>
  </conditionalFormatting>
  <conditionalFormatting sqref="B215:E215">
    <cfRule type="expression" dxfId="35" priority="2827" stopIfTrue="1">
      <formula>OR(AND(LEFT($A215, 14)="sensor_stream ", LEN($A215)&gt;14, NOT(ISNUMBER(SEARCH(" ", $A215, 15)))), AND(LEFT($A215, 17)="sensor_statistic ", LEN($A215)&gt;17, NOT(ISNUMBER(SEARCH(" ", $A215, 18)))))</formula>
    </cfRule>
  </conditionalFormatting>
  <conditionalFormatting sqref="B215:E215">
    <cfRule type="expression" dxfId="14" priority="2828" stopIfTrue="1">
      <formula>$A215="comments"</formula>
    </cfRule>
  </conditionalFormatting>
  <conditionalFormatting sqref="B215:E215">
    <cfRule type="expression" dxfId="15" priority="2829" stopIfTrue="1">
      <formula>OR($A215="audio", $A215="video")</formula>
    </cfRule>
  </conditionalFormatting>
  <conditionalFormatting sqref="B215:E215">
    <cfRule type="expression" dxfId="16" priority="2830" stopIfTrue="1">
      <formula>$A215="image"</formula>
    </cfRule>
  </conditionalFormatting>
  <conditionalFormatting sqref="B215:E215">
    <cfRule type="expression" dxfId="17" priority="2831" stopIfTrue="1">
      <formula>OR($A215="date", $A215="datetime", $A215="time")</formula>
    </cfRule>
  </conditionalFormatting>
  <conditionalFormatting sqref="B215:E215">
    <cfRule type="expression" dxfId="18" priority="2832" stopIfTrue="1">
      <formula>OR($A215="calculate", $A215="calculate_here")</formula>
    </cfRule>
  </conditionalFormatting>
  <conditionalFormatting sqref="B215:E215">
    <cfRule type="expression" dxfId="19" priority="2833" stopIfTrue="1">
      <formula>$A215="note"</formula>
    </cfRule>
  </conditionalFormatting>
  <conditionalFormatting sqref="B215:E215">
    <cfRule type="expression" dxfId="20" priority="2834" stopIfTrue="1">
      <formula>$A215="barcode"</formula>
    </cfRule>
  </conditionalFormatting>
  <conditionalFormatting sqref="B215:E215">
    <cfRule type="expression" dxfId="21" priority="2835" stopIfTrue="1">
      <formula>OR($A215="geopoint", $A215="geoshape", $A215="geotrace")</formula>
    </cfRule>
  </conditionalFormatting>
  <conditionalFormatting sqref="B215:E215">
    <cfRule type="expression" dxfId="22" priority="2836" stopIfTrue="1">
      <formula>OR($A215="audio audit", $A215="text audit", $A215="speed violations count", $A215="speed violations list", $A215="speed violations audit")</formula>
    </cfRule>
  </conditionalFormatting>
  <conditionalFormatting sqref="B215:E215">
    <cfRule type="expression" dxfId="23" priority="2837" stopIfTrue="1">
      <formula>OR($A215="username", $A215="phonenumber", $A215="start", $A215="end", $A215="deviceid", $A215="subscriberid", $A215="simserial", $A215="caseid")</formula>
    </cfRule>
  </conditionalFormatting>
  <conditionalFormatting sqref="B215:E215">
    <cfRule type="expression" dxfId="24" priority="2838" stopIfTrue="1">
      <formula>OR(AND(LEFT($A215, 16)="select_multiple ", LEN($A215)&gt;16, NOT(ISNUMBER(SEARCH(" ", $A215, 17)))), AND(LEFT($A215, 11)="select_one ", LEN($A215)&gt;11, NOT(ISNUMBER(SEARCH(" ", $A215, 12)))))</formula>
    </cfRule>
  </conditionalFormatting>
  <conditionalFormatting sqref="B215:E215">
    <cfRule type="expression" dxfId="25" priority="2839" stopIfTrue="1">
      <formula>$A215="decimal"</formula>
    </cfRule>
  </conditionalFormatting>
  <conditionalFormatting sqref="B215:E215">
    <cfRule type="expression" dxfId="26" priority="2840" stopIfTrue="1">
      <formula>$A215="integer"</formula>
    </cfRule>
  </conditionalFormatting>
  <conditionalFormatting sqref="B215:E215">
    <cfRule type="expression" dxfId="27" priority="2841" stopIfTrue="1">
      <formula>$A215="text"</formula>
    </cfRule>
  </conditionalFormatting>
  <conditionalFormatting sqref="B215:E215">
    <cfRule type="expression" dxfId="28" priority="2842" stopIfTrue="1">
      <formula>$A215="end repeat"</formula>
    </cfRule>
  </conditionalFormatting>
  <conditionalFormatting sqref="B215:E215">
    <cfRule type="expression" dxfId="28" priority="2843" stopIfTrue="1">
      <formula>$A215="begin repeat"</formula>
    </cfRule>
  </conditionalFormatting>
  <conditionalFormatting sqref="B215:E215">
    <cfRule type="expression" dxfId="29" priority="2844" stopIfTrue="1">
      <formula>$A215="end group"</formula>
    </cfRule>
  </conditionalFormatting>
  <conditionalFormatting sqref="B215:E215">
    <cfRule type="expression" dxfId="29" priority="2845" stopIfTrue="1">
      <formula>$A215="begin group"</formula>
    </cfRule>
  </conditionalFormatting>
  <conditionalFormatting sqref="B215">
    <cfRule type="expression" dxfId="30" priority="2846" stopIfTrue="1">
      <formula>$A215="comments"</formula>
    </cfRule>
  </conditionalFormatting>
  <conditionalFormatting sqref="B215">
    <cfRule type="expression" dxfId="36" priority="2847" stopIfTrue="1">
      <formula>OR(AND(LEFT($A215, 14)="sensor_stream ", LEN($A215)&gt;14, NOT(ISNUMBER(SEARCH(" ", $A215, 15)))), AND(LEFT($A215, 17)="sensor_statistic ", LEN($A215)&gt;17, NOT(ISNUMBER(SEARCH(" ", $A215, 18)))))</formula>
    </cfRule>
  </conditionalFormatting>
  <conditionalFormatting sqref="B208:C211 D208:E211">
    <cfRule type="expression" dxfId="0" priority="2848" stopIfTrue="1">
      <formula>$A208="begin group"</formula>
    </cfRule>
  </conditionalFormatting>
  <conditionalFormatting sqref="B208:C211 D208:E211">
    <cfRule type="expression" dxfId="1" priority="2849" stopIfTrue="1">
      <formula>$A208="begin repeat"</formula>
    </cfRule>
  </conditionalFormatting>
  <conditionalFormatting sqref="B208:E211">
    <cfRule type="expression" dxfId="31" priority="2850" stopIfTrue="1">
      <formula>$A208="enumerator"</formula>
    </cfRule>
  </conditionalFormatting>
  <conditionalFormatting sqref="B208:E211">
    <cfRule type="expression" dxfId="2" priority="2851" stopIfTrue="1">
      <formula>$A208="text"</formula>
    </cfRule>
  </conditionalFormatting>
  <conditionalFormatting sqref="B208:E211">
    <cfRule type="expression" dxfId="3" priority="2852" stopIfTrue="1">
      <formula>$A208="integer"</formula>
    </cfRule>
  </conditionalFormatting>
  <conditionalFormatting sqref="B208:E211">
    <cfRule type="expression" dxfId="4" priority="2853" stopIfTrue="1">
      <formula>$A208="decimal"</formula>
    </cfRule>
  </conditionalFormatting>
  <conditionalFormatting sqref="B208:C211 D208:E211">
    <cfRule type="expression" dxfId="5" priority="2854" stopIfTrue="1">
      <formula>OR(AND(LEFT($A208, 16)="select_multiple ", LEN($A208)&gt;16, NOT(ISNUMBER(SEARCH(" ", $A208, 17)))), AND(LEFT($A208, 11)="select_one ", LEN($A208)&gt;11, NOT(ISNUMBER(SEARCH(" ", $A208, 12)))))</formula>
    </cfRule>
  </conditionalFormatting>
  <conditionalFormatting sqref="B208:B211">
    <cfRule type="expression" dxfId="6" priority="2855" stopIfTrue="1">
      <formula>OR($A208="audio audit", $A208="text audit", $A208="speed violations count", $A208="speed violations list", $A208="speed violations audit")</formula>
    </cfRule>
  </conditionalFormatting>
  <conditionalFormatting sqref="B208:C211 D208:E211">
    <cfRule type="expression" dxfId="32" priority="2856" stopIfTrue="1">
      <formula>$A208="file"</formula>
    </cfRule>
  </conditionalFormatting>
  <conditionalFormatting sqref="B208:C211 D208:E211">
    <cfRule type="expression" dxfId="7" priority="2857" stopIfTrue="1">
      <formula>$A208="note"</formula>
    </cfRule>
  </conditionalFormatting>
  <conditionalFormatting sqref="B208:C211 D208:E211">
    <cfRule type="expression" dxfId="8" priority="2858" stopIfTrue="1">
      <formula>$A208="barcode"</formula>
    </cfRule>
  </conditionalFormatting>
  <conditionalFormatting sqref="B208:C211 D208:E211">
    <cfRule type="expression" dxfId="9" priority="2859" stopIfTrue="1">
      <formula>OR($A208="geopoint", $A208="geoshape", $A208="geotrace")</formula>
    </cfRule>
  </conditionalFormatting>
  <conditionalFormatting sqref="B208:B211">
    <cfRule type="expression" dxfId="10" priority="2860" stopIfTrue="1">
      <formula>OR($A208="calculate", $A208="calculate_here")</formula>
    </cfRule>
  </conditionalFormatting>
  <conditionalFormatting sqref="B208:C211 D208:E211">
    <cfRule type="expression" dxfId="11" priority="2861" stopIfTrue="1">
      <formula>OR($A208="date", $A208="datetime", $A208="time")</formula>
    </cfRule>
  </conditionalFormatting>
  <conditionalFormatting sqref="B208:C211 D208:E211">
    <cfRule type="expression" dxfId="12" priority="2862" stopIfTrue="1">
      <formula>$A208="image"</formula>
    </cfRule>
  </conditionalFormatting>
  <conditionalFormatting sqref="B208:C211 D208:E211">
    <cfRule type="expression" dxfId="13" priority="2863" stopIfTrue="1">
      <formula>OR($A208="audio", $A208="video")</formula>
    </cfRule>
  </conditionalFormatting>
  <conditionalFormatting sqref="B208:E211">
    <cfRule type="expression" dxfId="33" priority="2864" stopIfTrue="1">
      <formula>$A208="file"</formula>
    </cfRule>
  </conditionalFormatting>
  <conditionalFormatting sqref="B208:E211">
    <cfRule type="expression" dxfId="34" priority="2865" stopIfTrue="1">
      <formula>$A208="enumerator"</formula>
    </cfRule>
  </conditionalFormatting>
  <conditionalFormatting sqref="B208:E211">
    <cfRule type="expression" dxfId="35" priority="2866" stopIfTrue="1">
      <formula>OR(AND(LEFT($A208, 14)="sensor_stream ", LEN($A208)&gt;14, NOT(ISNUMBER(SEARCH(" ", $A208, 15)))), AND(LEFT($A208, 17)="sensor_statistic ", LEN($A208)&gt;17, NOT(ISNUMBER(SEARCH(" ", $A208, 18)))))</formula>
    </cfRule>
  </conditionalFormatting>
  <conditionalFormatting sqref="B208:E211">
    <cfRule type="expression" dxfId="14" priority="2867" stopIfTrue="1">
      <formula>$A208="comments"</formula>
    </cfRule>
  </conditionalFormatting>
  <conditionalFormatting sqref="B208:E211">
    <cfRule type="expression" dxfId="15" priority="2868" stopIfTrue="1">
      <formula>OR($A208="audio", $A208="video")</formula>
    </cfRule>
  </conditionalFormatting>
  <conditionalFormatting sqref="B208:E211">
    <cfRule type="expression" dxfId="16" priority="2869" stopIfTrue="1">
      <formula>$A208="image"</formula>
    </cfRule>
  </conditionalFormatting>
  <conditionalFormatting sqref="B208:E211">
    <cfRule type="expression" dxfId="17" priority="2870" stopIfTrue="1">
      <formula>OR($A208="date", $A208="datetime", $A208="time")</formula>
    </cfRule>
  </conditionalFormatting>
  <conditionalFormatting sqref="B208:E211">
    <cfRule type="expression" dxfId="18" priority="2871" stopIfTrue="1">
      <formula>OR($A208="calculate", $A208="calculate_here")</formula>
    </cfRule>
  </conditionalFormatting>
  <conditionalFormatting sqref="B208:E211">
    <cfRule type="expression" dxfId="19" priority="2872" stopIfTrue="1">
      <formula>$A208="note"</formula>
    </cfRule>
  </conditionalFormatting>
  <conditionalFormatting sqref="B208:E211">
    <cfRule type="expression" dxfId="20" priority="2873" stopIfTrue="1">
      <formula>$A208="barcode"</formula>
    </cfRule>
  </conditionalFormatting>
  <conditionalFormatting sqref="B208:E211">
    <cfRule type="expression" dxfId="21" priority="2874" stopIfTrue="1">
      <formula>OR($A208="geopoint", $A208="geoshape", $A208="geotrace")</formula>
    </cfRule>
  </conditionalFormatting>
  <conditionalFormatting sqref="B208:E211">
    <cfRule type="expression" dxfId="22" priority="2875" stopIfTrue="1">
      <formula>OR($A208="audio audit", $A208="text audit", $A208="speed violations count", $A208="speed violations list", $A208="speed violations audit")</formula>
    </cfRule>
  </conditionalFormatting>
  <conditionalFormatting sqref="B208:E211">
    <cfRule type="expression" dxfId="23" priority="2876" stopIfTrue="1">
      <formula>OR($A208="username", $A208="phonenumber", $A208="start", $A208="end", $A208="deviceid", $A208="subscriberid", $A208="simserial", $A208="caseid")</formula>
    </cfRule>
  </conditionalFormatting>
  <conditionalFormatting sqref="B208:E211">
    <cfRule type="expression" dxfId="24" priority="2877" stopIfTrue="1">
      <formula>OR(AND(LEFT($A208, 16)="select_multiple ", LEN($A208)&gt;16, NOT(ISNUMBER(SEARCH(" ", $A208, 17)))), AND(LEFT($A208, 11)="select_one ", LEN($A208)&gt;11, NOT(ISNUMBER(SEARCH(" ", $A208, 12)))))</formula>
    </cfRule>
  </conditionalFormatting>
  <conditionalFormatting sqref="B208:E211">
    <cfRule type="expression" dxfId="25" priority="2878" stopIfTrue="1">
      <formula>$A208="decimal"</formula>
    </cfRule>
  </conditionalFormatting>
  <conditionalFormatting sqref="B208:E211">
    <cfRule type="expression" dxfId="26" priority="2879" stopIfTrue="1">
      <formula>$A208="integer"</formula>
    </cfRule>
  </conditionalFormatting>
  <conditionalFormatting sqref="B208:E211">
    <cfRule type="expression" dxfId="27" priority="2880" stopIfTrue="1">
      <formula>$A208="text"</formula>
    </cfRule>
  </conditionalFormatting>
  <conditionalFormatting sqref="B208:E211">
    <cfRule type="expression" dxfId="28" priority="2881" stopIfTrue="1">
      <formula>$A208="end repeat"</formula>
    </cfRule>
  </conditionalFormatting>
  <conditionalFormatting sqref="B208:E211">
    <cfRule type="expression" dxfId="28" priority="2882" stopIfTrue="1">
      <formula>$A208="begin repeat"</formula>
    </cfRule>
  </conditionalFormatting>
  <conditionalFormatting sqref="B208:E211">
    <cfRule type="expression" dxfId="29" priority="2883" stopIfTrue="1">
      <formula>$A208="end group"</formula>
    </cfRule>
  </conditionalFormatting>
  <conditionalFormatting sqref="B208:E211">
    <cfRule type="expression" dxfId="29" priority="2884" stopIfTrue="1">
      <formula>$A208="begin group"</formula>
    </cfRule>
  </conditionalFormatting>
  <conditionalFormatting sqref="B208:B211">
    <cfRule type="expression" dxfId="30" priority="2885" stopIfTrue="1">
      <formula>$A208="comments"</formula>
    </cfRule>
  </conditionalFormatting>
  <conditionalFormatting sqref="B208:B211">
    <cfRule type="expression" dxfId="36" priority="2886" stopIfTrue="1">
      <formula>OR(AND(LEFT($A208, 14)="sensor_stream ", LEN($A208)&gt;14, NOT(ISNUMBER(SEARCH(" ", $A208, 15)))), AND(LEFT($A208, 17)="sensor_statistic ", LEN($A208)&gt;17, NOT(ISNUMBER(SEARCH(" ", $A208, 18)))))</formula>
    </cfRule>
  </conditionalFormatting>
  <conditionalFormatting sqref="B201:C205 D201:E205">
    <cfRule type="expression" dxfId="0" priority="2887" stopIfTrue="1">
      <formula>$A201="begin group"</formula>
    </cfRule>
  </conditionalFormatting>
  <conditionalFormatting sqref="B201:C205 D201:E205">
    <cfRule type="expression" dxfId="1" priority="2888" stopIfTrue="1">
      <formula>$A201="begin repeat"</formula>
    </cfRule>
  </conditionalFormatting>
  <conditionalFormatting sqref="B201:E205">
    <cfRule type="expression" dxfId="31" priority="2889" stopIfTrue="1">
      <formula>$A201="enumerator"</formula>
    </cfRule>
  </conditionalFormatting>
  <conditionalFormatting sqref="B201:E205">
    <cfRule type="expression" dxfId="2" priority="2890" stopIfTrue="1">
      <formula>$A201="text"</formula>
    </cfRule>
  </conditionalFormatting>
  <conditionalFormatting sqref="B201:E205">
    <cfRule type="expression" dxfId="3" priority="2891" stopIfTrue="1">
      <formula>$A201="integer"</formula>
    </cfRule>
  </conditionalFormatting>
  <conditionalFormatting sqref="B201:E205">
    <cfRule type="expression" dxfId="4" priority="2892" stopIfTrue="1">
      <formula>$A201="decimal"</formula>
    </cfRule>
  </conditionalFormatting>
  <conditionalFormatting sqref="B201:C205 D201:E205">
    <cfRule type="expression" dxfId="5" priority="2893" stopIfTrue="1">
      <formula>OR(AND(LEFT($A201, 16)="select_multiple ", LEN($A201)&gt;16, NOT(ISNUMBER(SEARCH(" ", $A201, 17)))), AND(LEFT($A201, 11)="select_one ", LEN($A201)&gt;11, NOT(ISNUMBER(SEARCH(" ", $A201, 12)))))</formula>
    </cfRule>
  </conditionalFormatting>
  <conditionalFormatting sqref="B201:B205">
    <cfRule type="expression" dxfId="6" priority="2894" stopIfTrue="1">
      <formula>OR($A201="audio audit", $A201="text audit", $A201="speed violations count", $A201="speed violations list", $A201="speed violations audit")</formula>
    </cfRule>
  </conditionalFormatting>
  <conditionalFormatting sqref="B201:C205 D201:E205">
    <cfRule type="expression" dxfId="32" priority="2895" stopIfTrue="1">
      <formula>$A201="file"</formula>
    </cfRule>
  </conditionalFormatting>
  <conditionalFormatting sqref="B201:C205 D201:E205">
    <cfRule type="expression" dxfId="7" priority="2896" stopIfTrue="1">
      <formula>$A201="note"</formula>
    </cfRule>
  </conditionalFormatting>
  <conditionalFormatting sqref="B201:C205 D201:E205">
    <cfRule type="expression" dxfId="8" priority="2897" stopIfTrue="1">
      <formula>$A201="barcode"</formula>
    </cfRule>
  </conditionalFormatting>
  <conditionalFormatting sqref="B201:C205 D201:E205">
    <cfRule type="expression" dxfId="9" priority="2898" stopIfTrue="1">
      <formula>OR($A201="geopoint", $A201="geoshape", $A201="geotrace")</formula>
    </cfRule>
  </conditionalFormatting>
  <conditionalFormatting sqref="B201:B205">
    <cfRule type="expression" dxfId="10" priority="2899" stopIfTrue="1">
      <formula>OR($A201="calculate", $A201="calculate_here")</formula>
    </cfRule>
  </conditionalFormatting>
  <conditionalFormatting sqref="B201:C205 D201:E205">
    <cfRule type="expression" dxfId="11" priority="2900" stopIfTrue="1">
      <formula>OR($A201="date", $A201="datetime", $A201="time")</formula>
    </cfRule>
  </conditionalFormatting>
  <conditionalFormatting sqref="B201:C205 D201:E205">
    <cfRule type="expression" dxfId="12" priority="2901" stopIfTrue="1">
      <formula>$A201="image"</formula>
    </cfRule>
  </conditionalFormatting>
  <conditionalFormatting sqref="B201:C205 D201:E205">
    <cfRule type="expression" dxfId="13" priority="2902" stopIfTrue="1">
      <formula>OR($A201="audio", $A201="video")</formula>
    </cfRule>
  </conditionalFormatting>
  <conditionalFormatting sqref="B201:E205">
    <cfRule type="expression" dxfId="33" priority="2903" stopIfTrue="1">
      <formula>$A201="file"</formula>
    </cfRule>
  </conditionalFormatting>
  <conditionalFormatting sqref="B201:E205">
    <cfRule type="expression" dxfId="34" priority="2904" stopIfTrue="1">
      <formula>$A201="enumerator"</formula>
    </cfRule>
  </conditionalFormatting>
  <conditionalFormatting sqref="B201:E205">
    <cfRule type="expression" dxfId="35" priority="2905" stopIfTrue="1">
      <formula>OR(AND(LEFT($A201, 14)="sensor_stream ", LEN($A201)&gt;14, NOT(ISNUMBER(SEARCH(" ", $A201, 15)))), AND(LEFT($A201, 17)="sensor_statistic ", LEN($A201)&gt;17, NOT(ISNUMBER(SEARCH(" ", $A201, 18)))))</formula>
    </cfRule>
  </conditionalFormatting>
  <conditionalFormatting sqref="B201:E205">
    <cfRule type="expression" dxfId="14" priority="2906" stopIfTrue="1">
      <formula>$A201="comments"</formula>
    </cfRule>
  </conditionalFormatting>
  <conditionalFormatting sqref="B201:E205">
    <cfRule type="expression" dxfId="15" priority="2907" stopIfTrue="1">
      <formula>OR($A201="audio", $A201="video")</formula>
    </cfRule>
  </conditionalFormatting>
  <conditionalFormatting sqref="B201:E205">
    <cfRule type="expression" dxfId="16" priority="2908" stopIfTrue="1">
      <formula>$A201="image"</formula>
    </cfRule>
  </conditionalFormatting>
  <conditionalFormatting sqref="B201:E205">
    <cfRule type="expression" dxfId="17" priority="2909" stopIfTrue="1">
      <formula>OR($A201="date", $A201="datetime", $A201="time")</formula>
    </cfRule>
  </conditionalFormatting>
  <conditionalFormatting sqref="B201:E205">
    <cfRule type="expression" dxfId="18" priority="2910" stopIfTrue="1">
      <formula>OR($A201="calculate", $A201="calculate_here")</formula>
    </cfRule>
  </conditionalFormatting>
  <conditionalFormatting sqref="B201:E205">
    <cfRule type="expression" dxfId="19" priority="2911" stopIfTrue="1">
      <formula>$A201="note"</formula>
    </cfRule>
  </conditionalFormatting>
  <conditionalFormatting sqref="B201:E205">
    <cfRule type="expression" dxfId="20" priority="2912" stopIfTrue="1">
      <formula>$A201="barcode"</formula>
    </cfRule>
  </conditionalFormatting>
  <conditionalFormatting sqref="B201:E205">
    <cfRule type="expression" dxfId="21" priority="2913" stopIfTrue="1">
      <formula>OR($A201="geopoint", $A201="geoshape", $A201="geotrace")</formula>
    </cfRule>
  </conditionalFormatting>
  <conditionalFormatting sqref="B201:E205">
    <cfRule type="expression" dxfId="22" priority="2914" stopIfTrue="1">
      <formula>OR($A201="audio audit", $A201="text audit", $A201="speed violations count", $A201="speed violations list", $A201="speed violations audit")</formula>
    </cfRule>
  </conditionalFormatting>
  <conditionalFormatting sqref="B201:E205">
    <cfRule type="expression" dxfId="23" priority="2915" stopIfTrue="1">
      <formula>OR($A201="username", $A201="phonenumber", $A201="start", $A201="end", $A201="deviceid", $A201="subscriberid", $A201="simserial", $A201="caseid")</formula>
    </cfRule>
  </conditionalFormatting>
  <conditionalFormatting sqref="B201:E205">
    <cfRule type="expression" dxfId="24" priority="2916" stopIfTrue="1">
      <formula>OR(AND(LEFT($A201, 16)="select_multiple ", LEN($A201)&gt;16, NOT(ISNUMBER(SEARCH(" ", $A201, 17)))), AND(LEFT($A201, 11)="select_one ", LEN($A201)&gt;11, NOT(ISNUMBER(SEARCH(" ", $A201, 12)))))</formula>
    </cfRule>
  </conditionalFormatting>
  <conditionalFormatting sqref="B201:E205">
    <cfRule type="expression" dxfId="25" priority="2917" stopIfTrue="1">
      <formula>$A201="decimal"</formula>
    </cfRule>
  </conditionalFormatting>
  <conditionalFormatting sqref="B201:E205">
    <cfRule type="expression" dxfId="26" priority="2918" stopIfTrue="1">
      <formula>$A201="integer"</formula>
    </cfRule>
  </conditionalFormatting>
  <conditionalFormatting sqref="B201:E205">
    <cfRule type="expression" dxfId="27" priority="2919" stopIfTrue="1">
      <formula>$A201="text"</formula>
    </cfRule>
  </conditionalFormatting>
  <conditionalFormatting sqref="B201:E205">
    <cfRule type="expression" dxfId="28" priority="2920" stopIfTrue="1">
      <formula>$A201="end repeat"</formula>
    </cfRule>
  </conditionalFormatting>
  <conditionalFormatting sqref="B201:E205">
    <cfRule type="expression" dxfId="28" priority="2921" stopIfTrue="1">
      <formula>$A201="begin repeat"</formula>
    </cfRule>
  </conditionalFormatting>
  <conditionalFormatting sqref="B201:E205">
    <cfRule type="expression" dxfId="29" priority="2922" stopIfTrue="1">
      <formula>$A201="end group"</formula>
    </cfRule>
  </conditionalFormatting>
  <conditionalFormatting sqref="B201:E205">
    <cfRule type="expression" dxfId="29" priority="2923" stopIfTrue="1">
      <formula>$A201="begin group"</formula>
    </cfRule>
  </conditionalFormatting>
  <conditionalFormatting sqref="B201:B205">
    <cfRule type="expression" dxfId="30" priority="2924" stopIfTrue="1">
      <formula>$A201="comments"</formula>
    </cfRule>
  </conditionalFormatting>
  <conditionalFormatting sqref="B201:B205">
    <cfRule type="expression" dxfId="36" priority="2925" stopIfTrue="1">
      <formula>OR(AND(LEFT($A201, 14)="sensor_stream ", LEN($A201)&gt;14, NOT(ISNUMBER(SEARCH(" ", $A201, 15)))), AND(LEFT($A201, 17)="sensor_statistic ", LEN($A201)&gt;17, NOT(ISNUMBER(SEARCH(" ", $A201, 18)))))</formula>
    </cfRule>
  </conditionalFormatting>
  <conditionalFormatting sqref="B196:C197 D196:E197">
    <cfRule type="expression" dxfId="0" priority="2926" stopIfTrue="1">
      <formula>$A196="begin group"</formula>
    </cfRule>
  </conditionalFormatting>
  <conditionalFormatting sqref="B196:C197 D196:E197">
    <cfRule type="expression" dxfId="1" priority="2927" stopIfTrue="1">
      <formula>$A196="begin repeat"</formula>
    </cfRule>
  </conditionalFormatting>
  <conditionalFormatting sqref="B196:E197">
    <cfRule type="expression" dxfId="31" priority="2928" stopIfTrue="1">
      <formula>$A196="enumerator"</formula>
    </cfRule>
  </conditionalFormatting>
  <conditionalFormatting sqref="B196:E197">
    <cfRule type="expression" dxfId="2" priority="2929" stopIfTrue="1">
      <formula>$A196="text"</formula>
    </cfRule>
  </conditionalFormatting>
  <conditionalFormatting sqref="B196:E197">
    <cfRule type="expression" dxfId="3" priority="2930" stopIfTrue="1">
      <formula>$A196="integer"</formula>
    </cfRule>
  </conditionalFormatting>
  <conditionalFormatting sqref="B196:E197">
    <cfRule type="expression" dxfId="4" priority="2931" stopIfTrue="1">
      <formula>$A196="decimal"</formula>
    </cfRule>
  </conditionalFormatting>
  <conditionalFormatting sqref="B196:C197 D196:E197">
    <cfRule type="expression" dxfId="5" priority="2932" stopIfTrue="1">
      <formula>OR(AND(LEFT($A196, 16)="select_multiple ", LEN($A196)&gt;16, NOT(ISNUMBER(SEARCH(" ", $A196, 17)))), AND(LEFT($A196, 11)="select_one ", LEN($A196)&gt;11, NOT(ISNUMBER(SEARCH(" ", $A196, 12)))))</formula>
    </cfRule>
  </conditionalFormatting>
  <conditionalFormatting sqref="B196:B197">
    <cfRule type="expression" dxfId="6" priority="2933" stopIfTrue="1">
      <formula>OR($A196="audio audit", $A196="text audit", $A196="speed violations count", $A196="speed violations list", $A196="speed violations audit")</formula>
    </cfRule>
  </conditionalFormatting>
  <conditionalFormatting sqref="B196:C197 D196:E197">
    <cfRule type="expression" dxfId="32" priority="2934" stopIfTrue="1">
      <formula>$A196="file"</formula>
    </cfRule>
  </conditionalFormatting>
  <conditionalFormatting sqref="B196:C197 D196:E197">
    <cfRule type="expression" dxfId="7" priority="2935" stopIfTrue="1">
      <formula>$A196="note"</formula>
    </cfRule>
  </conditionalFormatting>
  <conditionalFormatting sqref="B196:C197 D196:E197">
    <cfRule type="expression" dxfId="8" priority="2936" stopIfTrue="1">
      <formula>$A196="barcode"</formula>
    </cfRule>
  </conditionalFormatting>
  <conditionalFormatting sqref="B196:C197 D196:E197">
    <cfRule type="expression" dxfId="9" priority="2937" stopIfTrue="1">
      <formula>OR($A196="geopoint", $A196="geoshape", $A196="geotrace")</formula>
    </cfRule>
  </conditionalFormatting>
  <conditionalFormatting sqref="B196:B197">
    <cfRule type="expression" dxfId="10" priority="2938" stopIfTrue="1">
      <formula>OR($A196="calculate", $A196="calculate_here")</formula>
    </cfRule>
  </conditionalFormatting>
  <conditionalFormatting sqref="B196:C197 D196:E197">
    <cfRule type="expression" dxfId="11" priority="2939" stopIfTrue="1">
      <formula>OR($A196="date", $A196="datetime", $A196="time")</formula>
    </cfRule>
  </conditionalFormatting>
  <conditionalFormatting sqref="B196:C197 D196:E197">
    <cfRule type="expression" dxfId="12" priority="2940" stopIfTrue="1">
      <formula>$A196="image"</formula>
    </cfRule>
  </conditionalFormatting>
  <conditionalFormatting sqref="B196:C197 D196:E197">
    <cfRule type="expression" dxfId="13" priority="2941" stopIfTrue="1">
      <formula>OR($A196="audio", $A196="video")</formula>
    </cfRule>
  </conditionalFormatting>
  <conditionalFormatting sqref="B196:E197">
    <cfRule type="expression" dxfId="33" priority="2942" stopIfTrue="1">
      <formula>$A196="file"</formula>
    </cfRule>
  </conditionalFormatting>
  <conditionalFormatting sqref="B196:E197">
    <cfRule type="expression" dxfId="34" priority="2943" stopIfTrue="1">
      <formula>$A196="enumerator"</formula>
    </cfRule>
  </conditionalFormatting>
  <conditionalFormatting sqref="B196:E197">
    <cfRule type="expression" dxfId="35" priority="2944" stopIfTrue="1">
      <formula>OR(AND(LEFT($A196, 14)="sensor_stream ", LEN($A196)&gt;14, NOT(ISNUMBER(SEARCH(" ", $A196, 15)))), AND(LEFT($A196, 17)="sensor_statistic ", LEN($A196)&gt;17, NOT(ISNUMBER(SEARCH(" ", $A196, 18)))))</formula>
    </cfRule>
  </conditionalFormatting>
  <conditionalFormatting sqref="B196:E197">
    <cfRule type="expression" dxfId="14" priority="2945" stopIfTrue="1">
      <formula>$A196="comments"</formula>
    </cfRule>
  </conditionalFormatting>
  <conditionalFormatting sqref="B196:E197">
    <cfRule type="expression" dxfId="15" priority="2946" stopIfTrue="1">
      <formula>OR($A196="audio", $A196="video")</formula>
    </cfRule>
  </conditionalFormatting>
  <conditionalFormatting sqref="B196:E197">
    <cfRule type="expression" dxfId="16" priority="2947" stopIfTrue="1">
      <formula>$A196="image"</formula>
    </cfRule>
  </conditionalFormatting>
  <conditionalFormatting sqref="B196:E197">
    <cfRule type="expression" dxfId="17" priority="2948" stopIfTrue="1">
      <formula>OR($A196="date", $A196="datetime", $A196="time")</formula>
    </cfRule>
  </conditionalFormatting>
  <conditionalFormatting sqref="B196:E197">
    <cfRule type="expression" dxfId="18" priority="2949" stopIfTrue="1">
      <formula>OR($A196="calculate", $A196="calculate_here")</formula>
    </cfRule>
  </conditionalFormatting>
  <conditionalFormatting sqref="B196:E197">
    <cfRule type="expression" dxfId="19" priority="2950" stopIfTrue="1">
      <formula>$A196="note"</formula>
    </cfRule>
  </conditionalFormatting>
  <conditionalFormatting sqref="B196:E197">
    <cfRule type="expression" dxfId="20" priority="2951" stopIfTrue="1">
      <formula>$A196="barcode"</formula>
    </cfRule>
  </conditionalFormatting>
  <conditionalFormatting sqref="B196:E197">
    <cfRule type="expression" dxfId="21" priority="2952" stopIfTrue="1">
      <formula>OR($A196="geopoint", $A196="geoshape", $A196="geotrace")</formula>
    </cfRule>
  </conditionalFormatting>
  <conditionalFormatting sqref="B196:E197">
    <cfRule type="expression" dxfId="22" priority="2953" stopIfTrue="1">
      <formula>OR($A196="audio audit", $A196="text audit", $A196="speed violations count", $A196="speed violations list", $A196="speed violations audit")</formula>
    </cfRule>
  </conditionalFormatting>
  <conditionalFormatting sqref="B196:E197">
    <cfRule type="expression" dxfId="23" priority="2954" stopIfTrue="1">
      <formula>OR($A196="username", $A196="phonenumber", $A196="start", $A196="end", $A196="deviceid", $A196="subscriberid", $A196="simserial", $A196="caseid")</formula>
    </cfRule>
  </conditionalFormatting>
  <conditionalFormatting sqref="B196:E197">
    <cfRule type="expression" dxfId="24" priority="2955" stopIfTrue="1">
      <formula>OR(AND(LEFT($A196, 16)="select_multiple ", LEN($A196)&gt;16, NOT(ISNUMBER(SEARCH(" ", $A196, 17)))), AND(LEFT($A196, 11)="select_one ", LEN($A196)&gt;11, NOT(ISNUMBER(SEARCH(" ", $A196, 12)))))</formula>
    </cfRule>
  </conditionalFormatting>
  <conditionalFormatting sqref="B196:E197">
    <cfRule type="expression" dxfId="25" priority="2956" stopIfTrue="1">
      <formula>$A196="decimal"</formula>
    </cfRule>
  </conditionalFormatting>
  <conditionalFormatting sqref="B196:E197">
    <cfRule type="expression" dxfId="26" priority="2957" stopIfTrue="1">
      <formula>$A196="integer"</formula>
    </cfRule>
  </conditionalFormatting>
  <conditionalFormatting sqref="B196:E197">
    <cfRule type="expression" dxfId="27" priority="2958" stopIfTrue="1">
      <formula>$A196="text"</formula>
    </cfRule>
  </conditionalFormatting>
  <conditionalFormatting sqref="B196:E197">
    <cfRule type="expression" dxfId="28" priority="2959" stopIfTrue="1">
      <formula>$A196="end repeat"</formula>
    </cfRule>
  </conditionalFormatting>
  <conditionalFormatting sqref="B196:E197">
    <cfRule type="expression" dxfId="28" priority="2960" stopIfTrue="1">
      <formula>$A196="begin repeat"</formula>
    </cfRule>
  </conditionalFormatting>
  <conditionalFormatting sqref="B196:E197">
    <cfRule type="expression" dxfId="29" priority="2961" stopIfTrue="1">
      <formula>$A196="end group"</formula>
    </cfRule>
  </conditionalFormatting>
  <conditionalFormatting sqref="B196:E197">
    <cfRule type="expression" dxfId="29" priority="2962" stopIfTrue="1">
      <formula>$A196="begin group"</formula>
    </cfRule>
  </conditionalFormatting>
  <conditionalFormatting sqref="B196:B197">
    <cfRule type="expression" dxfId="30" priority="2963" stopIfTrue="1">
      <formula>$A196="comments"</formula>
    </cfRule>
  </conditionalFormatting>
  <conditionalFormatting sqref="B196:B197">
    <cfRule type="expression" dxfId="36" priority="2964" stopIfTrue="1">
      <formula>OR(AND(LEFT($A196, 14)="sensor_stream ", LEN($A196)&gt;14, NOT(ISNUMBER(SEARCH(" ", $A196, 15)))), AND(LEFT($A196, 17)="sensor_statistic ", LEN($A196)&gt;17, NOT(ISNUMBER(SEARCH(" ", $A196, 18)))))</formula>
    </cfRule>
  </conditionalFormatting>
  <conditionalFormatting sqref="B188:C192 D188:E192">
    <cfRule type="expression" dxfId="0" priority="2965" stopIfTrue="1">
      <formula>$A188="begin group"</formula>
    </cfRule>
  </conditionalFormatting>
  <conditionalFormatting sqref="B188:C192 D188:E192">
    <cfRule type="expression" dxfId="1" priority="2966" stopIfTrue="1">
      <formula>$A188="begin repeat"</formula>
    </cfRule>
  </conditionalFormatting>
  <conditionalFormatting sqref="B188:E192">
    <cfRule type="expression" dxfId="31" priority="2967" stopIfTrue="1">
      <formula>$A188="enumerator"</formula>
    </cfRule>
  </conditionalFormatting>
  <conditionalFormatting sqref="B188:E192">
    <cfRule type="expression" dxfId="2" priority="2968" stopIfTrue="1">
      <formula>$A188="text"</formula>
    </cfRule>
  </conditionalFormatting>
  <conditionalFormatting sqref="B188:E192">
    <cfRule type="expression" dxfId="3" priority="2969" stopIfTrue="1">
      <formula>$A188="integer"</formula>
    </cfRule>
  </conditionalFormatting>
  <conditionalFormatting sqref="B188:E192">
    <cfRule type="expression" dxfId="4" priority="2970" stopIfTrue="1">
      <formula>$A188="decimal"</formula>
    </cfRule>
  </conditionalFormatting>
  <conditionalFormatting sqref="B188:C192 D188:E192">
    <cfRule type="expression" dxfId="5" priority="2971" stopIfTrue="1">
      <formula>OR(AND(LEFT($A188, 16)="select_multiple ", LEN($A188)&gt;16, NOT(ISNUMBER(SEARCH(" ", $A188, 17)))), AND(LEFT($A188, 11)="select_one ", LEN($A188)&gt;11, NOT(ISNUMBER(SEARCH(" ", $A188, 12)))))</formula>
    </cfRule>
  </conditionalFormatting>
  <conditionalFormatting sqref="B188:B192 C190">
    <cfRule type="expression" dxfId="6" priority="2972" stopIfTrue="1">
      <formula>OR($A188="audio audit", $A188="text audit", $A188="speed violations count", $A188="speed violations list", $A188="speed violations audit")</formula>
    </cfRule>
  </conditionalFormatting>
  <conditionalFormatting sqref="B188:C192 D188:E192">
    <cfRule type="expression" dxfId="32" priority="2973" stopIfTrue="1">
      <formula>$A188="file"</formula>
    </cfRule>
  </conditionalFormatting>
  <conditionalFormatting sqref="B188:C192 D188:E192">
    <cfRule type="expression" dxfId="7" priority="2974" stopIfTrue="1">
      <formula>$A188="note"</formula>
    </cfRule>
  </conditionalFormatting>
  <conditionalFormatting sqref="B188:C192 D188:E192">
    <cfRule type="expression" dxfId="8" priority="2975" stopIfTrue="1">
      <formula>$A188="barcode"</formula>
    </cfRule>
  </conditionalFormatting>
  <conditionalFormatting sqref="B188:C192 D188:E192">
    <cfRule type="expression" dxfId="9" priority="2976" stopIfTrue="1">
      <formula>OR($A188="geopoint", $A188="geoshape", $A188="geotrace")</formula>
    </cfRule>
  </conditionalFormatting>
  <conditionalFormatting sqref="B188:B192 C190">
    <cfRule type="expression" dxfId="10" priority="2977" stopIfTrue="1">
      <formula>OR($A188="calculate", $A188="calculate_here")</formula>
    </cfRule>
  </conditionalFormatting>
  <conditionalFormatting sqref="B188:C192 D188:E192">
    <cfRule type="expression" dxfId="11" priority="2978" stopIfTrue="1">
      <formula>OR($A188="date", $A188="datetime", $A188="time")</formula>
    </cfRule>
  </conditionalFormatting>
  <conditionalFormatting sqref="B188:C192 D188:E192">
    <cfRule type="expression" dxfId="12" priority="2979" stopIfTrue="1">
      <formula>$A188="image"</formula>
    </cfRule>
  </conditionalFormatting>
  <conditionalFormatting sqref="B188:C192 D188:E192">
    <cfRule type="expression" dxfId="13" priority="2980" stopIfTrue="1">
      <formula>OR($A188="audio", $A188="video")</formula>
    </cfRule>
  </conditionalFormatting>
  <conditionalFormatting sqref="B188:E192">
    <cfRule type="expression" dxfId="33" priority="2981" stopIfTrue="1">
      <formula>$A188="file"</formula>
    </cfRule>
  </conditionalFormatting>
  <conditionalFormatting sqref="B188:E192">
    <cfRule type="expression" dxfId="34" priority="2982" stopIfTrue="1">
      <formula>$A188="enumerator"</formula>
    </cfRule>
  </conditionalFormatting>
  <conditionalFormatting sqref="B188:E192">
    <cfRule type="expression" dxfId="35" priority="2983" stopIfTrue="1">
      <formula>OR(AND(LEFT($A188, 14)="sensor_stream ", LEN($A188)&gt;14, NOT(ISNUMBER(SEARCH(" ", $A188, 15)))), AND(LEFT($A188, 17)="sensor_statistic ", LEN($A188)&gt;17, NOT(ISNUMBER(SEARCH(" ", $A188, 18)))))</formula>
    </cfRule>
  </conditionalFormatting>
  <conditionalFormatting sqref="B188:E192">
    <cfRule type="expression" dxfId="14" priority="2984" stopIfTrue="1">
      <formula>$A188="comments"</formula>
    </cfRule>
  </conditionalFormatting>
  <conditionalFormatting sqref="B188:E192">
    <cfRule type="expression" dxfId="15" priority="2985" stopIfTrue="1">
      <formula>OR($A188="audio", $A188="video")</formula>
    </cfRule>
  </conditionalFormatting>
  <conditionalFormatting sqref="B188:E192">
    <cfRule type="expression" dxfId="16" priority="2986" stopIfTrue="1">
      <formula>$A188="image"</formula>
    </cfRule>
  </conditionalFormatting>
  <conditionalFormatting sqref="B188:E192">
    <cfRule type="expression" dxfId="17" priority="2987" stopIfTrue="1">
      <formula>OR($A188="date", $A188="datetime", $A188="time")</formula>
    </cfRule>
  </conditionalFormatting>
  <conditionalFormatting sqref="B188:E192">
    <cfRule type="expression" dxfId="18" priority="2988" stopIfTrue="1">
      <formula>OR($A188="calculate", $A188="calculate_here")</formula>
    </cfRule>
  </conditionalFormatting>
  <conditionalFormatting sqref="B188:E192">
    <cfRule type="expression" dxfId="19" priority="2989" stopIfTrue="1">
      <formula>$A188="note"</formula>
    </cfRule>
  </conditionalFormatting>
  <conditionalFormatting sqref="B188:E192">
    <cfRule type="expression" dxfId="20" priority="2990" stopIfTrue="1">
      <formula>$A188="barcode"</formula>
    </cfRule>
  </conditionalFormatting>
  <conditionalFormatting sqref="B188:E192">
    <cfRule type="expression" dxfId="21" priority="2991" stopIfTrue="1">
      <formula>OR($A188="geopoint", $A188="geoshape", $A188="geotrace")</formula>
    </cfRule>
  </conditionalFormatting>
  <conditionalFormatting sqref="B188:E192">
    <cfRule type="expression" dxfId="22" priority="2992" stopIfTrue="1">
      <formula>OR($A188="audio audit", $A188="text audit", $A188="speed violations count", $A188="speed violations list", $A188="speed violations audit")</formula>
    </cfRule>
  </conditionalFormatting>
  <conditionalFormatting sqref="B188:E192">
    <cfRule type="expression" dxfId="23" priority="2993" stopIfTrue="1">
      <formula>OR($A188="username", $A188="phonenumber", $A188="start", $A188="end", $A188="deviceid", $A188="subscriberid", $A188="simserial", $A188="caseid")</formula>
    </cfRule>
  </conditionalFormatting>
  <conditionalFormatting sqref="B188:E192">
    <cfRule type="expression" dxfId="24" priority="2994" stopIfTrue="1">
      <formula>OR(AND(LEFT($A188, 16)="select_multiple ", LEN($A188)&gt;16, NOT(ISNUMBER(SEARCH(" ", $A188, 17)))), AND(LEFT($A188, 11)="select_one ", LEN($A188)&gt;11, NOT(ISNUMBER(SEARCH(" ", $A188, 12)))))</formula>
    </cfRule>
  </conditionalFormatting>
  <conditionalFormatting sqref="B188:E192">
    <cfRule type="expression" dxfId="25" priority="2995" stopIfTrue="1">
      <formula>$A188="decimal"</formula>
    </cfRule>
  </conditionalFormatting>
  <conditionalFormatting sqref="B188:E192">
    <cfRule type="expression" dxfId="26" priority="2996" stopIfTrue="1">
      <formula>$A188="integer"</formula>
    </cfRule>
  </conditionalFormatting>
  <conditionalFormatting sqref="B188:E192">
    <cfRule type="expression" dxfId="27" priority="2997" stopIfTrue="1">
      <formula>$A188="text"</formula>
    </cfRule>
  </conditionalFormatting>
  <conditionalFormatting sqref="B188:E192">
    <cfRule type="expression" dxfId="28" priority="2998" stopIfTrue="1">
      <formula>$A188="end repeat"</formula>
    </cfRule>
  </conditionalFormatting>
  <conditionalFormatting sqref="B188:E192">
    <cfRule type="expression" dxfId="28" priority="2999" stopIfTrue="1">
      <formula>$A188="begin repeat"</formula>
    </cfRule>
  </conditionalFormatting>
  <conditionalFormatting sqref="B188:E192">
    <cfRule type="expression" dxfId="29" priority="3000" stopIfTrue="1">
      <formula>$A188="end group"</formula>
    </cfRule>
  </conditionalFormatting>
  <conditionalFormatting sqref="B188:E192">
    <cfRule type="expression" dxfId="29" priority="3001" stopIfTrue="1">
      <formula>$A188="begin group"</formula>
    </cfRule>
  </conditionalFormatting>
  <conditionalFormatting sqref="B188:B192 C190">
    <cfRule type="expression" dxfId="30" priority="3002" stopIfTrue="1">
      <formula>$A188="comments"</formula>
    </cfRule>
  </conditionalFormatting>
  <conditionalFormatting sqref="B188:B192 C190">
    <cfRule type="expression" dxfId="36" priority="3003" stopIfTrue="1">
      <formula>OR(AND(LEFT($A188, 14)="sensor_stream ", LEN($A188)&gt;14, NOT(ISNUMBER(SEARCH(" ", $A188, 15)))), AND(LEFT($A188, 17)="sensor_statistic ", LEN($A188)&gt;17, NOT(ISNUMBER(SEARCH(" ", $A188, 18)))))</formula>
    </cfRule>
  </conditionalFormatting>
  <conditionalFormatting sqref="B185:C185 D185:E185">
    <cfRule type="expression" dxfId="0" priority="3004" stopIfTrue="1">
      <formula>$A185="begin group"</formula>
    </cfRule>
  </conditionalFormatting>
  <conditionalFormatting sqref="B185:C185 D185:E185">
    <cfRule type="expression" dxfId="1" priority="3005" stopIfTrue="1">
      <formula>$A185="begin repeat"</formula>
    </cfRule>
  </conditionalFormatting>
  <conditionalFormatting sqref="B185:E185">
    <cfRule type="expression" dxfId="31" priority="3006" stopIfTrue="1">
      <formula>$A185="enumerator"</formula>
    </cfRule>
  </conditionalFormatting>
  <conditionalFormatting sqref="B185:E185">
    <cfRule type="expression" dxfId="2" priority="3007" stopIfTrue="1">
      <formula>$A185="text"</formula>
    </cfRule>
  </conditionalFormatting>
  <conditionalFormatting sqref="B185:E185">
    <cfRule type="expression" dxfId="3" priority="3008" stopIfTrue="1">
      <formula>$A185="integer"</formula>
    </cfRule>
  </conditionalFormatting>
  <conditionalFormatting sqref="B185:E185">
    <cfRule type="expression" dxfId="4" priority="3009" stopIfTrue="1">
      <formula>$A185="decimal"</formula>
    </cfRule>
  </conditionalFormatting>
  <conditionalFormatting sqref="B185:C185 D185:E185">
    <cfRule type="expression" dxfId="5" priority="3010" stopIfTrue="1">
      <formula>OR(AND(LEFT($A185, 16)="select_multiple ", LEN($A185)&gt;16, NOT(ISNUMBER(SEARCH(" ", $A185, 17)))), AND(LEFT($A185, 11)="select_one ", LEN($A185)&gt;11, NOT(ISNUMBER(SEARCH(" ", $A185, 12)))))</formula>
    </cfRule>
  </conditionalFormatting>
  <conditionalFormatting sqref="B185">
    <cfRule type="expression" dxfId="6" priority="3011" stopIfTrue="1">
      <formula>OR($A185="audio audit", $A185="text audit", $A185="speed violations count", $A185="speed violations list", $A185="speed violations audit")</formula>
    </cfRule>
  </conditionalFormatting>
  <conditionalFormatting sqref="B185:C185 D185:E185">
    <cfRule type="expression" dxfId="32" priority="3012" stopIfTrue="1">
      <formula>$A185="file"</formula>
    </cfRule>
  </conditionalFormatting>
  <conditionalFormatting sqref="B185:C185 D185:E185">
    <cfRule type="expression" dxfId="7" priority="3013" stopIfTrue="1">
      <formula>$A185="note"</formula>
    </cfRule>
  </conditionalFormatting>
  <conditionalFormatting sqref="B185:C185 D185:E185">
    <cfRule type="expression" dxfId="8" priority="3014" stopIfTrue="1">
      <formula>$A185="barcode"</formula>
    </cfRule>
  </conditionalFormatting>
  <conditionalFormatting sqref="B185:C185 D185:E185">
    <cfRule type="expression" dxfId="9" priority="3015" stopIfTrue="1">
      <formula>OR($A185="geopoint", $A185="geoshape", $A185="geotrace")</formula>
    </cfRule>
  </conditionalFormatting>
  <conditionalFormatting sqref="B185">
    <cfRule type="expression" dxfId="10" priority="3016" stopIfTrue="1">
      <formula>OR($A185="calculate", $A185="calculate_here")</formula>
    </cfRule>
  </conditionalFormatting>
  <conditionalFormatting sqref="B185:C185 D185:E185">
    <cfRule type="expression" dxfId="11" priority="3017" stopIfTrue="1">
      <formula>OR($A185="date", $A185="datetime", $A185="time")</formula>
    </cfRule>
  </conditionalFormatting>
  <conditionalFormatting sqref="B185:C185 D185:E185">
    <cfRule type="expression" dxfId="12" priority="3018" stopIfTrue="1">
      <formula>$A185="image"</formula>
    </cfRule>
  </conditionalFormatting>
  <conditionalFormatting sqref="B185:C185 D185:E185">
    <cfRule type="expression" dxfId="13" priority="3019" stopIfTrue="1">
      <formula>OR($A185="audio", $A185="video")</formula>
    </cfRule>
  </conditionalFormatting>
  <conditionalFormatting sqref="B185:E185">
    <cfRule type="expression" dxfId="33" priority="3020" stopIfTrue="1">
      <formula>$A185="file"</formula>
    </cfRule>
  </conditionalFormatting>
  <conditionalFormatting sqref="B185:E185">
    <cfRule type="expression" dxfId="34" priority="3021" stopIfTrue="1">
      <formula>$A185="enumerator"</formula>
    </cfRule>
  </conditionalFormatting>
  <conditionalFormatting sqref="B185:E185">
    <cfRule type="expression" dxfId="35" priority="3022" stopIfTrue="1">
      <formula>OR(AND(LEFT($A185, 14)="sensor_stream ", LEN($A185)&gt;14, NOT(ISNUMBER(SEARCH(" ", $A185, 15)))), AND(LEFT($A185, 17)="sensor_statistic ", LEN($A185)&gt;17, NOT(ISNUMBER(SEARCH(" ", $A185, 18)))))</formula>
    </cfRule>
  </conditionalFormatting>
  <conditionalFormatting sqref="B185:E185">
    <cfRule type="expression" dxfId="14" priority="3023" stopIfTrue="1">
      <formula>$A185="comments"</formula>
    </cfRule>
  </conditionalFormatting>
  <conditionalFormatting sqref="B185:E185">
    <cfRule type="expression" dxfId="15" priority="3024" stopIfTrue="1">
      <formula>OR($A185="audio", $A185="video")</formula>
    </cfRule>
  </conditionalFormatting>
  <conditionalFormatting sqref="B185:E185">
    <cfRule type="expression" dxfId="16" priority="3025" stopIfTrue="1">
      <formula>$A185="image"</formula>
    </cfRule>
  </conditionalFormatting>
  <conditionalFormatting sqref="B185:E185">
    <cfRule type="expression" dxfId="17" priority="3026" stopIfTrue="1">
      <formula>OR($A185="date", $A185="datetime", $A185="time")</formula>
    </cfRule>
  </conditionalFormatting>
  <conditionalFormatting sqref="B185:E185">
    <cfRule type="expression" dxfId="18" priority="3027" stopIfTrue="1">
      <formula>OR($A185="calculate", $A185="calculate_here")</formula>
    </cfRule>
  </conditionalFormatting>
  <conditionalFormatting sqref="B185:E185">
    <cfRule type="expression" dxfId="19" priority="3028" stopIfTrue="1">
      <formula>$A185="note"</formula>
    </cfRule>
  </conditionalFormatting>
  <conditionalFormatting sqref="B185:E185">
    <cfRule type="expression" dxfId="20" priority="3029" stopIfTrue="1">
      <formula>$A185="barcode"</formula>
    </cfRule>
  </conditionalFormatting>
  <conditionalFormatting sqref="B185:E185">
    <cfRule type="expression" dxfId="21" priority="3030" stopIfTrue="1">
      <formula>OR($A185="geopoint", $A185="geoshape", $A185="geotrace")</formula>
    </cfRule>
  </conditionalFormatting>
  <conditionalFormatting sqref="B185:E185">
    <cfRule type="expression" dxfId="22" priority="3031" stopIfTrue="1">
      <formula>OR($A185="audio audit", $A185="text audit", $A185="speed violations count", $A185="speed violations list", $A185="speed violations audit")</formula>
    </cfRule>
  </conditionalFormatting>
  <conditionalFormatting sqref="B185:E185">
    <cfRule type="expression" dxfId="23" priority="3032" stopIfTrue="1">
      <formula>OR($A185="username", $A185="phonenumber", $A185="start", $A185="end", $A185="deviceid", $A185="subscriberid", $A185="simserial", $A185="caseid")</formula>
    </cfRule>
  </conditionalFormatting>
  <conditionalFormatting sqref="B185:E185">
    <cfRule type="expression" dxfId="24" priority="3033" stopIfTrue="1">
      <formula>OR(AND(LEFT($A185, 16)="select_multiple ", LEN($A185)&gt;16, NOT(ISNUMBER(SEARCH(" ", $A185, 17)))), AND(LEFT($A185, 11)="select_one ", LEN($A185)&gt;11, NOT(ISNUMBER(SEARCH(" ", $A185, 12)))))</formula>
    </cfRule>
  </conditionalFormatting>
  <conditionalFormatting sqref="B185:E185">
    <cfRule type="expression" dxfId="25" priority="3034" stopIfTrue="1">
      <formula>$A185="decimal"</formula>
    </cfRule>
  </conditionalFormatting>
  <conditionalFormatting sqref="B185:E185">
    <cfRule type="expression" dxfId="26" priority="3035" stopIfTrue="1">
      <formula>$A185="integer"</formula>
    </cfRule>
  </conditionalFormatting>
  <conditionalFormatting sqref="B185:E185">
    <cfRule type="expression" dxfId="27" priority="3036" stopIfTrue="1">
      <formula>$A185="text"</formula>
    </cfRule>
  </conditionalFormatting>
  <conditionalFormatting sqref="B185:E185">
    <cfRule type="expression" dxfId="28" priority="3037" stopIfTrue="1">
      <formula>$A185="end repeat"</formula>
    </cfRule>
  </conditionalFormatting>
  <conditionalFormatting sqref="B185:E185">
    <cfRule type="expression" dxfId="28" priority="3038" stopIfTrue="1">
      <formula>$A185="begin repeat"</formula>
    </cfRule>
  </conditionalFormatting>
  <conditionalFormatting sqref="B185:E185">
    <cfRule type="expression" dxfId="29" priority="3039" stopIfTrue="1">
      <formula>$A185="end group"</formula>
    </cfRule>
  </conditionalFormatting>
  <conditionalFormatting sqref="B185:E185">
    <cfRule type="expression" dxfId="29" priority="3040" stopIfTrue="1">
      <formula>$A185="begin group"</formula>
    </cfRule>
  </conditionalFormatting>
  <conditionalFormatting sqref="B185">
    <cfRule type="expression" dxfId="30" priority="3041" stopIfTrue="1">
      <formula>$A185="comments"</formula>
    </cfRule>
  </conditionalFormatting>
  <conditionalFormatting sqref="B185">
    <cfRule type="expression" dxfId="36" priority="3042" stopIfTrue="1">
      <formula>OR(AND(LEFT($A185, 14)="sensor_stream ", LEN($A185)&gt;14, NOT(ISNUMBER(SEARCH(" ", $A185, 15)))), AND(LEFT($A185, 17)="sensor_statistic ", LEN($A185)&gt;17, NOT(ISNUMBER(SEARCH(" ", $A185, 18)))))</formula>
    </cfRule>
  </conditionalFormatting>
  <conditionalFormatting sqref="B182:C182 D182:E182">
    <cfRule type="expression" dxfId="0" priority="3043" stopIfTrue="1">
      <formula>$A182="begin group"</formula>
    </cfRule>
  </conditionalFormatting>
  <conditionalFormatting sqref="B182:C182 D182:E182">
    <cfRule type="expression" dxfId="1" priority="3044" stopIfTrue="1">
      <formula>$A182="begin repeat"</formula>
    </cfRule>
  </conditionalFormatting>
  <conditionalFormatting sqref="B182:E182">
    <cfRule type="expression" dxfId="31" priority="3045" stopIfTrue="1">
      <formula>$A182="enumerator"</formula>
    </cfRule>
  </conditionalFormatting>
  <conditionalFormatting sqref="B182:E182">
    <cfRule type="expression" dxfId="2" priority="3046" stopIfTrue="1">
      <formula>$A182="text"</formula>
    </cfRule>
  </conditionalFormatting>
  <conditionalFormatting sqref="B182:E182">
    <cfRule type="expression" dxfId="3" priority="3047" stopIfTrue="1">
      <formula>$A182="integer"</formula>
    </cfRule>
  </conditionalFormatting>
  <conditionalFormatting sqref="B182:E182">
    <cfRule type="expression" dxfId="4" priority="3048" stopIfTrue="1">
      <formula>$A182="decimal"</formula>
    </cfRule>
  </conditionalFormatting>
  <conditionalFormatting sqref="B182:C182 D182:E182">
    <cfRule type="expression" dxfId="5" priority="3049" stopIfTrue="1">
      <formula>OR(AND(LEFT($A182, 16)="select_multiple ", LEN($A182)&gt;16, NOT(ISNUMBER(SEARCH(" ", $A182, 17)))), AND(LEFT($A182, 11)="select_one ", LEN($A182)&gt;11, NOT(ISNUMBER(SEARCH(" ", $A182, 12)))))</formula>
    </cfRule>
  </conditionalFormatting>
  <conditionalFormatting sqref="B182">
    <cfRule type="expression" dxfId="6" priority="3050" stopIfTrue="1">
      <formula>OR($A182="audio audit", $A182="text audit", $A182="speed violations count", $A182="speed violations list", $A182="speed violations audit")</formula>
    </cfRule>
  </conditionalFormatting>
  <conditionalFormatting sqref="B182:C182 D182:E182">
    <cfRule type="expression" dxfId="32" priority="3051" stopIfTrue="1">
      <formula>$A182="file"</formula>
    </cfRule>
  </conditionalFormatting>
  <conditionalFormatting sqref="B182:C182 D182:E182">
    <cfRule type="expression" dxfId="7" priority="3052" stopIfTrue="1">
      <formula>$A182="note"</formula>
    </cfRule>
  </conditionalFormatting>
  <conditionalFormatting sqref="B182:C182 D182:E182">
    <cfRule type="expression" dxfId="8" priority="3053" stopIfTrue="1">
      <formula>$A182="barcode"</formula>
    </cfRule>
  </conditionalFormatting>
  <conditionalFormatting sqref="B182:C182 D182:E182">
    <cfRule type="expression" dxfId="9" priority="3054" stopIfTrue="1">
      <formula>OR($A182="geopoint", $A182="geoshape", $A182="geotrace")</formula>
    </cfRule>
  </conditionalFormatting>
  <conditionalFormatting sqref="B182">
    <cfRule type="expression" dxfId="10" priority="3055" stopIfTrue="1">
      <formula>OR($A182="calculate", $A182="calculate_here")</formula>
    </cfRule>
  </conditionalFormatting>
  <conditionalFormatting sqref="B182:C182 D182:E182">
    <cfRule type="expression" dxfId="11" priority="3056" stopIfTrue="1">
      <formula>OR($A182="date", $A182="datetime", $A182="time")</formula>
    </cfRule>
  </conditionalFormatting>
  <conditionalFormatting sqref="B182:C182 D182:E182">
    <cfRule type="expression" dxfId="12" priority="3057" stopIfTrue="1">
      <formula>$A182="image"</formula>
    </cfRule>
  </conditionalFormatting>
  <conditionalFormatting sqref="B182:C182 D182:E182">
    <cfRule type="expression" dxfId="13" priority="3058" stopIfTrue="1">
      <formula>OR($A182="audio", $A182="video")</formula>
    </cfRule>
  </conditionalFormatting>
  <conditionalFormatting sqref="B182:E182">
    <cfRule type="expression" dxfId="33" priority="3059" stopIfTrue="1">
      <formula>$A182="file"</formula>
    </cfRule>
  </conditionalFormatting>
  <conditionalFormatting sqref="B182:E182">
    <cfRule type="expression" dxfId="34" priority="3060" stopIfTrue="1">
      <formula>$A182="enumerator"</formula>
    </cfRule>
  </conditionalFormatting>
  <conditionalFormatting sqref="B182:E182">
    <cfRule type="expression" dxfId="35" priority="3061" stopIfTrue="1">
      <formula>OR(AND(LEFT($A182, 14)="sensor_stream ", LEN($A182)&gt;14, NOT(ISNUMBER(SEARCH(" ", $A182, 15)))), AND(LEFT($A182, 17)="sensor_statistic ", LEN($A182)&gt;17, NOT(ISNUMBER(SEARCH(" ", $A182, 18)))))</formula>
    </cfRule>
  </conditionalFormatting>
  <conditionalFormatting sqref="B182:E182">
    <cfRule type="expression" dxfId="14" priority="3062" stopIfTrue="1">
      <formula>$A182="comments"</formula>
    </cfRule>
  </conditionalFormatting>
  <conditionalFormatting sqref="B182:E182">
    <cfRule type="expression" dxfId="15" priority="3063" stopIfTrue="1">
      <formula>OR($A182="audio", $A182="video")</formula>
    </cfRule>
  </conditionalFormatting>
  <conditionalFormatting sqref="B182:E182">
    <cfRule type="expression" dxfId="16" priority="3064" stopIfTrue="1">
      <formula>$A182="image"</formula>
    </cfRule>
  </conditionalFormatting>
  <conditionalFormatting sqref="B182:E182">
    <cfRule type="expression" dxfId="17" priority="3065" stopIfTrue="1">
      <formula>OR($A182="date", $A182="datetime", $A182="time")</formula>
    </cfRule>
  </conditionalFormatting>
  <conditionalFormatting sqref="B182:E182">
    <cfRule type="expression" dxfId="18" priority="3066" stopIfTrue="1">
      <formula>OR($A182="calculate", $A182="calculate_here")</formula>
    </cfRule>
  </conditionalFormatting>
  <conditionalFormatting sqref="B182:E182">
    <cfRule type="expression" dxfId="19" priority="3067" stopIfTrue="1">
      <formula>$A182="note"</formula>
    </cfRule>
  </conditionalFormatting>
  <conditionalFormatting sqref="B182:E182">
    <cfRule type="expression" dxfId="20" priority="3068" stopIfTrue="1">
      <formula>$A182="barcode"</formula>
    </cfRule>
  </conditionalFormatting>
  <conditionalFormatting sqref="B182:E182">
    <cfRule type="expression" dxfId="21" priority="3069" stopIfTrue="1">
      <formula>OR($A182="geopoint", $A182="geoshape", $A182="geotrace")</formula>
    </cfRule>
  </conditionalFormatting>
  <conditionalFormatting sqref="B182:E182">
    <cfRule type="expression" dxfId="22" priority="3070" stopIfTrue="1">
      <formula>OR($A182="audio audit", $A182="text audit", $A182="speed violations count", $A182="speed violations list", $A182="speed violations audit")</formula>
    </cfRule>
  </conditionalFormatting>
  <conditionalFormatting sqref="B182:E182">
    <cfRule type="expression" dxfId="23" priority="3071" stopIfTrue="1">
      <formula>OR($A182="username", $A182="phonenumber", $A182="start", $A182="end", $A182="deviceid", $A182="subscriberid", $A182="simserial", $A182="caseid")</formula>
    </cfRule>
  </conditionalFormatting>
  <conditionalFormatting sqref="B182:E182">
    <cfRule type="expression" dxfId="24" priority="3072" stopIfTrue="1">
      <formula>OR(AND(LEFT($A182, 16)="select_multiple ", LEN($A182)&gt;16, NOT(ISNUMBER(SEARCH(" ", $A182, 17)))), AND(LEFT($A182, 11)="select_one ", LEN($A182)&gt;11, NOT(ISNUMBER(SEARCH(" ", $A182, 12)))))</formula>
    </cfRule>
  </conditionalFormatting>
  <conditionalFormatting sqref="B182:E182">
    <cfRule type="expression" dxfId="25" priority="3073" stopIfTrue="1">
      <formula>$A182="decimal"</formula>
    </cfRule>
  </conditionalFormatting>
  <conditionalFormatting sqref="B182:E182">
    <cfRule type="expression" dxfId="26" priority="3074" stopIfTrue="1">
      <formula>$A182="integer"</formula>
    </cfRule>
  </conditionalFormatting>
  <conditionalFormatting sqref="B182:E182">
    <cfRule type="expression" dxfId="27" priority="3075" stopIfTrue="1">
      <formula>$A182="text"</formula>
    </cfRule>
  </conditionalFormatting>
  <conditionalFormatting sqref="B182:E182">
    <cfRule type="expression" dxfId="28" priority="3076" stopIfTrue="1">
      <formula>$A182="end repeat"</formula>
    </cfRule>
  </conditionalFormatting>
  <conditionalFormatting sqref="B182:E182">
    <cfRule type="expression" dxfId="28" priority="3077" stopIfTrue="1">
      <formula>$A182="begin repeat"</formula>
    </cfRule>
  </conditionalFormatting>
  <conditionalFormatting sqref="B182:E182">
    <cfRule type="expression" dxfId="29" priority="3078" stopIfTrue="1">
      <formula>$A182="end group"</formula>
    </cfRule>
  </conditionalFormatting>
  <conditionalFormatting sqref="B182:E182">
    <cfRule type="expression" dxfId="29" priority="3079" stopIfTrue="1">
      <formula>$A182="begin group"</formula>
    </cfRule>
  </conditionalFormatting>
  <conditionalFormatting sqref="B182">
    <cfRule type="expression" dxfId="30" priority="3080" stopIfTrue="1">
      <formula>$A182="comments"</formula>
    </cfRule>
  </conditionalFormatting>
  <conditionalFormatting sqref="B182">
    <cfRule type="expression" dxfId="36" priority="3081" stopIfTrue="1">
      <formula>OR(AND(LEFT($A182, 14)="sensor_stream ", LEN($A182)&gt;14, NOT(ISNUMBER(SEARCH(" ", $A182, 15)))), AND(LEFT($A182, 17)="sensor_statistic ", LEN($A182)&gt;17, NOT(ISNUMBER(SEARCH(" ", $A182, 18)))))</formula>
    </cfRule>
  </conditionalFormatting>
  <conditionalFormatting sqref="B180:C180 D180:E180">
    <cfRule type="expression" dxfId="0" priority="3082" stopIfTrue="1">
      <formula>$A180="begin group"</formula>
    </cfRule>
  </conditionalFormatting>
  <conditionalFormatting sqref="B180:C180 D180:E180">
    <cfRule type="expression" dxfId="1" priority="3083" stopIfTrue="1">
      <formula>$A180="begin repeat"</formula>
    </cfRule>
  </conditionalFormatting>
  <conditionalFormatting sqref="B180:E180">
    <cfRule type="expression" dxfId="31" priority="3084" stopIfTrue="1">
      <formula>$A180="enumerator"</formula>
    </cfRule>
  </conditionalFormatting>
  <conditionalFormatting sqref="B180:E180">
    <cfRule type="expression" dxfId="2" priority="3085" stopIfTrue="1">
      <formula>$A180="text"</formula>
    </cfRule>
  </conditionalFormatting>
  <conditionalFormatting sqref="B180:E180">
    <cfRule type="expression" dxfId="3" priority="3086" stopIfTrue="1">
      <formula>$A180="integer"</formula>
    </cfRule>
  </conditionalFormatting>
  <conditionalFormatting sqref="B180:E180">
    <cfRule type="expression" dxfId="4" priority="3087" stopIfTrue="1">
      <formula>$A180="decimal"</formula>
    </cfRule>
  </conditionalFormatting>
  <conditionalFormatting sqref="B180:C180 D180:E180">
    <cfRule type="expression" dxfId="5" priority="3088" stopIfTrue="1">
      <formula>OR(AND(LEFT($A180, 16)="select_multiple ", LEN($A180)&gt;16, NOT(ISNUMBER(SEARCH(" ", $A180, 17)))), AND(LEFT($A180, 11)="select_one ", LEN($A180)&gt;11, NOT(ISNUMBER(SEARCH(" ", $A180, 12)))))</formula>
    </cfRule>
  </conditionalFormatting>
  <conditionalFormatting sqref="B180">
    <cfRule type="expression" dxfId="6" priority="3089" stopIfTrue="1">
      <formula>OR($A180="audio audit", $A180="text audit", $A180="speed violations count", $A180="speed violations list", $A180="speed violations audit")</formula>
    </cfRule>
  </conditionalFormatting>
  <conditionalFormatting sqref="B180:C180 D180:E180">
    <cfRule type="expression" dxfId="32" priority="3090" stopIfTrue="1">
      <formula>$A180="file"</formula>
    </cfRule>
  </conditionalFormatting>
  <conditionalFormatting sqref="B180:C180 D180:E180">
    <cfRule type="expression" dxfId="7" priority="3091" stopIfTrue="1">
      <formula>$A180="note"</formula>
    </cfRule>
  </conditionalFormatting>
  <conditionalFormatting sqref="B180:C180 D180:E180">
    <cfRule type="expression" dxfId="8" priority="3092" stopIfTrue="1">
      <formula>$A180="barcode"</formula>
    </cfRule>
  </conditionalFormatting>
  <conditionalFormatting sqref="B180:C180 D180:E180">
    <cfRule type="expression" dxfId="9" priority="3093" stopIfTrue="1">
      <formula>OR($A180="geopoint", $A180="geoshape", $A180="geotrace")</formula>
    </cfRule>
  </conditionalFormatting>
  <conditionalFormatting sqref="B180">
    <cfRule type="expression" dxfId="10" priority="3094" stopIfTrue="1">
      <formula>OR($A180="calculate", $A180="calculate_here")</formula>
    </cfRule>
  </conditionalFormatting>
  <conditionalFormatting sqref="B180:C180 D180:E180">
    <cfRule type="expression" dxfId="11" priority="3095" stopIfTrue="1">
      <formula>OR($A180="date", $A180="datetime", $A180="time")</formula>
    </cfRule>
  </conditionalFormatting>
  <conditionalFormatting sqref="B180:C180 D180:E180">
    <cfRule type="expression" dxfId="12" priority="3096" stopIfTrue="1">
      <formula>$A180="image"</formula>
    </cfRule>
  </conditionalFormatting>
  <conditionalFormatting sqref="B180:C180 D180:E180">
    <cfRule type="expression" dxfId="13" priority="3097" stopIfTrue="1">
      <formula>OR($A180="audio", $A180="video")</formula>
    </cfRule>
  </conditionalFormatting>
  <conditionalFormatting sqref="B180:E180">
    <cfRule type="expression" dxfId="33" priority="3098" stopIfTrue="1">
      <formula>$A180="file"</formula>
    </cfRule>
  </conditionalFormatting>
  <conditionalFormatting sqref="B180:E180">
    <cfRule type="expression" dxfId="34" priority="3099" stopIfTrue="1">
      <formula>$A180="enumerator"</formula>
    </cfRule>
  </conditionalFormatting>
  <conditionalFormatting sqref="B180:E180">
    <cfRule type="expression" dxfId="35" priority="3100" stopIfTrue="1">
      <formula>OR(AND(LEFT($A180, 14)="sensor_stream ", LEN($A180)&gt;14, NOT(ISNUMBER(SEARCH(" ", $A180, 15)))), AND(LEFT($A180, 17)="sensor_statistic ", LEN($A180)&gt;17, NOT(ISNUMBER(SEARCH(" ", $A180, 18)))))</formula>
    </cfRule>
  </conditionalFormatting>
  <conditionalFormatting sqref="B180:E180">
    <cfRule type="expression" dxfId="14" priority="3101" stopIfTrue="1">
      <formula>$A180="comments"</formula>
    </cfRule>
  </conditionalFormatting>
  <conditionalFormatting sqref="B180:E180">
    <cfRule type="expression" dxfId="15" priority="3102" stopIfTrue="1">
      <formula>OR($A180="audio", $A180="video")</formula>
    </cfRule>
  </conditionalFormatting>
  <conditionalFormatting sqref="B180:E180">
    <cfRule type="expression" dxfId="16" priority="3103" stopIfTrue="1">
      <formula>$A180="image"</formula>
    </cfRule>
  </conditionalFormatting>
  <conditionalFormatting sqref="B180:E180">
    <cfRule type="expression" dxfId="17" priority="3104" stopIfTrue="1">
      <formula>OR($A180="date", $A180="datetime", $A180="time")</formula>
    </cfRule>
  </conditionalFormatting>
  <conditionalFormatting sqref="B180:E180">
    <cfRule type="expression" dxfId="18" priority="3105" stopIfTrue="1">
      <formula>OR($A180="calculate", $A180="calculate_here")</formula>
    </cfRule>
  </conditionalFormatting>
  <conditionalFormatting sqref="B180:E180">
    <cfRule type="expression" dxfId="19" priority="3106" stopIfTrue="1">
      <formula>$A180="note"</formula>
    </cfRule>
  </conditionalFormatting>
  <conditionalFormatting sqref="B180:E180">
    <cfRule type="expression" dxfId="20" priority="3107" stopIfTrue="1">
      <formula>$A180="barcode"</formula>
    </cfRule>
  </conditionalFormatting>
  <conditionalFormatting sqref="B180:E180">
    <cfRule type="expression" dxfId="21" priority="3108" stopIfTrue="1">
      <formula>OR($A180="geopoint", $A180="geoshape", $A180="geotrace")</formula>
    </cfRule>
  </conditionalFormatting>
  <conditionalFormatting sqref="B180:E180">
    <cfRule type="expression" dxfId="22" priority="3109" stopIfTrue="1">
      <formula>OR($A180="audio audit", $A180="text audit", $A180="speed violations count", $A180="speed violations list", $A180="speed violations audit")</formula>
    </cfRule>
  </conditionalFormatting>
  <conditionalFormatting sqref="B180:E180">
    <cfRule type="expression" dxfId="23" priority="3110" stopIfTrue="1">
      <formula>OR($A180="username", $A180="phonenumber", $A180="start", $A180="end", $A180="deviceid", $A180="subscriberid", $A180="simserial", $A180="caseid")</formula>
    </cfRule>
  </conditionalFormatting>
  <conditionalFormatting sqref="B180:E180">
    <cfRule type="expression" dxfId="24" priority="3111" stopIfTrue="1">
      <formula>OR(AND(LEFT($A180, 16)="select_multiple ", LEN($A180)&gt;16, NOT(ISNUMBER(SEARCH(" ", $A180, 17)))), AND(LEFT($A180, 11)="select_one ", LEN($A180)&gt;11, NOT(ISNUMBER(SEARCH(" ", $A180, 12)))))</formula>
    </cfRule>
  </conditionalFormatting>
  <conditionalFormatting sqref="B180:E180">
    <cfRule type="expression" dxfId="25" priority="3112" stopIfTrue="1">
      <formula>$A180="decimal"</formula>
    </cfRule>
  </conditionalFormatting>
  <conditionalFormatting sqref="B180:E180">
    <cfRule type="expression" dxfId="26" priority="3113" stopIfTrue="1">
      <formula>$A180="integer"</formula>
    </cfRule>
  </conditionalFormatting>
  <conditionalFormatting sqref="B180:E180">
    <cfRule type="expression" dxfId="27" priority="3114" stopIfTrue="1">
      <formula>$A180="text"</formula>
    </cfRule>
  </conditionalFormatting>
  <conditionalFormatting sqref="B180:E180">
    <cfRule type="expression" dxfId="28" priority="3115" stopIfTrue="1">
      <formula>$A180="end repeat"</formula>
    </cfRule>
  </conditionalFormatting>
  <conditionalFormatting sqref="B180:E180">
    <cfRule type="expression" dxfId="28" priority="3116" stopIfTrue="1">
      <formula>$A180="begin repeat"</formula>
    </cfRule>
  </conditionalFormatting>
  <conditionalFormatting sqref="B180:E180">
    <cfRule type="expression" dxfId="29" priority="3117" stopIfTrue="1">
      <formula>$A180="end group"</formula>
    </cfRule>
  </conditionalFormatting>
  <conditionalFormatting sqref="B180:E180">
    <cfRule type="expression" dxfId="29" priority="3118" stopIfTrue="1">
      <formula>$A180="begin group"</formula>
    </cfRule>
  </conditionalFormatting>
  <conditionalFormatting sqref="B180">
    <cfRule type="expression" dxfId="30" priority="3119" stopIfTrue="1">
      <formula>$A180="comments"</formula>
    </cfRule>
  </conditionalFormatting>
  <conditionalFormatting sqref="B180">
    <cfRule type="expression" dxfId="36" priority="3120" stopIfTrue="1">
      <formula>OR(AND(LEFT($A180, 14)="sensor_stream ", LEN($A180)&gt;14, NOT(ISNUMBER(SEARCH(" ", $A180, 15)))), AND(LEFT($A180, 17)="sensor_statistic ", LEN($A180)&gt;17, NOT(ISNUMBER(SEARCH(" ", $A180, 18)))))</formula>
    </cfRule>
  </conditionalFormatting>
  <conditionalFormatting sqref="B177:C177 D177:E177">
    <cfRule type="expression" dxfId="0" priority="3121" stopIfTrue="1">
      <formula>$A177="begin group"</formula>
    </cfRule>
  </conditionalFormatting>
  <conditionalFormatting sqref="B177:C177 D177:E177">
    <cfRule type="expression" dxfId="1" priority="3122" stopIfTrue="1">
      <formula>$A177="begin repeat"</formula>
    </cfRule>
  </conditionalFormatting>
  <conditionalFormatting sqref="B177:E177">
    <cfRule type="expression" dxfId="31" priority="3123" stopIfTrue="1">
      <formula>$A177="enumerator"</formula>
    </cfRule>
  </conditionalFormatting>
  <conditionalFormatting sqref="B177:E177">
    <cfRule type="expression" dxfId="2" priority="3124" stopIfTrue="1">
      <formula>$A177="text"</formula>
    </cfRule>
  </conditionalFormatting>
  <conditionalFormatting sqref="B177:E177">
    <cfRule type="expression" dxfId="3" priority="3125" stopIfTrue="1">
      <formula>$A177="integer"</formula>
    </cfRule>
  </conditionalFormatting>
  <conditionalFormatting sqref="B177:E177">
    <cfRule type="expression" dxfId="4" priority="3126" stopIfTrue="1">
      <formula>$A177="decimal"</formula>
    </cfRule>
  </conditionalFormatting>
  <conditionalFormatting sqref="B177:C177 D177:E177">
    <cfRule type="expression" dxfId="5" priority="3127" stopIfTrue="1">
      <formula>OR(AND(LEFT($A177, 16)="select_multiple ", LEN($A177)&gt;16, NOT(ISNUMBER(SEARCH(" ", $A177, 17)))), AND(LEFT($A177, 11)="select_one ", LEN($A177)&gt;11, NOT(ISNUMBER(SEARCH(" ", $A177, 12)))))</formula>
    </cfRule>
  </conditionalFormatting>
  <conditionalFormatting sqref="B177">
    <cfRule type="expression" dxfId="6" priority="3128" stopIfTrue="1">
      <formula>OR($A177="audio audit", $A177="text audit", $A177="speed violations count", $A177="speed violations list", $A177="speed violations audit")</formula>
    </cfRule>
  </conditionalFormatting>
  <conditionalFormatting sqref="B177:C177 D177:E177">
    <cfRule type="expression" dxfId="32" priority="3129" stopIfTrue="1">
      <formula>$A177="file"</formula>
    </cfRule>
  </conditionalFormatting>
  <conditionalFormatting sqref="B177:C177 D177:E177">
    <cfRule type="expression" dxfId="7" priority="3130" stopIfTrue="1">
      <formula>$A177="note"</formula>
    </cfRule>
  </conditionalFormatting>
  <conditionalFormatting sqref="B177:C177 D177:E177">
    <cfRule type="expression" dxfId="8" priority="3131" stopIfTrue="1">
      <formula>$A177="barcode"</formula>
    </cfRule>
  </conditionalFormatting>
  <conditionalFormatting sqref="B177:C177 D177:E177">
    <cfRule type="expression" dxfId="9" priority="3132" stopIfTrue="1">
      <formula>OR($A177="geopoint", $A177="geoshape", $A177="geotrace")</formula>
    </cfRule>
  </conditionalFormatting>
  <conditionalFormatting sqref="B177">
    <cfRule type="expression" dxfId="10" priority="3133" stopIfTrue="1">
      <formula>OR($A177="calculate", $A177="calculate_here")</formula>
    </cfRule>
  </conditionalFormatting>
  <conditionalFormatting sqref="B177:C177 D177:E177">
    <cfRule type="expression" dxfId="11" priority="3134" stopIfTrue="1">
      <formula>OR($A177="date", $A177="datetime", $A177="time")</formula>
    </cfRule>
  </conditionalFormatting>
  <conditionalFormatting sqref="B177:C177 D177:E177">
    <cfRule type="expression" dxfId="12" priority="3135" stopIfTrue="1">
      <formula>$A177="image"</formula>
    </cfRule>
  </conditionalFormatting>
  <conditionalFormatting sqref="B177:C177 D177:E177">
    <cfRule type="expression" dxfId="13" priority="3136" stopIfTrue="1">
      <formula>OR($A177="audio", $A177="video")</formula>
    </cfRule>
  </conditionalFormatting>
  <conditionalFormatting sqref="B177:E177">
    <cfRule type="expression" dxfId="33" priority="3137" stopIfTrue="1">
      <formula>$A177="file"</formula>
    </cfRule>
  </conditionalFormatting>
  <conditionalFormatting sqref="B177:E177">
    <cfRule type="expression" dxfId="34" priority="3138" stopIfTrue="1">
      <formula>$A177="enumerator"</formula>
    </cfRule>
  </conditionalFormatting>
  <conditionalFormatting sqref="B177:E177">
    <cfRule type="expression" dxfId="35" priority="3139" stopIfTrue="1">
      <formula>OR(AND(LEFT($A177, 14)="sensor_stream ", LEN($A177)&gt;14, NOT(ISNUMBER(SEARCH(" ", $A177, 15)))), AND(LEFT($A177, 17)="sensor_statistic ", LEN($A177)&gt;17, NOT(ISNUMBER(SEARCH(" ", $A177, 18)))))</formula>
    </cfRule>
  </conditionalFormatting>
  <conditionalFormatting sqref="B177:E177">
    <cfRule type="expression" dxfId="14" priority="3140" stopIfTrue="1">
      <formula>$A177="comments"</formula>
    </cfRule>
  </conditionalFormatting>
  <conditionalFormatting sqref="B177:E177">
    <cfRule type="expression" dxfId="15" priority="3141" stopIfTrue="1">
      <formula>OR($A177="audio", $A177="video")</formula>
    </cfRule>
  </conditionalFormatting>
  <conditionalFormatting sqref="B177:E177">
    <cfRule type="expression" dxfId="16" priority="3142" stopIfTrue="1">
      <formula>$A177="image"</formula>
    </cfRule>
  </conditionalFormatting>
  <conditionalFormatting sqref="B177:E177">
    <cfRule type="expression" dxfId="17" priority="3143" stopIfTrue="1">
      <formula>OR($A177="date", $A177="datetime", $A177="time")</formula>
    </cfRule>
  </conditionalFormatting>
  <conditionalFormatting sqref="B177:E177">
    <cfRule type="expression" dxfId="18" priority="3144" stopIfTrue="1">
      <formula>OR($A177="calculate", $A177="calculate_here")</formula>
    </cfRule>
  </conditionalFormatting>
  <conditionalFormatting sqref="B177:E177">
    <cfRule type="expression" dxfId="19" priority="3145" stopIfTrue="1">
      <formula>$A177="note"</formula>
    </cfRule>
  </conditionalFormatting>
  <conditionalFormatting sqref="B177:E177">
    <cfRule type="expression" dxfId="20" priority="3146" stopIfTrue="1">
      <formula>$A177="barcode"</formula>
    </cfRule>
  </conditionalFormatting>
  <conditionalFormatting sqref="B177:E177">
    <cfRule type="expression" dxfId="21" priority="3147" stopIfTrue="1">
      <formula>OR($A177="geopoint", $A177="geoshape", $A177="geotrace")</formula>
    </cfRule>
  </conditionalFormatting>
  <conditionalFormatting sqref="B177:E177">
    <cfRule type="expression" dxfId="22" priority="3148" stopIfTrue="1">
      <formula>OR($A177="audio audit", $A177="text audit", $A177="speed violations count", $A177="speed violations list", $A177="speed violations audit")</formula>
    </cfRule>
  </conditionalFormatting>
  <conditionalFormatting sqref="B177:E177">
    <cfRule type="expression" dxfId="23" priority="3149" stopIfTrue="1">
      <formula>OR($A177="username", $A177="phonenumber", $A177="start", $A177="end", $A177="deviceid", $A177="subscriberid", $A177="simserial", $A177="caseid")</formula>
    </cfRule>
  </conditionalFormatting>
  <conditionalFormatting sqref="B177:E177">
    <cfRule type="expression" dxfId="24" priority="3150" stopIfTrue="1">
      <formula>OR(AND(LEFT($A177, 16)="select_multiple ", LEN($A177)&gt;16, NOT(ISNUMBER(SEARCH(" ", $A177, 17)))), AND(LEFT($A177, 11)="select_one ", LEN($A177)&gt;11, NOT(ISNUMBER(SEARCH(" ", $A177, 12)))))</formula>
    </cfRule>
  </conditionalFormatting>
  <conditionalFormatting sqref="B177:E177">
    <cfRule type="expression" dxfId="25" priority="3151" stopIfTrue="1">
      <formula>$A177="decimal"</formula>
    </cfRule>
  </conditionalFormatting>
  <conditionalFormatting sqref="B177:E177">
    <cfRule type="expression" dxfId="26" priority="3152" stopIfTrue="1">
      <formula>$A177="integer"</formula>
    </cfRule>
  </conditionalFormatting>
  <conditionalFormatting sqref="B177:E177">
    <cfRule type="expression" dxfId="27" priority="3153" stopIfTrue="1">
      <formula>$A177="text"</formula>
    </cfRule>
  </conditionalFormatting>
  <conditionalFormatting sqref="B177:E177">
    <cfRule type="expression" dxfId="28" priority="3154" stopIfTrue="1">
      <formula>$A177="end repeat"</formula>
    </cfRule>
  </conditionalFormatting>
  <conditionalFormatting sqref="B177:E177">
    <cfRule type="expression" dxfId="28" priority="3155" stopIfTrue="1">
      <formula>$A177="begin repeat"</formula>
    </cfRule>
  </conditionalFormatting>
  <conditionalFormatting sqref="B177:E177">
    <cfRule type="expression" dxfId="29" priority="3156" stopIfTrue="1">
      <formula>$A177="end group"</formula>
    </cfRule>
  </conditionalFormatting>
  <conditionalFormatting sqref="B177:E177">
    <cfRule type="expression" dxfId="29" priority="3157" stopIfTrue="1">
      <formula>$A177="begin group"</formula>
    </cfRule>
  </conditionalFormatting>
  <conditionalFormatting sqref="B177">
    <cfRule type="expression" dxfId="30" priority="3158" stopIfTrue="1">
      <formula>$A177="comments"</formula>
    </cfRule>
  </conditionalFormatting>
  <conditionalFormatting sqref="B177">
    <cfRule type="expression" dxfId="36" priority="3159" stopIfTrue="1">
      <formula>OR(AND(LEFT($A177, 14)="sensor_stream ", LEN($A177)&gt;14, NOT(ISNUMBER(SEARCH(" ", $A177, 15)))), AND(LEFT($A177, 17)="sensor_statistic ", LEN($A177)&gt;17, NOT(ISNUMBER(SEARCH(" ", $A177, 18)))))</formula>
    </cfRule>
  </conditionalFormatting>
  <conditionalFormatting sqref="B164:C174 D164:E174">
    <cfRule type="expression" dxfId="0" priority="3160" stopIfTrue="1">
      <formula>$A164="begin group"</formula>
    </cfRule>
  </conditionalFormatting>
  <conditionalFormatting sqref="B164:C174 D164:E174">
    <cfRule type="expression" dxfId="1" priority="3161" stopIfTrue="1">
      <formula>$A164="begin repeat"</formula>
    </cfRule>
  </conditionalFormatting>
  <conditionalFormatting sqref="B164:E174">
    <cfRule type="expression" dxfId="31" priority="3162" stopIfTrue="1">
      <formula>$A164="enumerator"</formula>
    </cfRule>
  </conditionalFormatting>
  <conditionalFormatting sqref="B164:E174">
    <cfRule type="expression" dxfId="2" priority="3163" stopIfTrue="1">
      <formula>$A164="text"</formula>
    </cfRule>
  </conditionalFormatting>
  <conditionalFormatting sqref="B164:E174">
    <cfRule type="expression" dxfId="3" priority="3164" stopIfTrue="1">
      <formula>$A164="integer"</formula>
    </cfRule>
  </conditionalFormatting>
  <conditionalFormatting sqref="B164:E174">
    <cfRule type="expression" dxfId="4" priority="3165" stopIfTrue="1">
      <formula>$A164="decimal"</formula>
    </cfRule>
  </conditionalFormatting>
  <conditionalFormatting sqref="B164:C174 D164:E174">
    <cfRule type="expression" dxfId="5" priority="3166" stopIfTrue="1">
      <formula>OR(AND(LEFT($A164, 16)="select_multiple ", LEN($A164)&gt;16, NOT(ISNUMBER(SEARCH(" ", $A164, 17)))), AND(LEFT($A164, 11)="select_one ", LEN($A164)&gt;11, NOT(ISNUMBER(SEARCH(" ", $A164, 12)))))</formula>
    </cfRule>
  </conditionalFormatting>
  <conditionalFormatting sqref="B164:B174">
    <cfRule type="expression" dxfId="6" priority="3167" stopIfTrue="1">
      <formula>OR($A164="audio audit", $A164="text audit", $A164="speed violations count", $A164="speed violations list", $A164="speed violations audit")</formula>
    </cfRule>
  </conditionalFormatting>
  <conditionalFormatting sqref="B164:C174 D164:E174">
    <cfRule type="expression" dxfId="32" priority="3168" stopIfTrue="1">
      <formula>$A164="file"</formula>
    </cfRule>
  </conditionalFormatting>
  <conditionalFormatting sqref="B164:C174 D164:E174">
    <cfRule type="expression" dxfId="7" priority="3169" stopIfTrue="1">
      <formula>$A164="note"</formula>
    </cfRule>
  </conditionalFormatting>
  <conditionalFormatting sqref="B164:C174 D164:E174">
    <cfRule type="expression" dxfId="8" priority="3170" stopIfTrue="1">
      <formula>$A164="barcode"</formula>
    </cfRule>
  </conditionalFormatting>
  <conditionalFormatting sqref="B164:C174 D164:E174">
    <cfRule type="expression" dxfId="9" priority="3171" stopIfTrue="1">
      <formula>OR($A164="geopoint", $A164="geoshape", $A164="geotrace")</formula>
    </cfRule>
  </conditionalFormatting>
  <conditionalFormatting sqref="B164:B174">
    <cfRule type="expression" dxfId="10" priority="3172" stopIfTrue="1">
      <formula>OR($A164="calculate", $A164="calculate_here")</formula>
    </cfRule>
  </conditionalFormatting>
  <conditionalFormatting sqref="B164:C174 D164:E174">
    <cfRule type="expression" dxfId="11" priority="3173" stopIfTrue="1">
      <formula>OR($A164="date", $A164="datetime", $A164="time")</formula>
    </cfRule>
  </conditionalFormatting>
  <conditionalFormatting sqref="B164:C174 D164:E174">
    <cfRule type="expression" dxfId="12" priority="3174" stopIfTrue="1">
      <formula>$A164="image"</formula>
    </cfRule>
  </conditionalFormatting>
  <conditionalFormatting sqref="B164:C174 D164:E174">
    <cfRule type="expression" dxfId="13" priority="3175" stopIfTrue="1">
      <formula>OR($A164="audio", $A164="video")</formula>
    </cfRule>
  </conditionalFormatting>
  <conditionalFormatting sqref="B164:E174">
    <cfRule type="expression" dxfId="33" priority="3176" stopIfTrue="1">
      <formula>$A164="file"</formula>
    </cfRule>
  </conditionalFormatting>
  <conditionalFormatting sqref="B164:E174">
    <cfRule type="expression" dxfId="34" priority="3177" stopIfTrue="1">
      <formula>$A164="enumerator"</formula>
    </cfRule>
  </conditionalFormatting>
  <conditionalFormatting sqref="B164:E174">
    <cfRule type="expression" dxfId="35" priority="3178" stopIfTrue="1">
      <formula>OR(AND(LEFT($A164, 14)="sensor_stream ", LEN($A164)&gt;14, NOT(ISNUMBER(SEARCH(" ", $A164, 15)))), AND(LEFT($A164, 17)="sensor_statistic ", LEN($A164)&gt;17, NOT(ISNUMBER(SEARCH(" ", $A164, 18)))))</formula>
    </cfRule>
  </conditionalFormatting>
  <conditionalFormatting sqref="B164:E174">
    <cfRule type="expression" dxfId="14" priority="3179" stopIfTrue="1">
      <formula>$A164="comments"</formula>
    </cfRule>
  </conditionalFormatting>
  <conditionalFormatting sqref="B164:E174">
    <cfRule type="expression" dxfId="15" priority="3180" stopIfTrue="1">
      <formula>OR($A164="audio", $A164="video")</formula>
    </cfRule>
  </conditionalFormatting>
  <conditionalFormatting sqref="B164:E174">
    <cfRule type="expression" dxfId="16" priority="3181" stopIfTrue="1">
      <formula>$A164="image"</formula>
    </cfRule>
  </conditionalFormatting>
  <conditionalFormatting sqref="B164:E174">
    <cfRule type="expression" dxfId="17" priority="3182" stopIfTrue="1">
      <formula>OR($A164="date", $A164="datetime", $A164="time")</formula>
    </cfRule>
  </conditionalFormatting>
  <conditionalFormatting sqref="B164:E174">
    <cfRule type="expression" dxfId="18" priority="3183" stopIfTrue="1">
      <formula>OR($A164="calculate", $A164="calculate_here")</formula>
    </cfRule>
  </conditionalFormatting>
  <conditionalFormatting sqref="B164:E174">
    <cfRule type="expression" dxfId="19" priority="3184" stopIfTrue="1">
      <formula>$A164="note"</formula>
    </cfRule>
  </conditionalFormatting>
  <conditionalFormatting sqref="B164:E174">
    <cfRule type="expression" dxfId="20" priority="3185" stopIfTrue="1">
      <formula>$A164="barcode"</formula>
    </cfRule>
  </conditionalFormatting>
  <conditionalFormatting sqref="B164:E174">
    <cfRule type="expression" dxfId="21" priority="3186" stopIfTrue="1">
      <formula>OR($A164="geopoint", $A164="geoshape", $A164="geotrace")</formula>
    </cfRule>
  </conditionalFormatting>
  <conditionalFormatting sqref="B164:E174">
    <cfRule type="expression" dxfId="22" priority="3187" stopIfTrue="1">
      <formula>OR($A164="audio audit", $A164="text audit", $A164="speed violations count", $A164="speed violations list", $A164="speed violations audit")</formula>
    </cfRule>
  </conditionalFormatting>
  <conditionalFormatting sqref="B164:E174">
    <cfRule type="expression" dxfId="23" priority="3188" stopIfTrue="1">
      <formula>OR($A164="username", $A164="phonenumber", $A164="start", $A164="end", $A164="deviceid", $A164="subscriberid", $A164="simserial", $A164="caseid")</formula>
    </cfRule>
  </conditionalFormatting>
  <conditionalFormatting sqref="B164:E174">
    <cfRule type="expression" dxfId="24" priority="3189" stopIfTrue="1">
      <formula>OR(AND(LEFT($A164, 16)="select_multiple ", LEN($A164)&gt;16, NOT(ISNUMBER(SEARCH(" ", $A164, 17)))), AND(LEFT($A164, 11)="select_one ", LEN($A164)&gt;11, NOT(ISNUMBER(SEARCH(" ", $A164, 12)))))</formula>
    </cfRule>
  </conditionalFormatting>
  <conditionalFormatting sqref="B164:E174">
    <cfRule type="expression" dxfId="25" priority="3190" stopIfTrue="1">
      <formula>$A164="decimal"</formula>
    </cfRule>
  </conditionalFormatting>
  <conditionalFormatting sqref="B164:E174">
    <cfRule type="expression" dxfId="26" priority="3191" stopIfTrue="1">
      <formula>$A164="integer"</formula>
    </cfRule>
  </conditionalFormatting>
  <conditionalFormatting sqref="B164:E174">
    <cfRule type="expression" dxfId="27" priority="3192" stopIfTrue="1">
      <formula>$A164="text"</formula>
    </cfRule>
  </conditionalFormatting>
  <conditionalFormatting sqref="B164:E174">
    <cfRule type="expression" dxfId="28" priority="3193" stopIfTrue="1">
      <formula>$A164="end repeat"</formula>
    </cfRule>
  </conditionalFormatting>
  <conditionalFormatting sqref="B164:E174">
    <cfRule type="expression" dxfId="28" priority="3194" stopIfTrue="1">
      <formula>$A164="begin repeat"</formula>
    </cfRule>
  </conditionalFormatting>
  <conditionalFormatting sqref="B164:E174">
    <cfRule type="expression" dxfId="29" priority="3195" stopIfTrue="1">
      <formula>$A164="end group"</formula>
    </cfRule>
  </conditionalFormatting>
  <conditionalFormatting sqref="B164:E174">
    <cfRule type="expression" dxfId="29" priority="3196" stopIfTrue="1">
      <formula>$A164="begin group"</formula>
    </cfRule>
  </conditionalFormatting>
  <conditionalFormatting sqref="B164:B174">
    <cfRule type="expression" dxfId="30" priority="3197" stopIfTrue="1">
      <formula>$A164="comments"</formula>
    </cfRule>
  </conditionalFormatting>
  <conditionalFormatting sqref="B164:B174">
    <cfRule type="expression" dxfId="36" priority="3198" stopIfTrue="1">
      <formula>OR(AND(LEFT($A164, 14)="sensor_stream ", LEN($A164)&gt;14, NOT(ISNUMBER(SEARCH(" ", $A164, 15)))), AND(LEFT($A164, 17)="sensor_statistic ", LEN($A164)&gt;17, NOT(ISNUMBER(SEARCH(" ", $A164, 18)))))</formula>
    </cfRule>
  </conditionalFormatting>
  <conditionalFormatting sqref="B157:C161 D157:E161">
    <cfRule type="expression" dxfId="0" priority="3199" stopIfTrue="1">
      <formula>$A157="begin group"</formula>
    </cfRule>
  </conditionalFormatting>
  <conditionalFormatting sqref="B157:C161 D157:E161">
    <cfRule type="expression" dxfId="1" priority="3200" stopIfTrue="1">
      <formula>$A157="begin repeat"</formula>
    </cfRule>
  </conditionalFormatting>
  <conditionalFormatting sqref="B157:E161">
    <cfRule type="expression" dxfId="31" priority="3201" stopIfTrue="1">
      <formula>$A157="enumerator"</formula>
    </cfRule>
  </conditionalFormatting>
  <conditionalFormatting sqref="B157:E161">
    <cfRule type="expression" dxfId="2" priority="3202" stopIfTrue="1">
      <formula>$A157="text"</formula>
    </cfRule>
  </conditionalFormatting>
  <conditionalFormatting sqref="B157:E161">
    <cfRule type="expression" dxfId="3" priority="3203" stopIfTrue="1">
      <formula>$A157="integer"</formula>
    </cfRule>
  </conditionalFormatting>
  <conditionalFormatting sqref="B157:E161">
    <cfRule type="expression" dxfId="4" priority="3204" stopIfTrue="1">
      <formula>$A157="decimal"</formula>
    </cfRule>
  </conditionalFormatting>
  <conditionalFormatting sqref="B157:C161 D157:E161">
    <cfRule type="expression" dxfId="5" priority="3205" stopIfTrue="1">
      <formula>OR(AND(LEFT($A157, 16)="select_multiple ", LEN($A157)&gt;16, NOT(ISNUMBER(SEARCH(" ", $A157, 17)))), AND(LEFT($A157, 11)="select_one ", LEN($A157)&gt;11, NOT(ISNUMBER(SEARCH(" ", $A157, 12)))))</formula>
    </cfRule>
  </conditionalFormatting>
  <conditionalFormatting sqref="B157:B161">
    <cfRule type="expression" dxfId="6" priority="3206" stopIfTrue="1">
      <formula>OR($A157="audio audit", $A157="text audit", $A157="speed violations count", $A157="speed violations list", $A157="speed violations audit")</formula>
    </cfRule>
  </conditionalFormatting>
  <conditionalFormatting sqref="B157:C161 D157:E161">
    <cfRule type="expression" dxfId="32" priority="3207" stopIfTrue="1">
      <formula>$A157="file"</formula>
    </cfRule>
  </conditionalFormatting>
  <conditionalFormatting sqref="B157:C161 D157:E161">
    <cfRule type="expression" dxfId="7" priority="3208" stopIfTrue="1">
      <formula>$A157="note"</formula>
    </cfRule>
  </conditionalFormatting>
  <conditionalFormatting sqref="B157:C161 D157:E161">
    <cfRule type="expression" dxfId="8" priority="3209" stopIfTrue="1">
      <formula>$A157="barcode"</formula>
    </cfRule>
  </conditionalFormatting>
  <conditionalFormatting sqref="B157:C161 D157:E161">
    <cfRule type="expression" dxfId="9" priority="3210" stopIfTrue="1">
      <formula>OR($A157="geopoint", $A157="geoshape", $A157="geotrace")</formula>
    </cfRule>
  </conditionalFormatting>
  <conditionalFormatting sqref="B157:B161">
    <cfRule type="expression" dxfId="10" priority="3211" stopIfTrue="1">
      <formula>OR($A157="calculate", $A157="calculate_here")</formula>
    </cfRule>
  </conditionalFormatting>
  <conditionalFormatting sqref="B157:C161 D157:E161">
    <cfRule type="expression" dxfId="11" priority="3212" stopIfTrue="1">
      <formula>OR($A157="date", $A157="datetime", $A157="time")</formula>
    </cfRule>
  </conditionalFormatting>
  <conditionalFormatting sqref="B157:C161 D157:E161">
    <cfRule type="expression" dxfId="12" priority="3213" stopIfTrue="1">
      <formula>$A157="image"</formula>
    </cfRule>
  </conditionalFormatting>
  <conditionalFormatting sqref="B157:C161 D157:E161">
    <cfRule type="expression" dxfId="13" priority="3214" stopIfTrue="1">
      <formula>OR($A157="audio", $A157="video")</formula>
    </cfRule>
  </conditionalFormatting>
  <conditionalFormatting sqref="B157:E161">
    <cfRule type="expression" dxfId="33" priority="3215" stopIfTrue="1">
      <formula>$A157="file"</formula>
    </cfRule>
  </conditionalFormatting>
  <conditionalFormatting sqref="B157:E161">
    <cfRule type="expression" dxfId="34" priority="3216" stopIfTrue="1">
      <formula>$A157="enumerator"</formula>
    </cfRule>
  </conditionalFormatting>
  <conditionalFormatting sqref="B157:E161">
    <cfRule type="expression" dxfId="35" priority="3217" stopIfTrue="1">
      <formula>OR(AND(LEFT($A157, 14)="sensor_stream ", LEN($A157)&gt;14, NOT(ISNUMBER(SEARCH(" ", $A157, 15)))), AND(LEFT($A157, 17)="sensor_statistic ", LEN($A157)&gt;17, NOT(ISNUMBER(SEARCH(" ", $A157, 18)))))</formula>
    </cfRule>
  </conditionalFormatting>
  <conditionalFormatting sqref="B157:E161">
    <cfRule type="expression" dxfId="14" priority="3218" stopIfTrue="1">
      <formula>$A157="comments"</formula>
    </cfRule>
  </conditionalFormatting>
  <conditionalFormatting sqref="B157:E161">
    <cfRule type="expression" dxfId="15" priority="3219" stopIfTrue="1">
      <formula>OR($A157="audio", $A157="video")</formula>
    </cfRule>
  </conditionalFormatting>
  <conditionalFormatting sqref="B157:E161">
    <cfRule type="expression" dxfId="16" priority="3220" stopIfTrue="1">
      <formula>$A157="image"</formula>
    </cfRule>
  </conditionalFormatting>
  <conditionalFormatting sqref="B157:E161">
    <cfRule type="expression" dxfId="17" priority="3221" stopIfTrue="1">
      <formula>OR($A157="date", $A157="datetime", $A157="time")</formula>
    </cfRule>
  </conditionalFormatting>
  <conditionalFormatting sqref="B157:E161">
    <cfRule type="expression" dxfId="18" priority="3222" stopIfTrue="1">
      <formula>OR($A157="calculate", $A157="calculate_here")</formula>
    </cfRule>
  </conditionalFormatting>
  <conditionalFormatting sqref="B157:E161">
    <cfRule type="expression" dxfId="19" priority="3223" stopIfTrue="1">
      <formula>$A157="note"</formula>
    </cfRule>
  </conditionalFormatting>
  <conditionalFormatting sqref="B157:E161">
    <cfRule type="expression" dxfId="20" priority="3224" stopIfTrue="1">
      <formula>$A157="barcode"</formula>
    </cfRule>
  </conditionalFormatting>
  <conditionalFormatting sqref="B157:E161">
    <cfRule type="expression" dxfId="21" priority="3225" stopIfTrue="1">
      <formula>OR($A157="geopoint", $A157="geoshape", $A157="geotrace")</formula>
    </cfRule>
  </conditionalFormatting>
  <conditionalFormatting sqref="B157:E161">
    <cfRule type="expression" dxfId="22" priority="3226" stopIfTrue="1">
      <formula>OR($A157="audio audit", $A157="text audit", $A157="speed violations count", $A157="speed violations list", $A157="speed violations audit")</formula>
    </cfRule>
  </conditionalFormatting>
  <conditionalFormatting sqref="B157:E161">
    <cfRule type="expression" dxfId="23" priority="3227" stopIfTrue="1">
      <formula>OR($A157="username", $A157="phonenumber", $A157="start", $A157="end", $A157="deviceid", $A157="subscriberid", $A157="simserial", $A157="caseid")</formula>
    </cfRule>
  </conditionalFormatting>
  <conditionalFormatting sqref="B157:E161">
    <cfRule type="expression" dxfId="24" priority="3228" stopIfTrue="1">
      <formula>OR(AND(LEFT($A157, 16)="select_multiple ", LEN($A157)&gt;16, NOT(ISNUMBER(SEARCH(" ", $A157, 17)))), AND(LEFT($A157, 11)="select_one ", LEN($A157)&gt;11, NOT(ISNUMBER(SEARCH(" ", $A157, 12)))))</formula>
    </cfRule>
  </conditionalFormatting>
  <conditionalFormatting sqref="B157:E161">
    <cfRule type="expression" dxfId="25" priority="3229" stopIfTrue="1">
      <formula>$A157="decimal"</formula>
    </cfRule>
  </conditionalFormatting>
  <conditionalFormatting sqref="B157:E161">
    <cfRule type="expression" dxfId="26" priority="3230" stopIfTrue="1">
      <formula>$A157="integer"</formula>
    </cfRule>
  </conditionalFormatting>
  <conditionalFormatting sqref="B157:E161">
    <cfRule type="expression" dxfId="27" priority="3231" stopIfTrue="1">
      <formula>$A157="text"</formula>
    </cfRule>
  </conditionalFormatting>
  <conditionalFormatting sqref="B157:E161">
    <cfRule type="expression" dxfId="28" priority="3232" stopIfTrue="1">
      <formula>$A157="end repeat"</formula>
    </cfRule>
  </conditionalFormatting>
  <conditionalFormatting sqref="B157:E161">
    <cfRule type="expression" dxfId="28" priority="3233" stopIfTrue="1">
      <formula>$A157="begin repeat"</formula>
    </cfRule>
  </conditionalFormatting>
  <conditionalFormatting sqref="B157:E161">
    <cfRule type="expression" dxfId="29" priority="3234" stopIfTrue="1">
      <formula>$A157="end group"</formula>
    </cfRule>
  </conditionalFormatting>
  <conditionalFormatting sqref="B157:E161">
    <cfRule type="expression" dxfId="29" priority="3235" stopIfTrue="1">
      <formula>$A157="begin group"</formula>
    </cfRule>
  </conditionalFormatting>
  <conditionalFormatting sqref="B157:B161">
    <cfRule type="expression" dxfId="30" priority="3236" stopIfTrue="1">
      <formula>$A157="comments"</formula>
    </cfRule>
  </conditionalFormatting>
  <conditionalFormatting sqref="B157:B161">
    <cfRule type="expression" dxfId="36" priority="3237" stopIfTrue="1">
      <formula>OR(AND(LEFT($A157, 14)="sensor_stream ", LEN($A157)&gt;14, NOT(ISNUMBER(SEARCH(" ", $A157, 15)))), AND(LEFT($A157, 17)="sensor_statistic ", LEN($A157)&gt;17, NOT(ISNUMBER(SEARCH(" ", $A157, 18)))))</formula>
    </cfRule>
  </conditionalFormatting>
  <conditionalFormatting sqref="B150:C154 D150:E154">
    <cfRule type="expression" dxfId="0" priority="3238" stopIfTrue="1">
      <formula>$A150="begin group"</formula>
    </cfRule>
  </conditionalFormatting>
  <conditionalFormatting sqref="B150:C154 D150:E154">
    <cfRule type="expression" dxfId="1" priority="3239" stopIfTrue="1">
      <formula>$A150="begin repeat"</formula>
    </cfRule>
  </conditionalFormatting>
  <conditionalFormatting sqref="B150:E154">
    <cfRule type="expression" dxfId="31" priority="3240" stopIfTrue="1">
      <formula>$A150="enumerator"</formula>
    </cfRule>
  </conditionalFormatting>
  <conditionalFormatting sqref="B150:E154">
    <cfRule type="expression" dxfId="2" priority="3241" stopIfTrue="1">
      <formula>$A150="text"</formula>
    </cfRule>
  </conditionalFormatting>
  <conditionalFormatting sqref="B150:E154">
    <cfRule type="expression" dxfId="3" priority="3242" stopIfTrue="1">
      <formula>$A150="integer"</formula>
    </cfRule>
  </conditionalFormatting>
  <conditionalFormatting sqref="B150:E154">
    <cfRule type="expression" dxfId="4" priority="3243" stopIfTrue="1">
      <formula>$A150="decimal"</formula>
    </cfRule>
  </conditionalFormatting>
  <conditionalFormatting sqref="B150:C154 D150:E154">
    <cfRule type="expression" dxfId="5" priority="3244" stopIfTrue="1">
      <formula>OR(AND(LEFT($A150, 16)="select_multiple ", LEN($A150)&gt;16, NOT(ISNUMBER(SEARCH(" ", $A150, 17)))), AND(LEFT($A150, 11)="select_one ", LEN($A150)&gt;11, NOT(ISNUMBER(SEARCH(" ", $A150, 12)))))</formula>
    </cfRule>
  </conditionalFormatting>
  <conditionalFormatting sqref="B150:B154">
    <cfRule type="expression" dxfId="6" priority="3245" stopIfTrue="1">
      <formula>OR($A150="audio audit", $A150="text audit", $A150="speed violations count", $A150="speed violations list", $A150="speed violations audit")</formula>
    </cfRule>
  </conditionalFormatting>
  <conditionalFormatting sqref="B150:C154 D150:E154">
    <cfRule type="expression" dxfId="32" priority="3246" stopIfTrue="1">
      <formula>$A150="file"</formula>
    </cfRule>
  </conditionalFormatting>
  <conditionalFormatting sqref="B150:C154 D150:E154">
    <cfRule type="expression" dxfId="7" priority="3247" stopIfTrue="1">
      <formula>$A150="note"</formula>
    </cfRule>
  </conditionalFormatting>
  <conditionalFormatting sqref="B150:C154 D150:E154">
    <cfRule type="expression" dxfId="8" priority="3248" stopIfTrue="1">
      <formula>$A150="barcode"</formula>
    </cfRule>
  </conditionalFormatting>
  <conditionalFormatting sqref="B150:C154 D150:E154">
    <cfRule type="expression" dxfId="9" priority="3249" stopIfTrue="1">
      <formula>OR($A150="geopoint", $A150="geoshape", $A150="geotrace")</formula>
    </cfRule>
  </conditionalFormatting>
  <conditionalFormatting sqref="B150:B154">
    <cfRule type="expression" dxfId="10" priority="3250" stopIfTrue="1">
      <formula>OR($A150="calculate", $A150="calculate_here")</formula>
    </cfRule>
  </conditionalFormatting>
  <conditionalFormatting sqref="B150:C154 D150:E154">
    <cfRule type="expression" dxfId="11" priority="3251" stopIfTrue="1">
      <formula>OR($A150="date", $A150="datetime", $A150="time")</formula>
    </cfRule>
  </conditionalFormatting>
  <conditionalFormatting sqref="B150:C154 D150:E154">
    <cfRule type="expression" dxfId="12" priority="3252" stopIfTrue="1">
      <formula>$A150="image"</formula>
    </cfRule>
  </conditionalFormatting>
  <conditionalFormatting sqref="B150:C154 D150:E154">
    <cfRule type="expression" dxfId="13" priority="3253" stopIfTrue="1">
      <formula>OR($A150="audio", $A150="video")</formula>
    </cfRule>
  </conditionalFormatting>
  <conditionalFormatting sqref="B150:E154">
    <cfRule type="expression" dxfId="33" priority="3254" stopIfTrue="1">
      <formula>$A150="file"</formula>
    </cfRule>
  </conditionalFormatting>
  <conditionalFormatting sqref="B150:E154">
    <cfRule type="expression" dxfId="34" priority="3255" stopIfTrue="1">
      <formula>$A150="enumerator"</formula>
    </cfRule>
  </conditionalFormatting>
  <conditionalFormatting sqref="B150:E154">
    <cfRule type="expression" dxfId="35" priority="3256" stopIfTrue="1">
      <formula>OR(AND(LEFT($A150, 14)="sensor_stream ", LEN($A150)&gt;14, NOT(ISNUMBER(SEARCH(" ", $A150, 15)))), AND(LEFT($A150, 17)="sensor_statistic ", LEN($A150)&gt;17, NOT(ISNUMBER(SEARCH(" ", $A150, 18)))))</formula>
    </cfRule>
  </conditionalFormatting>
  <conditionalFormatting sqref="B150:E154">
    <cfRule type="expression" dxfId="14" priority="3257" stopIfTrue="1">
      <formula>$A150="comments"</formula>
    </cfRule>
  </conditionalFormatting>
  <conditionalFormatting sqref="B150:E154">
    <cfRule type="expression" dxfId="15" priority="3258" stopIfTrue="1">
      <formula>OR($A150="audio", $A150="video")</formula>
    </cfRule>
  </conditionalFormatting>
  <conditionalFormatting sqref="B150:E154">
    <cfRule type="expression" dxfId="16" priority="3259" stopIfTrue="1">
      <formula>$A150="image"</formula>
    </cfRule>
  </conditionalFormatting>
  <conditionalFormatting sqref="B150:E154">
    <cfRule type="expression" dxfId="17" priority="3260" stopIfTrue="1">
      <formula>OR($A150="date", $A150="datetime", $A150="time")</formula>
    </cfRule>
  </conditionalFormatting>
  <conditionalFormatting sqref="B150:E154">
    <cfRule type="expression" dxfId="18" priority="3261" stopIfTrue="1">
      <formula>OR($A150="calculate", $A150="calculate_here")</formula>
    </cfRule>
  </conditionalFormatting>
  <conditionalFormatting sqref="B150:E154">
    <cfRule type="expression" dxfId="19" priority="3262" stopIfTrue="1">
      <formula>$A150="note"</formula>
    </cfRule>
  </conditionalFormatting>
  <conditionalFormatting sqref="B150:E154">
    <cfRule type="expression" dxfId="20" priority="3263" stopIfTrue="1">
      <formula>$A150="barcode"</formula>
    </cfRule>
  </conditionalFormatting>
  <conditionalFormatting sqref="B150:E154">
    <cfRule type="expression" dxfId="21" priority="3264" stopIfTrue="1">
      <formula>OR($A150="geopoint", $A150="geoshape", $A150="geotrace")</formula>
    </cfRule>
  </conditionalFormatting>
  <conditionalFormatting sqref="B150:E154">
    <cfRule type="expression" dxfId="22" priority="3265" stopIfTrue="1">
      <formula>OR($A150="audio audit", $A150="text audit", $A150="speed violations count", $A150="speed violations list", $A150="speed violations audit")</formula>
    </cfRule>
  </conditionalFormatting>
  <conditionalFormatting sqref="B150:E154">
    <cfRule type="expression" dxfId="23" priority="3266" stopIfTrue="1">
      <formula>OR($A150="username", $A150="phonenumber", $A150="start", $A150="end", $A150="deviceid", $A150="subscriberid", $A150="simserial", $A150="caseid")</formula>
    </cfRule>
  </conditionalFormatting>
  <conditionalFormatting sqref="B150:E154">
    <cfRule type="expression" dxfId="24" priority="3267" stopIfTrue="1">
      <formula>OR(AND(LEFT($A150, 16)="select_multiple ", LEN($A150)&gt;16, NOT(ISNUMBER(SEARCH(" ", $A150, 17)))), AND(LEFT($A150, 11)="select_one ", LEN($A150)&gt;11, NOT(ISNUMBER(SEARCH(" ", $A150, 12)))))</formula>
    </cfRule>
  </conditionalFormatting>
  <conditionalFormatting sqref="B150:E154">
    <cfRule type="expression" dxfId="25" priority="3268" stopIfTrue="1">
      <formula>$A150="decimal"</formula>
    </cfRule>
  </conditionalFormatting>
  <conditionalFormatting sqref="B150:E154">
    <cfRule type="expression" dxfId="26" priority="3269" stopIfTrue="1">
      <formula>$A150="integer"</formula>
    </cfRule>
  </conditionalFormatting>
  <conditionalFormatting sqref="B150:E154">
    <cfRule type="expression" dxfId="27" priority="3270" stopIfTrue="1">
      <formula>$A150="text"</formula>
    </cfRule>
  </conditionalFormatting>
  <conditionalFormatting sqref="B150:E154">
    <cfRule type="expression" dxfId="28" priority="3271" stopIfTrue="1">
      <formula>$A150="end repeat"</formula>
    </cfRule>
  </conditionalFormatting>
  <conditionalFormatting sqref="B150:E154">
    <cfRule type="expression" dxfId="28" priority="3272" stopIfTrue="1">
      <formula>$A150="begin repeat"</formula>
    </cfRule>
  </conditionalFormatting>
  <conditionalFormatting sqref="B150:E154">
    <cfRule type="expression" dxfId="29" priority="3273" stopIfTrue="1">
      <formula>$A150="end group"</formula>
    </cfRule>
  </conditionalFormatting>
  <conditionalFormatting sqref="B150:E154">
    <cfRule type="expression" dxfId="29" priority="3274" stopIfTrue="1">
      <formula>$A150="begin group"</formula>
    </cfRule>
  </conditionalFormatting>
  <conditionalFormatting sqref="B150:B154">
    <cfRule type="expression" dxfId="30" priority="3275" stopIfTrue="1">
      <formula>$A150="comments"</formula>
    </cfRule>
  </conditionalFormatting>
  <conditionalFormatting sqref="B150:B154">
    <cfRule type="expression" dxfId="36" priority="3276" stopIfTrue="1">
      <formula>OR(AND(LEFT($A150, 14)="sensor_stream ", LEN($A150)&gt;14, NOT(ISNUMBER(SEARCH(" ", $A150, 15)))), AND(LEFT($A150, 17)="sensor_statistic ", LEN($A150)&gt;17, NOT(ISNUMBER(SEARCH(" ", $A150, 18)))))</formula>
    </cfRule>
  </conditionalFormatting>
  <conditionalFormatting sqref="B145:C147 D145:E147">
    <cfRule type="expression" dxfId="0" priority="3277" stopIfTrue="1">
      <formula>$A145="begin group"</formula>
    </cfRule>
  </conditionalFormatting>
  <conditionalFormatting sqref="B145:C147 D145:E147">
    <cfRule type="expression" dxfId="1" priority="3278" stopIfTrue="1">
      <formula>$A145="begin repeat"</formula>
    </cfRule>
  </conditionalFormatting>
  <conditionalFormatting sqref="B145:E147">
    <cfRule type="expression" dxfId="31" priority="3279" stopIfTrue="1">
      <formula>$A145="enumerator"</formula>
    </cfRule>
  </conditionalFormatting>
  <conditionalFormatting sqref="B145:E147">
    <cfRule type="expression" dxfId="2" priority="3280" stopIfTrue="1">
      <formula>$A145="text"</formula>
    </cfRule>
  </conditionalFormatting>
  <conditionalFormatting sqref="B145:E147">
    <cfRule type="expression" dxfId="3" priority="3281" stopIfTrue="1">
      <formula>$A145="integer"</formula>
    </cfRule>
  </conditionalFormatting>
  <conditionalFormatting sqref="B145:E147">
    <cfRule type="expression" dxfId="4" priority="3282" stopIfTrue="1">
      <formula>$A145="decimal"</formula>
    </cfRule>
  </conditionalFormatting>
  <conditionalFormatting sqref="B145:C147 D145:E147">
    <cfRule type="expression" dxfId="5" priority="3283" stopIfTrue="1">
      <formula>OR(AND(LEFT($A145, 16)="select_multiple ", LEN($A145)&gt;16, NOT(ISNUMBER(SEARCH(" ", $A145, 17)))), AND(LEFT($A145, 11)="select_one ", LEN($A145)&gt;11, NOT(ISNUMBER(SEARCH(" ", $A145, 12)))))</formula>
    </cfRule>
  </conditionalFormatting>
  <conditionalFormatting sqref="B145:B147">
    <cfRule type="expression" dxfId="6" priority="3284" stopIfTrue="1">
      <formula>OR($A145="audio audit", $A145="text audit", $A145="speed violations count", $A145="speed violations list", $A145="speed violations audit")</formula>
    </cfRule>
  </conditionalFormatting>
  <conditionalFormatting sqref="B145:C147 D145:E147">
    <cfRule type="expression" dxfId="32" priority="3285" stopIfTrue="1">
      <formula>$A145="file"</formula>
    </cfRule>
  </conditionalFormatting>
  <conditionalFormatting sqref="B145:C147 D145:E147">
    <cfRule type="expression" dxfId="7" priority="3286" stopIfTrue="1">
      <formula>$A145="note"</formula>
    </cfRule>
  </conditionalFormatting>
  <conditionalFormatting sqref="B145:C147 D145:E147">
    <cfRule type="expression" dxfId="8" priority="3287" stopIfTrue="1">
      <formula>$A145="barcode"</formula>
    </cfRule>
  </conditionalFormatting>
  <conditionalFormatting sqref="B145:C147 D145:E147">
    <cfRule type="expression" dxfId="9" priority="3288" stopIfTrue="1">
      <formula>OR($A145="geopoint", $A145="geoshape", $A145="geotrace")</formula>
    </cfRule>
  </conditionalFormatting>
  <conditionalFormatting sqref="B145:B147">
    <cfRule type="expression" dxfId="10" priority="3289" stopIfTrue="1">
      <formula>OR($A145="calculate", $A145="calculate_here")</formula>
    </cfRule>
  </conditionalFormatting>
  <conditionalFormatting sqref="B145:C147 D145:E147">
    <cfRule type="expression" dxfId="11" priority="3290" stopIfTrue="1">
      <formula>OR($A145="date", $A145="datetime", $A145="time")</formula>
    </cfRule>
  </conditionalFormatting>
  <conditionalFormatting sqref="B145:C147 D145:E147">
    <cfRule type="expression" dxfId="12" priority="3291" stopIfTrue="1">
      <formula>$A145="image"</formula>
    </cfRule>
  </conditionalFormatting>
  <conditionalFormatting sqref="B145:C147 D145:E147">
    <cfRule type="expression" dxfId="13" priority="3292" stopIfTrue="1">
      <formula>OR($A145="audio", $A145="video")</formula>
    </cfRule>
  </conditionalFormatting>
  <conditionalFormatting sqref="B145:E147">
    <cfRule type="expression" dxfId="33" priority="3293" stopIfTrue="1">
      <formula>$A145="file"</formula>
    </cfRule>
  </conditionalFormatting>
  <conditionalFormatting sqref="B145:E147">
    <cfRule type="expression" dxfId="34" priority="3294" stopIfTrue="1">
      <formula>$A145="enumerator"</formula>
    </cfRule>
  </conditionalFormatting>
  <conditionalFormatting sqref="B145:E147">
    <cfRule type="expression" dxfId="35" priority="3295" stopIfTrue="1">
      <formula>OR(AND(LEFT($A145, 14)="sensor_stream ", LEN($A145)&gt;14, NOT(ISNUMBER(SEARCH(" ", $A145, 15)))), AND(LEFT($A145, 17)="sensor_statistic ", LEN($A145)&gt;17, NOT(ISNUMBER(SEARCH(" ", $A145, 18)))))</formula>
    </cfRule>
  </conditionalFormatting>
  <conditionalFormatting sqref="B145:E147">
    <cfRule type="expression" dxfId="14" priority="3296" stopIfTrue="1">
      <formula>$A145="comments"</formula>
    </cfRule>
  </conditionalFormatting>
  <conditionalFormatting sqref="B145:E147">
    <cfRule type="expression" dxfId="15" priority="3297" stopIfTrue="1">
      <formula>OR($A145="audio", $A145="video")</formula>
    </cfRule>
  </conditionalFormatting>
  <conditionalFormatting sqref="B145:E147">
    <cfRule type="expression" dxfId="16" priority="3298" stopIfTrue="1">
      <formula>$A145="image"</formula>
    </cfRule>
  </conditionalFormatting>
  <conditionalFormatting sqref="B145:E147">
    <cfRule type="expression" dxfId="17" priority="3299" stopIfTrue="1">
      <formula>OR($A145="date", $A145="datetime", $A145="time")</formula>
    </cfRule>
  </conditionalFormatting>
  <conditionalFormatting sqref="B145:E147">
    <cfRule type="expression" dxfId="18" priority="3300" stopIfTrue="1">
      <formula>OR($A145="calculate", $A145="calculate_here")</formula>
    </cfRule>
  </conditionalFormatting>
  <conditionalFormatting sqref="B145:E147">
    <cfRule type="expression" dxfId="19" priority="3301" stopIfTrue="1">
      <formula>$A145="note"</formula>
    </cfRule>
  </conditionalFormatting>
  <conditionalFormatting sqref="B145:E147">
    <cfRule type="expression" dxfId="20" priority="3302" stopIfTrue="1">
      <formula>$A145="barcode"</formula>
    </cfRule>
  </conditionalFormatting>
  <conditionalFormatting sqref="B145:E147">
    <cfRule type="expression" dxfId="21" priority="3303" stopIfTrue="1">
      <formula>OR($A145="geopoint", $A145="geoshape", $A145="geotrace")</formula>
    </cfRule>
  </conditionalFormatting>
  <conditionalFormatting sqref="B145:E147">
    <cfRule type="expression" dxfId="22" priority="3304" stopIfTrue="1">
      <formula>OR($A145="audio audit", $A145="text audit", $A145="speed violations count", $A145="speed violations list", $A145="speed violations audit")</formula>
    </cfRule>
  </conditionalFormatting>
  <conditionalFormatting sqref="B145:E147">
    <cfRule type="expression" dxfId="23" priority="3305" stopIfTrue="1">
      <formula>OR($A145="username", $A145="phonenumber", $A145="start", $A145="end", $A145="deviceid", $A145="subscriberid", $A145="simserial", $A145="caseid")</formula>
    </cfRule>
  </conditionalFormatting>
  <conditionalFormatting sqref="B145:E147">
    <cfRule type="expression" dxfId="24" priority="3306" stopIfTrue="1">
      <formula>OR(AND(LEFT($A145, 16)="select_multiple ", LEN($A145)&gt;16, NOT(ISNUMBER(SEARCH(" ", $A145, 17)))), AND(LEFT($A145, 11)="select_one ", LEN($A145)&gt;11, NOT(ISNUMBER(SEARCH(" ", $A145, 12)))))</formula>
    </cfRule>
  </conditionalFormatting>
  <conditionalFormatting sqref="B145:E147">
    <cfRule type="expression" dxfId="25" priority="3307" stopIfTrue="1">
      <formula>$A145="decimal"</formula>
    </cfRule>
  </conditionalFormatting>
  <conditionalFormatting sqref="B145:E147">
    <cfRule type="expression" dxfId="26" priority="3308" stopIfTrue="1">
      <formula>$A145="integer"</formula>
    </cfRule>
  </conditionalFormatting>
  <conditionalFormatting sqref="B145:E147">
    <cfRule type="expression" dxfId="27" priority="3309" stopIfTrue="1">
      <formula>$A145="text"</formula>
    </cfRule>
  </conditionalFormatting>
  <conditionalFormatting sqref="B145:E147">
    <cfRule type="expression" dxfId="28" priority="3310" stopIfTrue="1">
      <formula>$A145="end repeat"</formula>
    </cfRule>
  </conditionalFormatting>
  <conditionalFormatting sqref="B145:E147">
    <cfRule type="expression" dxfId="28" priority="3311" stopIfTrue="1">
      <formula>$A145="begin repeat"</formula>
    </cfRule>
  </conditionalFormatting>
  <conditionalFormatting sqref="B145:E147">
    <cfRule type="expression" dxfId="29" priority="3312" stopIfTrue="1">
      <formula>$A145="end group"</formula>
    </cfRule>
  </conditionalFormatting>
  <conditionalFormatting sqref="B145:E147">
    <cfRule type="expression" dxfId="29" priority="3313" stopIfTrue="1">
      <formula>$A145="begin group"</formula>
    </cfRule>
  </conditionalFormatting>
  <conditionalFormatting sqref="B145:B147">
    <cfRule type="expression" dxfId="30" priority="3314" stopIfTrue="1">
      <formula>$A145="comments"</formula>
    </cfRule>
  </conditionalFormatting>
  <conditionalFormatting sqref="B145:B147">
    <cfRule type="expression" dxfId="36" priority="3315" stopIfTrue="1">
      <formula>OR(AND(LEFT($A145, 14)="sensor_stream ", LEN($A145)&gt;14, NOT(ISNUMBER(SEARCH(" ", $A145, 15)))), AND(LEFT($A145, 17)="sensor_statistic ", LEN($A145)&gt;17, NOT(ISNUMBER(SEARCH(" ", $A145, 18)))))</formula>
    </cfRule>
  </conditionalFormatting>
  <conditionalFormatting sqref="B131:C142 D131:E142">
    <cfRule type="expression" dxfId="0" priority="3316" stopIfTrue="1">
      <formula>$A131="begin group"</formula>
    </cfRule>
  </conditionalFormatting>
  <conditionalFormatting sqref="B131:C142 D131:E142">
    <cfRule type="expression" dxfId="1" priority="3317" stopIfTrue="1">
      <formula>$A131="begin repeat"</formula>
    </cfRule>
  </conditionalFormatting>
  <conditionalFormatting sqref="B131:E142">
    <cfRule type="expression" dxfId="31" priority="3318" stopIfTrue="1">
      <formula>$A131="enumerator"</formula>
    </cfRule>
  </conditionalFormatting>
  <conditionalFormatting sqref="B131:E142">
    <cfRule type="expression" dxfId="2" priority="3319" stopIfTrue="1">
      <formula>$A131="text"</formula>
    </cfRule>
  </conditionalFormatting>
  <conditionalFormatting sqref="B131:E142">
    <cfRule type="expression" dxfId="3" priority="3320" stopIfTrue="1">
      <formula>$A131="integer"</formula>
    </cfRule>
  </conditionalFormatting>
  <conditionalFormatting sqref="B131:E142">
    <cfRule type="expression" dxfId="4" priority="3321" stopIfTrue="1">
      <formula>$A131="decimal"</formula>
    </cfRule>
  </conditionalFormatting>
  <conditionalFormatting sqref="B131:C142 D131:E142">
    <cfRule type="expression" dxfId="5" priority="3322" stopIfTrue="1">
      <formula>OR(AND(LEFT($A131, 16)="select_multiple ", LEN($A131)&gt;16, NOT(ISNUMBER(SEARCH(" ", $A131, 17)))), AND(LEFT($A131, 11)="select_one ", LEN($A131)&gt;11, NOT(ISNUMBER(SEARCH(" ", $A131, 12)))))</formula>
    </cfRule>
  </conditionalFormatting>
  <conditionalFormatting sqref="B131:B142">
    <cfRule type="expression" dxfId="6" priority="3323" stopIfTrue="1">
      <formula>OR($A131="audio audit", $A131="text audit", $A131="speed violations count", $A131="speed violations list", $A131="speed violations audit")</formula>
    </cfRule>
  </conditionalFormatting>
  <conditionalFormatting sqref="B131:C142 D131:E142">
    <cfRule type="expression" dxfId="32" priority="3324" stopIfTrue="1">
      <formula>$A131="file"</formula>
    </cfRule>
  </conditionalFormatting>
  <conditionalFormatting sqref="B131:C142 D131:E142">
    <cfRule type="expression" dxfId="7" priority="3325" stopIfTrue="1">
      <formula>$A131="note"</formula>
    </cfRule>
  </conditionalFormatting>
  <conditionalFormatting sqref="B131:C142 D131:E142">
    <cfRule type="expression" dxfId="8" priority="3326" stopIfTrue="1">
      <formula>$A131="barcode"</formula>
    </cfRule>
  </conditionalFormatting>
  <conditionalFormatting sqref="B131:C142 D131:E142">
    <cfRule type="expression" dxfId="9" priority="3327" stopIfTrue="1">
      <formula>OR($A131="geopoint", $A131="geoshape", $A131="geotrace")</formula>
    </cfRule>
  </conditionalFormatting>
  <conditionalFormatting sqref="B131:B142">
    <cfRule type="expression" dxfId="10" priority="3328" stopIfTrue="1">
      <formula>OR($A131="calculate", $A131="calculate_here")</formula>
    </cfRule>
  </conditionalFormatting>
  <conditionalFormatting sqref="B131:C142 D131:E142">
    <cfRule type="expression" dxfId="11" priority="3329" stopIfTrue="1">
      <formula>OR($A131="date", $A131="datetime", $A131="time")</formula>
    </cfRule>
  </conditionalFormatting>
  <conditionalFormatting sqref="B131:C142 D131:E142">
    <cfRule type="expression" dxfId="12" priority="3330" stopIfTrue="1">
      <formula>$A131="image"</formula>
    </cfRule>
  </conditionalFormatting>
  <conditionalFormatting sqref="B131:C142 D131:E142">
    <cfRule type="expression" dxfId="13" priority="3331" stopIfTrue="1">
      <formula>OR($A131="audio", $A131="video")</formula>
    </cfRule>
  </conditionalFormatting>
  <conditionalFormatting sqref="B131:E142">
    <cfRule type="expression" dxfId="33" priority="3332" stopIfTrue="1">
      <formula>$A131="file"</formula>
    </cfRule>
  </conditionalFormatting>
  <conditionalFormatting sqref="B131:E142">
    <cfRule type="expression" dxfId="34" priority="3333" stopIfTrue="1">
      <formula>$A131="enumerator"</formula>
    </cfRule>
  </conditionalFormatting>
  <conditionalFormatting sqref="B131:E142">
    <cfRule type="expression" dxfId="35" priority="3334" stopIfTrue="1">
      <formula>OR(AND(LEFT($A131, 14)="sensor_stream ", LEN($A131)&gt;14, NOT(ISNUMBER(SEARCH(" ", $A131, 15)))), AND(LEFT($A131, 17)="sensor_statistic ", LEN($A131)&gt;17, NOT(ISNUMBER(SEARCH(" ", $A131, 18)))))</formula>
    </cfRule>
  </conditionalFormatting>
  <conditionalFormatting sqref="B131:E142">
    <cfRule type="expression" dxfId="14" priority="3335" stopIfTrue="1">
      <formula>$A131="comments"</formula>
    </cfRule>
  </conditionalFormatting>
  <conditionalFormatting sqref="B131:E142">
    <cfRule type="expression" dxfId="15" priority="3336" stopIfTrue="1">
      <formula>OR($A131="audio", $A131="video")</formula>
    </cfRule>
  </conditionalFormatting>
  <conditionalFormatting sqref="B131:E142">
    <cfRule type="expression" dxfId="16" priority="3337" stopIfTrue="1">
      <formula>$A131="image"</formula>
    </cfRule>
  </conditionalFormatting>
  <conditionalFormatting sqref="B131:E142">
    <cfRule type="expression" dxfId="17" priority="3338" stopIfTrue="1">
      <formula>OR($A131="date", $A131="datetime", $A131="time")</formula>
    </cfRule>
  </conditionalFormatting>
  <conditionalFormatting sqref="B131:E142">
    <cfRule type="expression" dxfId="18" priority="3339" stopIfTrue="1">
      <formula>OR($A131="calculate", $A131="calculate_here")</formula>
    </cfRule>
  </conditionalFormatting>
  <conditionalFormatting sqref="B131:E142">
    <cfRule type="expression" dxfId="19" priority="3340" stopIfTrue="1">
      <formula>$A131="note"</formula>
    </cfRule>
  </conditionalFormatting>
  <conditionalFormatting sqref="B131:E142">
    <cfRule type="expression" dxfId="20" priority="3341" stopIfTrue="1">
      <formula>$A131="barcode"</formula>
    </cfRule>
  </conditionalFormatting>
  <conditionalFormatting sqref="B131:E142">
    <cfRule type="expression" dxfId="21" priority="3342" stopIfTrue="1">
      <formula>OR($A131="geopoint", $A131="geoshape", $A131="geotrace")</formula>
    </cfRule>
  </conditionalFormatting>
  <conditionalFormatting sqref="B131:E142">
    <cfRule type="expression" dxfId="22" priority="3343" stopIfTrue="1">
      <formula>OR($A131="audio audit", $A131="text audit", $A131="speed violations count", $A131="speed violations list", $A131="speed violations audit")</formula>
    </cfRule>
  </conditionalFormatting>
  <conditionalFormatting sqref="B131:E142">
    <cfRule type="expression" dxfId="23" priority="3344" stopIfTrue="1">
      <formula>OR($A131="username", $A131="phonenumber", $A131="start", $A131="end", $A131="deviceid", $A131="subscriberid", $A131="simserial", $A131="caseid")</formula>
    </cfRule>
  </conditionalFormatting>
  <conditionalFormatting sqref="B131:E142">
    <cfRule type="expression" dxfId="24" priority="3345" stopIfTrue="1">
      <formula>OR(AND(LEFT($A131, 16)="select_multiple ", LEN($A131)&gt;16, NOT(ISNUMBER(SEARCH(" ", $A131, 17)))), AND(LEFT($A131, 11)="select_one ", LEN($A131)&gt;11, NOT(ISNUMBER(SEARCH(" ", $A131, 12)))))</formula>
    </cfRule>
  </conditionalFormatting>
  <conditionalFormatting sqref="B131:E142">
    <cfRule type="expression" dxfId="25" priority="3346" stopIfTrue="1">
      <formula>$A131="decimal"</formula>
    </cfRule>
  </conditionalFormatting>
  <conditionalFormatting sqref="B131:E142">
    <cfRule type="expression" dxfId="26" priority="3347" stopIfTrue="1">
      <formula>$A131="integer"</formula>
    </cfRule>
  </conditionalFormatting>
  <conditionalFormatting sqref="B131:E142">
    <cfRule type="expression" dxfId="27" priority="3348" stopIfTrue="1">
      <formula>$A131="text"</formula>
    </cfRule>
  </conditionalFormatting>
  <conditionalFormatting sqref="B131:E142">
    <cfRule type="expression" dxfId="28" priority="3349" stopIfTrue="1">
      <formula>$A131="end repeat"</formula>
    </cfRule>
  </conditionalFormatting>
  <conditionalFormatting sqref="B131:E142">
    <cfRule type="expression" dxfId="28" priority="3350" stopIfTrue="1">
      <formula>$A131="begin repeat"</formula>
    </cfRule>
  </conditionalFormatting>
  <conditionalFormatting sqref="B131:E142">
    <cfRule type="expression" dxfId="29" priority="3351" stopIfTrue="1">
      <formula>$A131="end group"</formula>
    </cfRule>
  </conditionalFormatting>
  <conditionalFormatting sqref="B131:E142">
    <cfRule type="expression" dxfId="29" priority="3352" stopIfTrue="1">
      <formula>$A131="begin group"</formula>
    </cfRule>
  </conditionalFormatting>
  <conditionalFormatting sqref="B131:B142">
    <cfRule type="expression" dxfId="30" priority="3353" stopIfTrue="1">
      <formula>$A131="comments"</formula>
    </cfRule>
  </conditionalFormatting>
  <conditionalFormatting sqref="B131:B142">
    <cfRule type="expression" dxfId="36" priority="3354" stopIfTrue="1">
      <formula>OR(AND(LEFT($A131, 14)="sensor_stream ", LEN($A131)&gt;14, NOT(ISNUMBER(SEARCH(" ", $A131, 15)))), AND(LEFT($A131, 17)="sensor_statistic ", LEN($A131)&gt;17, NOT(ISNUMBER(SEARCH(" ", $A131, 18)))))</formula>
    </cfRule>
  </conditionalFormatting>
  <conditionalFormatting sqref="B128:C128 D128:E128">
    <cfRule type="expression" dxfId="0" priority="3355" stopIfTrue="1">
      <formula>$A128="begin group"</formula>
    </cfRule>
  </conditionalFormatting>
  <conditionalFormatting sqref="B128:C128 D128:E128">
    <cfRule type="expression" dxfId="1" priority="3356" stopIfTrue="1">
      <formula>$A128="begin repeat"</formula>
    </cfRule>
  </conditionalFormatting>
  <conditionalFormatting sqref="B128:E128">
    <cfRule type="expression" dxfId="31" priority="3357" stopIfTrue="1">
      <formula>$A128="enumerator"</formula>
    </cfRule>
  </conditionalFormatting>
  <conditionalFormatting sqref="B128:E128">
    <cfRule type="expression" dxfId="2" priority="3358" stopIfTrue="1">
      <formula>$A128="text"</formula>
    </cfRule>
  </conditionalFormatting>
  <conditionalFormatting sqref="B128:E128">
    <cfRule type="expression" dxfId="3" priority="3359" stopIfTrue="1">
      <formula>$A128="integer"</formula>
    </cfRule>
  </conditionalFormatting>
  <conditionalFormatting sqref="B128:E128">
    <cfRule type="expression" dxfId="4" priority="3360" stopIfTrue="1">
      <formula>$A128="decimal"</formula>
    </cfRule>
  </conditionalFormatting>
  <conditionalFormatting sqref="B128:C128 D128:E128">
    <cfRule type="expression" dxfId="5" priority="3361" stopIfTrue="1">
      <formula>OR(AND(LEFT($A128, 16)="select_multiple ", LEN($A128)&gt;16, NOT(ISNUMBER(SEARCH(" ", $A128, 17)))), AND(LEFT($A128, 11)="select_one ", LEN($A128)&gt;11, NOT(ISNUMBER(SEARCH(" ", $A128, 12)))))</formula>
    </cfRule>
  </conditionalFormatting>
  <conditionalFormatting sqref="B128">
    <cfRule type="expression" dxfId="6" priority="3362" stopIfTrue="1">
      <formula>OR($A128="audio audit", $A128="text audit", $A128="speed violations count", $A128="speed violations list", $A128="speed violations audit")</formula>
    </cfRule>
  </conditionalFormatting>
  <conditionalFormatting sqref="B128:C128 D128:E128">
    <cfRule type="expression" dxfId="32" priority="3363" stopIfTrue="1">
      <formula>$A128="file"</formula>
    </cfRule>
  </conditionalFormatting>
  <conditionalFormatting sqref="B128:C128 D128:E128">
    <cfRule type="expression" dxfId="7" priority="3364" stopIfTrue="1">
      <formula>$A128="note"</formula>
    </cfRule>
  </conditionalFormatting>
  <conditionalFormatting sqref="B128:C128 D128:E128">
    <cfRule type="expression" dxfId="8" priority="3365" stopIfTrue="1">
      <formula>$A128="barcode"</formula>
    </cfRule>
  </conditionalFormatting>
  <conditionalFormatting sqref="B128:C128 D128:E128">
    <cfRule type="expression" dxfId="9" priority="3366" stopIfTrue="1">
      <formula>OR($A128="geopoint", $A128="geoshape", $A128="geotrace")</formula>
    </cfRule>
  </conditionalFormatting>
  <conditionalFormatting sqref="B128">
    <cfRule type="expression" dxfId="10" priority="3367" stopIfTrue="1">
      <formula>OR($A128="calculate", $A128="calculate_here")</formula>
    </cfRule>
  </conditionalFormatting>
  <conditionalFormatting sqref="B128:C128 D128:E128">
    <cfRule type="expression" dxfId="11" priority="3368" stopIfTrue="1">
      <formula>OR($A128="date", $A128="datetime", $A128="time")</formula>
    </cfRule>
  </conditionalFormatting>
  <conditionalFormatting sqref="B128:C128 D128:E128">
    <cfRule type="expression" dxfId="12" priority="3369" stopIfTrue="1">
      <formula>$A128="image"</formula>
    </cfRule>
  </conditionalFormatting>
  <conditionalFormatting sqref="B128:C128 D128:E128">
    <cfRule type="expression" dxfId="13" priority="3370" stopIfTrue="1">
      <formula>OR($A128="audio", $A128="video")</formula>
    </cfRule>
  </conditionalFormatting>
  <conditionalFormatting sqref="B128:E128">
    <cfRule type="expression" dxfId="33" priority="3371" stopIfTrue="1">
      <formula>$A128="file"</formula>
    </cfRule>
  </conditionalFormatting>
  <conditionalFormatting sqref="B128:E128">
    <cfRule type="expression" dxfId="34" priority="3372" stopIfTrue="1">
      <formula>$A128="enumerator"</formula>
    </cfRule>
  </conditionalFormatting>
  <conditionalFormatting sqref="B128:E128">
    <cfRule type="expression" dxfId="35" priority="3373" stopIfTrue="1">
      <formula>OR(AND(LEFT($A128, 14)="sensor_stream ", LEN($A128)&gt;14, NOT(ISNUMBER(SEARCH(" ", $A128, 15)))), AND(LEFT($A128, 17)="sensor_statistic ", LEN($A128)&gt;17, NOT(ISNUMBER(SEARCH(" ", $A128, 18)))))</formula>
    </cfRule>
  </conditionalFormatting>
  <conditionalFormatting sqref="B128:E128">
    <cfRule type="expression" dxfId="14" priority="3374" stopIfTrue="1">
      <formula>$A128="comments"</formula>
    </cfRule>
  </conditionalFormatting>
  <conditionalFormatting sqref="B128:E128">
    <cfRule type="expression" dxfId="15" priority="3375" stopIfTrue="1">
      <formula>OR($A128="audio", $A128="video")</formula>
    </cfRule>
  </conditionalFormatting>
  <conditionalFormatting sqref="B128:E128">
    <cfRule type="expression" dxfId="16" priority="3376" stopIfTrue="1">
      <formula>$A128="image"</formula>
    </cfRule>
  </conditionalFormatting>
  <conditionalFormatting sqref="B128:E128">
    <cfRule type="expression" dxfId="17" priority="3377" stopIfTrue="1">
      <formula>OR($A128="date", $A128="datetime", $A128="time")</formula>
    </cfRule>
  </conditionalFormatting>
  <conditionalFormatting sqref="B128:E128">
    <cfRule type="expression" dxfId="18" priority="3378" stopIfTrue="1">
      <formula>OR($A128="calculate", $A128="calculate_here")</formula>
    </cfRule>
  </conditionalFormatting>
  <conditionalFormatting sqref="B128:E128">
    <cfRule type="expression" dxfId="19" priority="3379" stopIfTrue="1">
      <formula>$A128="note"</formula>
    </cfRule>
  </conditionalFormatting>
  <conditionalFormatting sqref="B128:E128">
    <cfRule type="expression" dxfId="20" priority="3380" stopIfTrue="1">
      <formula>$A128="barcode"</formula>
    </cfRule>
  </conditionalFormatting>
  <conditionalFormatting sqref="B128:E128">
    <cfRule type="expression" dxfId="21" priority="3381" stopIfTrue="1">
      <formula>OR($A128="geopoint", $A128="geoshape", $A128="geotrace")</formula>
    </cfRule>
  </conditionalFormatting>
  <conditionalFormatting sqref="B128:E128">
    <cfRule type="expression" dxfId="22" priority="3382" stopIfTrue="1">
      <formula>OR($A128="audio audit", $A128="text audit", $A128="speed violations count", $A128="speed violations list", $A128="speed violations audit")</formula>
    </cfRule>
  </conditionalFormatting>
  <conditionalFormatting sqref="B128:E128">
    <cfRule type="expression" dxfId="23" priority="3383" stopIfTrue="1">
      <formula>OR($A128="username", $A128="phonenumber", $A128="start", $A128="end", $A128="deviceid", $A128="subscriberid", $A128="simserial", $A128="caseid")</formula>
    </cfRule>
  </conditionalFormatting>
  <conditionalFormatting sqref="B128:E128">
    <cfRule type="expression" dxfId="24" priority="3384" stopIfTrue="1">
      <formula>OR(AND(LEFT($A128, 16)="select_multiple ", LEN($A128)&gt;16, NOT(ISNUMBER(SEARCH(" ", $A128, 17)))), AND(LEFT($A128, 11)="select_one ", LEN($A128)&gt;11, NOT(ISNUMBER(SEARCH(" ", $A128, 12)))))</formula>
    </cfRule>
  </conditionalFormatting>
  <conditionalFormatting sqref="B128:E128">
    <cfRule type="expression" dxfId="25" priority="3385" stopIfTrue="1">
      <formula>$A128="decimal"</formula>
    </cfRule>
  </conditionalFormatting>
  <conditionalFormatting sqref="B128:E128">
    <cfRule type="expression" dxfId="26" priority="3386" stopIfTrue="1">
      <formula>$A128="integer"</formula>
    </cfRule>
  </conditionalFormatting>
  <conditionalFormatting sqref="B128:E128">
    <cfRule type="expression" dxfId="27" priority="3387" stopIfTrue="1">
      <formula>$A128="text"</formula>
    </cfRule>
  </conditionalFormatting>
  <conditionalFormatting sqref="B128:E128">
    <cfRule type="expression" dxfId="28" priority="3388" stopIfTrue="1">
      <formula>$A128="end repeat"</formula>
    </cfRule>
  </conditionalFormatting>
  <conditionalFormatting sqref="B128:E128">
    <cfRule type="expression" dxfId="28" priority="3389" stopIfTrue="1">
      <formula>$A128="begin repeat"</formula>
    </cfRule>
  </conditionalFormatting>
  <conditionalFormatting sqref="B128:E128">
    <cfRule type="expression" dxfId="29" priority="3390" stopIfTrue="1">
      <formula>$A128="end group"</formula>
    </cfRule>
  </conditionalFormatting>
  <conditionalFormatting sqref="B128:E128">
    <cfRule type="expression" dxfId="29" priority="3391" stopIfTrue="1">
      <formula>$A128="begin group"</formula>
    </cfRule>
  </conditionalFormatting>
  <conditionalFormatting sqref="B128">
    <cfRule type="expression" dxfId="30" priority="3392" stopIfTrue="1">
      <formula>$A128="comments"</formula>
    </cfRule>
  </conditionalFormatting>
  <conditionalFormatting sqref="B128">
    <cfRule type="expression" dxfId="36" priority="3393" stopIfTrue="1">
      <formula>OR(AND(LEFT($A128, 14)="sensor_stream ", LEN($A128)&gt;14, NOT(ISNUMBER(SEARCH(" ", $A128, 15)))), AND(LEFT($A128, 17)="sensor_statistic ", LEN($A128)&gt;17, NOT(ISNUMBER(SEARCH(" ", $A128, 18)))))</formula>
    </cfRule>
  </conditionalFormatting>
  <conditionalFormatting sqref="B124:C126 D124:E126">
    <cfRule type="expression" dxfId="0" priority="3394" stopIfTrue="1">
      <formula>$A124="begin group"</formula>
    </cfRule>
  </conditionalFormatting>
  <conditionalFormatting sqref="B124:C126 D124:E126">
    <cfRule type="expression" dxfId="1" priority="3395" stopIfTrue="1">
      <formula>$A124="begin repeat"</formula>
    </cfRule>
  </conditionalFormatting>
  <conditionalFormatting sqref="B124:E126">
    <cfRule type="expression" dxfId="31" priority="3396" stopIfTrue="1">
      <formula>$A124="enumerator"</formula>
    </cfRule>
  </conditionalFormatting>
  <conditionalFormatting sqref="B124:E126">
    <cfRule type="expression" dxfId="2" priority="3397" stopIfTrue="1">
      <formula>$A124="text"</formula>
    </cfRule>
  </conditionalFormatting>
  <conditionalFormatting sqref="B124:E126">
    <cfRule type="expression" dxfId="3" priority="3398" stopIfTrue="1">
      <formula>$A124="integer"</formula>
    </cfRule>
  </conditionalFormatting>
  <conditionalFormatting sqref="B124:E126">
    <cfRule type="expression" dxfId="4" priority="3399" stopIfTrue="1">
      <formula>$A124="decimal"</formula>
    </cfRule>
  </conditionalFormatting>
  <conditionalFormatting sqref="B124:C126 D124:E126">
    <cfRule type="expression" dxfId="5" priority="3400" stopIfTrue="1">
      <formula>OR(AND(LEFT($A124, 16)="select_multiple ", LEN($A124)&gt;16, NOT(ISNUMBER(SEARCH(" ", $A124, 17)))), AND(LEFT($A124, 11)="select_one ", LEN($A124)&gt;11, NOT(ISNUMBER(SEARCH(" ", $A124, 12)))))</formula>
    </cfRule>
  </conditionalFormatting>
  <conditionalFormatting sqref="B124:B126">
    <cfRule type="expression" dxfId="6" priority="3401" stopIfTrue="1">
      <formula>OR($A124="audio audit", $A124="text audit", $A124="speed violations count", $A124="speed violations list", $A124="speed violations audit")</formula>
    </cfRule>
  </conditionalFormatting>
  <conditionalFormatting sqref="B124:C126 D124:E126">
    <cfRule type="expression" dxfId="32" priority="3402" stopIfTrue="1">
      <formula>$A124="file"</formula>
    </cfRule>
  </conditionalFormatting>
  <conditionalFormatting sqref="B124:C126 D124:E126">
    <cfRule type="expression" dxfId="7" priority="3403" stopIfTrue="1">
      <formula>$A124="note"</formula>
    </cfRule>
  </conditionalFormatting>
  <conditionalFormatting sqref="B124:C126 D124:E126">
    <cfRule type="expression" dxfId="8" priority="3404" stopIfTrue="1">
      <formula>$A124="barcode"</formula>
    </cfRule>
  </conditionalFormatting>
  <conditionalFormatting sqref="B124:C126 D124:E126">
    <cfRule type="expression" dxfId="9" priority="3405" stopIfTrue="1">
      <formula>OR($A124="geopoint", $A124="geoshape", $A124="geotrace")</formula>
    </cfRule>
  </conditionalFormatting>
  <conditionalFormatting sqref="B124:B126">
    <cfRule type="expression" dxfId="10" priority="3406" stopIfTrue="1">
      <formula>OR($A124="calculate", $A124="calculate_here")</formula>
    </cfRule>
  </conditionalFormatting>
  <conditionalFormatting sqref="B124:C126 D124:E126">
    <cfRule type="expression" dxfId="11" priority="3407" stopIfTrue="1">
      <formula>OR($A124="date", $A124="datetime", $A124="time")</formula>
    </cfRule>
  </conditionalFormatting>
  <conditionalFormatting sqref="B124:C126 D124:E126">
    <cfRule type="expression" dxfId="12" priority="3408" stopIfTrue="1">
      <formula>$A124="image"</formula>
    </cfRule>
  </conditionalFormatting>
  <conditionalFormatting sqref="B124:C126 D124:E126">
    <cfRule type="expression" dxfId="13" priority="3409" stopIfTrue="1">
      <formula>OR($A124="audio", $A124="video")</formula>
    </cfRule>
  </conditionalFormatting>
  <conditionalFormatting sqref="B124:E126">
    <cfRule type="expression" dxfId="33" priority="3410" stopIfTrue="1">
      <formula>$A124="file"</formula>
    </cfRule>
  </conditionalFormatting>
  <conditionalFormatting sqref="B124:E126">
    <cfRule type="expression" dxfId="34" priority="3411" stopIfTrue="1">
      <formula>$A124="enumerator"</formula>
    </cfRule>
  </conditionalFormatting>
  <conditionalFormatting sqref="B124:E126">
    <cfRule type="expression" dxfId="35" priority="3412" stopIfTrue="1">
      <formula>OR(AND(LEFT($A124, 14)="sensor_stream ", LEN($A124)&gt;14, NOT(ISNUMBER(SEARCH(" ", $A124, 15)))), AND(LEFT($A124, 17)="sensor_statistic ", LEN($A124)&gt;17, NOT(ISNUMBER(SEARCH(" ", $A124, 18)))))</formula>
    </cfRule>
  </conditionalFormatting>
  <conditionalFormatting sqref="B124:E126">
    <cfRule type="expression" dxfId="14" priority="3413" stopIfTrue="1">
      <formula>$A124="comments"</formula>
    </cfRule>
  </conditionalFormatting>
  <conditionalFormatting sqref="B124:E126">
    <cfRule type="expression" dxfId="15" priority="3414" stopIfTrue="1">
      <formula>OR($A124="audio", $A124="video")</formula>
    </cfRule>
  </conditionalFormatting>
  <conditionalFormatting sqref="B124:E126">
    <cfRule type="expression" dxfId="16" priority="3415" stopIfTrue="1">
      <formula>$A124="image"</formula>
    </cfRule>
  </conditionalFormatting>
  <conditionalFormatting sqref="B124:E126">
    <cfRule type="expression" dxfId="17" priority="3416" stopIfTrue="1">
      <formula>OR($A124="date", $A124="datetime", $A124="time")</formula>
    </cfRule>
  </conditionalFormatting>
  <conditionalFormatting sqref="B124:E126">
    <cfRule type="expression" dxfId="18" priority="3417" stopIfTrue="1">
      <formula>OR($A124="calculate", $A124="calculate_here")</formula>
    </cfRule>
  </conditionalFormatting>
  <conditionalFormatting sqref="B124:E126">
    <cfRule type="expression" dxfId="19" priority="3418" stopIfTrue="1">
      <formula>$A124="note"</formula>
    </cfRule>
  </conditionalFormatting>
  <conditionalFormatting sqref="B124:E126">
    <cfRule type="expression" dxfId="20" priority="3419" stopIfTrue="1">
      <formula>$A124="barcode"</formula>
    </cfRule>
  </conditionalFormatting>
  <conditionalFormatting sqref="B124:E126">
    <cfRule type="expression" dxfId="21" priority="3420" stopIfTrue="1">
      <formula>OR($A124="geopoint", $A124="geoshape", $A124="geotrace")</formula>
    </cfRule>
  </conditionalFormatting>
  <conditionalFormatting sqref="B124:E126">
    <cfRule type="expression" dxfId="22" priority="3421" stopIfTrue="1">
      <formula>OR($A124="audio audit", $A124="text audit", $A124="speed violations count", $A124="speed violations list", $A124="speed violations audit")</formula>
    </cfRule>
  </conditionalFormatting>
  <conditionalFormatting sqref="B124:E126">
    <cfRule type="expression" dxfId="23" priority="3422" stopIfTrue="1">
      <formula>OR($A124="username", $A124="phonenumber", $A124="start", $A124="end", $A124="deviceid", $A124="subscriberid", $A124="simserial", $A124="caseid")</formula>
    </cfRule>
  </conditionalFormatting>
  <conditionalFormatting sqref="B124:E126">
    <cfRule type="expression" dxfId="24" priority="3423" stopIfTrue="1">
      <formula>OR(AND(LEFT($A124, 16)="select_multiple ", LEN($A124)&gt;16, NOT(ISNUMBER(SEARCH(" ", $A124, 17)))), AND(LEFT($A124, 11)="select_one ", LEN($A124)&gt;11, NOT(ISNUMBER(SEARCH(" ", $A124, 12)))))</formula>
    </cfRule>
  </conditionalFormatting>
  <conditionalFormatting sqref="B124:E126">
    <cfRule type="expression" dxfId="25" priority="3424" stopIfTrue="1">
      <formula>$A124="decimal"</formula>
    </cfRule>
  </conditionalFormatting>
  <conditionalFormatting sqref="B124:E126">
    <cfRule type="expression" dxfId="26" priority="3425" stopIfTrue="1">
      <formula>$A124="integer"</formula>
    </cfRule>
  </conditionalFormatting>
  <conditionalFormatting sqref="B124:E126">
    <cfRule type="expression" dxfId="27" priority="3426" stopIfTrue="1">
      <formula>$A124="text"</formula>
    </cfRule>
  </conditionalFormatting>
  <conditionalFormatting sqref="B124:E126">
    <cfRule type="expression" dxfId="28" priority="3427" stopIfTrue="1">
      <formula>$A124="end repeat"</formula>
    </cfRule>
  </conditionalFormatting>
  <conditionalFormatting sqref="B124:E126">
    <cfRule type="expression" dxfId="28" priority="3428" stopIfTrue="1">
      <formula>$A124="begin repeat"</formula>
    </cfRule>
  </conditionalFormatting>
  <conditionalFormatting sqref="B124:E126">
    <cfRule type="expression" dxfId="29" priority="3429" stopIfTrue="1">
      <formula>$A124="end group"</formula>
    </cfRule>
  </conditionalFormatting>
  <conditionalFormatting sqref="B124:E126">
    <cfRule type="expression" dxfId="29" priority="3430" stopIfTrue="1">
      <formula>$A124="begin group"</formula>
    </cfRule>
  </conditionalFormatting>
  <conditionalFormatting sqref="B124:B126">
    <cfRule type="expression" dxfId="30" priority="3431" stopIfTrue="1">
      <formula>$A124="comments"</formula>
    </cfRule>
  </conditionalFormatting>
  <conditionalFormatting sqref="B124:B126">
    <cfRule type="expression" dxfId="36" priority="3432" stopIfTrue="1">
      <formula>OR(AND(LEFT($A124, 14)="sensor_stream ", LEN($A124)&gt;14, NOT(ISNUMBER(SEARCH(" ", $A124, 15)))), AND(LEFT($A124, 17)="sensor_statistic ", LEN($A124)&gt;17, NOT(ISNUMBER(SEARCH(" ", $A124, 18)))))</formula>
    </cfRule>
  </conditionalFormatting>
  <conditionalFormatting sqref="B114:C121 D114:E121">
    <cfRule type="expression" dxfId="0" priority="3433" stopIfTrue="1">
      <formula>$A114="begin group"</formula>
    </cfRule>
  </conditionalFormatting>
  <conditionalFormatting sqref="B114:C121 D114:E121">
    <cfRule type="expression" dxfId="1" priority="3434" stopIfTrue="1">
      <formula>$A114="begin repeat"</formula>
    </cfRule>
  </conditionalFormatting>
  <conditionalFormatting sqref="B114:E121">
    <cfRule type="expression" dxfId="31" priority="3435" stopIfTrue="1">
      <formula>$A114="enumerator"</formula>
    </cfRule>
  </conditionalFormatting>
  <conditionalFormatting sqref="B114:E121">
    <cfRule type="expression" dxfId="2" priority="3436" stopIfTrue="1">
      <formula>$A114="text"</formula>
    </cfRule>
  </conditionalFormatting>
  <conditionalFormatting sqref="B114:E121">
    <cfRule type="expression" dxfId="3" priority="3437" stopIfTrue="1">
      <formula>$A114="integer"</formula>
    </cfRule>
  </conditionalFormatting>
  <conditionalFormatting sqref="B114:E121">
    <cfRule type="expression" dxfId="4" priority="3438" stopIfTrue="1">
      <formula>$A114="decimal"</formula>
    </cfRule>
  </conditionalFormatting>
  <conditionalFormatting sqref="B114:C121 D114:E121">
    <cfRule type="expression" dxfId="5" priority="3439" stopIfTrue="1">
      <formula>OR(AND(LEFT($A114, 16)="select_multiple ", LEN($A114)&gt;16, NOT(ISNUMBER(SEARCH(" ", $A114, 17)))), AND(LEFT($A114, 11)="select_one ", LEN($A114)&gt;11, NOT(ISNUMBER(SEARCH(" ", $A114, 12)))))</formula>
    </cfRule>
  </conditionalFormatting>
  <conditionalFormatting sqref="B114:B121">
    <cfRule type="expression" dxfId="6" priority="3440" stopIfTrue="1">
      <formula>OR($A114="audio audit", $A114="text audit", $A114="speed violations count", $A114="speed violations list", $A114="speed violations audit")</formula>
    </cfRule>
  </conditionalFormatting>
  <conditionalFormatting sqref="B114:C121 D114:E121">
    <cfRule type="expression" dxfId="32" priority="3441" stopIfTrue="1">
      <formula>$A114="file"</formula>
    </cfRule>
  </conditionalFormatting>
  <conditionalFormatting sqref="B114:C121 D114:E121">
    <cfRule type="expression" dxfId="7" priority="3442" stopIfTrue="1">
      <formula>$A114="note"</formula>
    </cfRule>
  </conditionalFormatting>
  <conditionalFormatting sqref="B114:C121 D114:E121">
    <cfRule type="expression" dxfId="8" priority="3443" stopIfTrue="1">
      <formula>$A114="barcode"</formula>
    </cfRule>
  </conditionalFormatting>
  <conditionalFormatting sqref="B114:C121 D114:E121">
    <cfRule type="expression" dxfId="9" priority="3444" stopIfTrue="1">
      <formula>OR($A114="geopoint", $A114="geoshape", $A114="geotrace")</formula>
    </cfRule>
  </conditionalFormatting>
  <conditionalFormatting sqref="B114:B121">
    <cfRule type="expression" dxfId="10" priority="3445" stopIfTrue="1">
      <formula>OR($A114="calculate", $A114="calculate_here")</formula>
    </cfRule>
  </conditionalFormatting>
  <conditionalFormatting sqref="B114:C121 D114:E121">
    <cfRule type="expression" dxfId="11" priority="3446" stopIfTrue="1">
      <formula>OR($A114="date", $A114="datetime", $A114="time")</formula>
    </cfRule>
  </conditionalFormatting>
  <conditionalFormatting sqref="B114:C121 D114:E121">
    <cfRule type="expression" dxfId="12" priority="3447" stopIfTrue="1">
      <formula>$A114="image"</formula>
    </cfRule>
  </conditionalFormatting>
  <conditionalFormatting sqref="B114:C121 D114:E121">
    <cfRule type="expression" dxfId="13" priority="3448" stopIfTrue="1">
      <formula>OR($A114="audio", $A114="video")</formula>
    </cfRule>
  </conditionalFormatting>
  <conditionalFormatting sqref="B114:E121">
    <cfRule type="expression" dxfId="33" priority="3449" stopIfTrue="1">
      <formula>$A114="file"</formula>
    </cfRule>
  </conditionalFormatting>
  <conditionalFormatting sqref="B114:E121">
    <cfRule type="expression" dxfId="34" priority="3450" stopIfTrue="1">
      <formula>$A114="enumerator"</formula>
    </cfRule>
  </conditionalFormatting>
  <conditionalFormatting sqref="B114:E121">
    <cfRule type="expression" dxfId="35" priority="3451" stopIfTrue="1">
      <formula>OR(AND(LEFT($A114, 14)="sensor_stream ", LEN($A114)&gt;14, NOT(ISNUMBER(SEARCH(" ", $A114, 15)))), AND(LEFT($A114, 17)="sensor_statistic ", LEN($A114)&gt;17, NOT(ISNUMBER(SEARCH(" ", $A114, 18)))))</formula>
    </cfRule>
  </conditionalFormatting>
  <conditionalFormatting sqref="B114:E121">
    <cfRule type="expression" dxfId="14" priority="3452" stopIfTrue="1">
      <formula>$A114="comments"</formula>
    </cfRule>
  </conditionalFormatting>
  <conditionalFormatting sqref="B114:E121">
    <cfRule type="expression" dxfId="15" priority="3453" stopIfTrue="1">
      <formula>OR($A114="audio", $A114="video")</formula>
    </cfRule>
  </conditionalFormatting>
  <conditionalFormatting sqref="B114:E121">
    <cfRule type="expression" dxfId="16" priority="3454" stopIfTrue="1">
      <formula>$A114="image"</formula>
    </cfRule>
  </conditionalFormatting>
  <conditionalFormatting sqref="B114:E121">
    <cfRule type="expression" dxfId="17" priority="3455" stopIfTrue="1">
      <formula>OR($A114="date", $A114="datetime", $A114="time")</formula>
    </cfRule>
  </conditionalFormatting>
  <conditionalFormatting sqref="B114:E121">
    <cfRule type="expression" dxfId="18" priority="3456" stopIfTrue="1">
      <formula>OR($A114="calculate", $A114="calculate_here")</formula>
    </cfRule>
  </conditionalFormatting>
  <conditionalFormatting sqref="B114:E121">
    <cfRule type="expression" dxfId="19" priority="3457" stopIfTrue="1">
      <formula>$A114="note"</formula>
    </cfRule>
  </conditionalFormatting>
  <conditionalFormatting sqref="B114:E121">
    <cfRule type="expression" dxfId="20" priority="3458" stopIfTrue="1">
      <formula>$A114="barcode"</formula>
    </cfRule>
  </conditionalFormatting>
  <conditionalFormatting sqref="B114:E121">
    <cfRule type="expression" dxfId="21" priority="3459" stopIfTrue="1">
      <formula>OR($A114="geopoint", $A114="geoshape", $A114="geotrace")</formula>
    </cfRule>
  </conditionalFormatting>
  <conditionalFormatting sqref="B114:E121">
    <cfRule type="expression" dxfId="22" priority="3460" stopIfTrue="1">
      <formula>OR($A114="audio audit", $A114="text audit", $A114="speed violations count", $A114="speed violations list", $A114="speed violations audit")</formula>
    </cfRule>
  </conditionalFormatting>
  <conditionalFormatting sqref="B114:E121">
    <cfRule type="expression" dxfId="23" priority="3461" stopIfTrue="1">
      <formula>OR($A114="username", $A114="phonenumber", $A114="start", $A114="end", $A114="deviceid", $A114="subscriberid", $A114="simserial", $A114="caseid")</formula>
    </cfRule>
  </conditionalFormatting>
  <conditionalFormatting sqref="B114:E121">
    <cfRule type="expression" dxfId="24" priority="3462" stopIfTrue="1">
      <formula>OR(AND(LEFT($A114, 16)="select_multiple ", LEN($A114)&gt;16, NOT(ISNUMBER(SEARCH(" ", $A114, 17)))), AND(LEFT($A114, 11)="select_one ", LEN($A114)&gt;11, NOT(ISNUMBER(SEARCH(" ", $A114, 12)))))</formula>
    </cfRule>
  </conditionalFormatting>
  <conditionalFormatting sqref="B114:E121">
    <cfRule type="expression" dxfId="25" priority="3463" stopIfTrue="1">
      <formula>$A114="decimal"</formula>
    </cfRule>
  </conditionalFormatting>
  <conditionalFormatting sqref="B114:E121">
    <cfRule type="expression" dxfId="26" priority="3464" stopIfTrue="1">
      <formula>$A114="integer"</formula>
    </cfRule>
  </conditionalFormatting>
  <conditionalFormatting sqref="B114:E121">
    <cfRule type="expression" dxfId="27" priority="3465" stopIfTrue="1">
      <formula>$A114="text"</formula>
    </cfRule>
  </conditionalFormatting>
  <conditionalFormatting sqref="B114:E121">
    <cfRule type="expression" dxfId="28" priority="3466" stopIfTrue="1">
      <formula>$A114="end repeat"</formula>
    </cfRule>
  </conditionalFormatting>
  <conditionalFormatting sqref="B114:E121">
    <cfRule type="expression" dxfId="28" priority="3467" stopIfTrue="1">
      <formula>$A114="begin repeat"</formula>
    </cfRule>
  </conditionalFormatting>
  <conditionalFormatting sqref="B114:E121">
    <cfRule type="expression" dxfId="29" priority="3468" stopIfTrue="1">
      <formula>$A114="end group"</formula>
    </cfRule>
  </conditionalFormatting>
  <conditionalFormatting sqref="B114:E121">
    <cfRule type="expression" dxfId="29" priority="3469" stopIfTrue="1">
      <formula>$A114="begin group"</formula>
    </cfRule>
  </conditionalFormatting>
  <conditionalFormatting sqref="B114:B121">
    <cfRule type="expression" dxfId="30" priority="3470" stopIfTrue="1">
      <formula>$A114="comments"</formula>
    </cfRule>
  </conditionalFormatting>
  <conditionalFormatting sqref="B114:B121">
    <cfRule type="expression" dxfId="36" priority="3471" stopIfTrue="1">
      <formula>OR(AND(LEFT($A114, 14)="sensor_stream ", LEN($A114)&gt;14, NOT(ISNUMBER(SEARCH(" ", $A114, 15)))), AND(LEFT($A114, 17)="sensor_statistic ", LEN($A114)&gt;17, NOT(ISNUMBER(SEARCH(" ", $A114, 18)))))</formula>
    </cfRule>
  </conditionalFormatting>
  <conditionalFormatting sqref="B101:C111 D101:E111">
    <cfRule type="expression" dxfId="0" priority="3472" stopIfTrue="1">
      <formula>$A101="begin group"</formula>
    </cfRule>
  </conditionalFormatting>
  <conditionalFormatting sqref="B101:C111 D101:E111">
    <cfRule type="expression" dxfId="1" priority="3473" stopIfTrue="1">
      <formula>$A101="begin repeat"</formula>
    </cfRule>
  </conditionalFormatting>
  <conditionalFormatting sqref="B101:E111">
    <cfRule type="expression" dxfId="31" priority="3474" stopIfTrue="1">
      <formula>$A101="enumerator"</formula>
    </cfRule>
  </conditionalFormatting>
  <conditionalFormatting sqref="B101:E111">
    <cfRule type="expression" dxfId="2" priority="3475" stopIfTrue="1">
      <formula>$A101="text"</formula>
    </cfRule>
  </conditionalFormatting>
  <conditionalFormatting sqref="B101:E111">
    <cfRule type="expression" dxfId="3" priority="3476" stopIfTrue="1">
      <formula>$A101="integer"</formula>
    </cfRule>
  </conditionalFormatting>
  <conditionalFormatting sqref="B101:E111">
    <cfRule type="expression" dxfId="4" priority="3477" stopIfTrue="1">
      <formula>$A101="decimal"</formula>
    </cfRule>
  </conditionalFormatting>
  <conditionalFormatting sqref="B101:C111 D101:E111">
    <cfRule type="expression" dxfId="5" priority="3478" stopIfTrue="1">
      <formula>OR(AND(LEFT($A101, 16)="select_multiple ", LEN($A101)&gt;16, NOT(ISNUMBER(SEARCH(" ", $A101, 17)))), AND(LEFT($A101, 11)="select_one ", LEN($A101)&gt;11, NOT(ISNUMBER(SEARCH(" ", $A101, 12)))))</formula>
    </cfRule>
  </conditionalFormatting>
  <conditionalFormatting sqref="B101:B111">
    <cfRule type="expression" dxfId="6" priority="3479" stopIfTrue="1">
      <formula>OR($A101="audio audit", $A101="text audit", $A101="speed violations count", $A101="speed violations list", $A101="speed violations audit")</formula>
    </cfRule>
  </conditionalFormatting>
  <conditionalFormatting sqref="B101:C111 D101:E111">
    <cfRule type="expression" dxfId="32" priority="3480" stopIfTrue="1">
      <formula>$A101="file"</formula>
    </cfRule>
  </conditionalFormatting>
  <conditionalFormatting sqref="B101:C111 D101:E111">
    <cfRule type="expression" dxfId="7" priority="3481" stopIfTrue="1">
      <formula>$A101="note"</formula>
    </cfRule>
  </conditionalFormatting>
  <conditionalFormatting sqref="B101:C111 D101:E111">
    <cfRule type="expression" dxfId="8" priority="3482" stopIfTrue="1">
      <formula>$A101="barcode"</formula>
    </cfRule>
  </conditionalFormatting>
  <conditionalFormatting sqref="B101:C111 D101:E111">
    <cfRule type="expression" dxfId="9" priority="3483" stopIfTrue="1">
      <formula>OR($A101="geopoint", $A101="geoshape", $A101="geotrace")</formula>
    </cfRule>
  </conditionalFormatting>
  <conditionalFormatting sqref="B101:B111">
    <cfRule type="expression" dxfId="10" priority="3484" stopIfTrue="1">
      <formula>OR($A101="calculate", $A101="calculate_here")</formula>
    </cfRule>
  </conditionalFormatting>
  <conditionalFormatting sqref="B101:C111 D101:E111">
    <cfRule type="expression" dxfId="11" priority="3485" stopIfTrue="1">
      <formula>OR($A101="date", $A101="datetime", $A101="time")</formula>
    </cfRule>
  </conditionalFormatting>
  <conditionalFormatting sqref="B101:C111 D101:E111">
    <cfRule type="expression" dxfId="12" priority="3486" stopIfTrue="1">
      <formula>$A101="image"</formula>
    </cfRule>
  </conditionalFormatting>
  <conditionalFormatting sqref="B101:C111 D101:E111">
    <cfRule type="expression" dxfId="13" priority="3487" stopIfTrue="1">
      <formula>OR($A101="audio", $A101="video")</formula>
    </cfRule>
  </conditionalFormatting>
  <conditionalFormatting sqref="B101:E111">
    <cfRule type="expression" dxfId="33" priority="3488" stopIfTrue="1">
      <formula>$A101="file"</formula>
    </cfRule>
  </conditionalFormatting>
  <conditionalFormatting sqref="B101:E111">
    <cfRule type="expression" dxfId="34" priority="3489" stopIfTrue="1">
      <formula>$A101="enumerator"</formula>
    </cfRule>
  </conditionalFormatting>
  <conditionalFormatting sqref="B101:E111">
    <cfRule type="expression" dxfId="35" priority="3490" stopIfTrue="1">
      <formula>OR(AND(LEFT($A101, 14)="sensor_stream ", LEN($A101)&gt;14, NOT(ISNUMBER(SEARCH(" ", $A101, 15)))), AND(LEFT($A101, 17)="sensor_statistic ", LEN($A101)&gt;17, NOT(ISNUMBER(SEARCH(" ", $A101, 18)))))</formula>
    </cfRule>
  </conditionalFormatting>
  <conditionalFormatting sqref="B101:E111">
    <cfRule type="expression" dxfId="14" priority="3491" stopIfTrue="1">
      <formula>$A101="comments"</formula>
    </cfRule>
  </conditionalFormatting>
  <conditionalFormatting sqref="B101:E111">
    <cfRule type="expression" dxfId="15" priority="3492" stopIfTrue="1">
      <formula>OR($A101="audio", $A101="video")</formula>
    </cfRule>
  </conditionalFormatting>
  <conditionalFormatting sqref="B101:E111">
    <cfRule type="expression" dxfId="16" priority="3493" stopIfTrue="1">
      <formula>$A101="image"</formula>
    </cfRule>
  </conditionalFormatting>
  <conditionalFormatting sqref="B101:E111">
    <cfRule type="expression" dxfId="17" priority="3494" stopIfTrue="1">
      <formula>OR($A101="date", $A101="datetime", $A101="time")</formula>
    </cfRule>
  </conditionalFormatting>
  <conditionalFormatting sqref="B101:E111">
    <cfRule type="expression" dxfId="18" priority="3495" stopIfTrue="1">
      <formula>OR($A101="calculate", $A101="calculate_here")</formula>
    </cfRule>
  </conditionalFormatting>
  <conditionalFormatting sqref="B101:E111">
    <cfRule type="expression" dxfId="19" priority="3496" stopIfTrue="1">
      <formula>$A101="note"</formula>
    </cfRule>
  </conditionalFormatting>
  <conditionalFormatting sqref="B101:E111">
    <cfRule type="expression" dxfId="20" priority="3497" stopIfTrue="1">
      <formula>$A101="barcode"</formula>
    </cfRule>
  </conditionalFormatting>
  <conditionalFormatting sqref="B101:E111">
    <cfRule type="expression" dxfId="21" priority="3498" stopIfTrue="1">
      <formula>OR($A101="geopoint", $A101="geoshape", $A101="geotrace")</formula>
    </cfRule>
  </conditionalFormatting>
  <conditionalFormatting sqref="B101:E111">
    <cfRule type="expression" dxfId="22" priority="3499" stopIfTrue="1">
      <formula>OR($A101="audio audit", $A101="text audit", $A101="speed violations count", $A101="speed violations list", $A101="speed violations audit")</formula>
    </cfRule>
  </conditionalFormatting>
  <conditionalFormatting sqref="B101:E111">
    <cfRule type="expression" dxfId="23" priority="3500" stopIfTrue="1">
      <formula>OR($A101="username", $A101="phonenumber", $A101="start", $A101="end", $A101="deviceid", $A101="subscriberid", $A101="simserial", $A101="caseid")</formula>
    </cfRule>
  </conditionalFormatting>
  <conditionalFormatting sqref="B101:E111">
    <cfRule type="expression" dxfId="24" priority="3501" stopIfTrue="1">
      <formula>OR(AND(LEFT($A101, 16)="select_multiple ", LEN($A101)&gt;16, NOT(ISNUMBER(SEARCH(" ", $A101, 17)))), AND(LEFT($A101, 11)="select_one ", LEN($A101)&gt;11, NOT(ISNUMBER(SEARCH(" ", $A101, 12)))))</formula>
    </cfRule>
  </conditionalFormatting>
  <conditionalFormatting sqref="B101:E111">
    <cfRule type="expression" dxfId="25" priority="3502" stopIfTrue="1">
      <formula>$A101="decimal"</formula>
    </cfRule>
  </conditionalFormatting>
  <conditionalFormatting sqref="B101:E111">
    <cfRule type="expression" dxfId="26" priority="3503" stopIfTrue="1">
      <formula>$A101="integer"</formula>
    </cfRule>
  </conditionalFormatting>
  <conditionalFormatting sqref="B101:E111">
    <cfRule type="expression" dxfId="27" priority="3504" stopIfTrue="1">
      <formula>$A101="text"</formula>
    </cfRule>
  </conditionalFormatting>
  <conditionalFormatting sqref="B101:E111">
    <cfRule type="expression" dxfId="28" priority="3505" stopIfTrue="1">
      <formula>$A101="end repeat"</formula>
    </cfRule>
  </conditionalFormatting>
  <conditionalFormatting sqref="B101:E111">
    <cfRule type="expression" dxfId="28" priority="3506" stopIfTrue="1">
      <formula>$A101="begin repeat"</formula>
    </cfRule>
  </conditionalFormatting>
  <conditionalFormatting sqref="B101:E111">
    <cfRule type="expression" dxfId="29" priority="3507" stopIfTrue="1">
      <formula>$A101="end group"</formula>
    </cfRule>
  </conditionalFormatting>
  <conditionalFormatting sqref="B101:E111">
    <cfRule type="expression" dxfId="29" priority="3508" stopIfTrue="1">
      <formula>$A101="begin group"</formula>
    </cfRule>
  </conditionalFormatting>
  <conditionalFormatting sqref="B101:B111">
    <cfRule type="expression" dxfId="30" priority="3509" stopIfTrue="1">
      <formula>$A101="comments"</formula>
    </cfRule>
  </conditionalFormatting>
  <conditionalFormatting sqref="B101:B111">
    <cfRule type="expression" dxfId="36" priority="3510" stopIfTrue="1">
      <formula>OR(AND(LEFT($A101, 14)="sensor_stream ", LEN($A101)&gt;14, NOT(ISNUMBER(SEARCH(" ", $A101, 15)))), AND(LEFT($A101, 17)="sensor_statistic ", LEN($A101)&gt;17, NOT(ISNUMBER(SEARCH(" ", $A101, 18)))))</formula>
    </cfRule>
  </conditionalFormatting>
  <conditionalFormatting sqref="B93:C94 D93:E94">
    <cfRule type="expression" dxfId="0" priority="3511" stopIfTrue="1">
      <formula>$A93="begin group"</formula>
    </cfRule>
  </conditionalFormatting>
  <conditionalFormatting sqref="B93:C94 D93:E94">
    <cfRule type="expression" dxfId="1" priority="3512" stopIfTrue="1">
      <formula>$A93="begin repeat"</formula>
    </cfRule>
  </conditionalFormatting>
  <conditionalFormatting sqref="B93:E94">
    <cfRule type="expression" dxfId="31" priority="3513" stopIfTrue="1">
      <formula>$A93="enumerator"</formula>
    </cfRule>
  </conditionalFormatting>
  <conditionalFormatting sqref="B93:E94">
    <cfRule type="expression" dxfId="2" priority="3514" stopIfTrue="1">
      <formula>$A93="text"</formula>
    </cfRule>
  </conditionalFormatting>
  <conditionalFormatting sqref="B93:E94">
    <cfRule type="expression" dxfId="3" priority="3515" stopIfTrue="1">
      <formula>$A93="integer"</formula>
    </cfRule>
  </conditionalFormatting>
  <conditionalFormatting sqref="B93:E94">
    <cfRule type="expression" dxfId="4" priority="3516" stopIfTrue="1">
      <formula>$A93="decimal"</formula>
    </cfRule>
  </conditionalFormatting>
  <conditionalFormatting sqref="B93:C94 D93:E94">
    <cfRule type="expression" dxfId="5" priority="3517" stopIfTrue="1">
      <formula>OR(AND(LEFT($A93, 16)="select_multiple ", LEN($A93)&gt;16, NOT(ISNUMBER(SEARCH(" ", $A93, 17)))), AND(LEFT($A93, 11)="select_one ", LEN($A93)&gt;11, NOT(ISNUMBER(SEARCH(" ", $A93, 12)))))</formula>
    </cfRule>
  </conditionalFormatting>
  <conditionalFormatting sqref="B93:B94">
    <cfRule type="expression" dxfId="6" priority="3518" stopIfTrue="1">
      <formula>OR($A93="audio audit", $A93="text audit", $A93="speed violations count", $A93="speed violations list", $A93="speed violations audit")</formula>
    </cfRule>
  </conditionalFormatting>
  <conditionalFormatting sqref="B93:C94 D93:E94">
    <cfRule type="expression" dxfId="32" priority="3519" stopIfTrue="1">
      <formula>$A93="file"</formula>
    </cfRule>
  </conditionalFormatting>
  <conditionalFormatting sqref="B93:C94 D93:E94">
    <cfRule type="expression" dxfId="7" priority="3520" stopIfTrue="1">
      <formula>$A93="note"</formula>
    </cfRule>
  </conditionalFormatting>
  <conditionalFormatting sqref="B93:C94 D93:E94">
    <cfRule type="expression" dxfId="8" priority="3521" stopIfTrue="1">
      <formula>$A93="barcode"</formula>
    </cfRule>
  </conditionalFormatting>
  <conditionalFormatting sqref="B93:C94 D93:E94">
    <cfRule type="expression" dxfId="9" priority="3522" stopIfTrue="1">
      <formula>OR($A93="geopoint", $A93="geoshape", $A93="geotrace")</formula>
    </cfRule>
  </conditionalFormatting>
  <conditionalFormatting sqref="B93:B94">
    <cfRule type="expression" dxfId="10" priority="3523" stopIfTrue="1">
      <formula>OR($A93="calculate", $A93="calculate_here")</formula>
    </cfRule>
  </conditionalFormatting>
  <conditionalFormatting sqref="B93:C94 D93:E94">
    <cfRule type="expression" dxfId="11" priority="3524" stopIfTrue="1">
      <formula>OR($A93="date", $A93="datetime", $A93="time")</formula>
    </cfRule>
  </conditionalFormatting>
  <conditionalFormatting sqref="B93:C94 D93:E94">
    <cfRule type="expression" dxfId="12" priority="3525" stopIfTrue="1">
      <formula>$A93="image"</formula>
    </cfRule>
  </conditionalFormatting>
  <conditionalFormatting sqref="B93:C94 D93:E94">
    <cfRule type="expression" dxfId="13" priority="3526" stopIfTrue="1">
      <formula>OR($A93="audio", $A93="video")</formula>
    </cfRule>
  </conditionalFormatting>
  <conditionalFormatting sqref="B93:E94">
    <cfRule type="expression" dxfId="33" priority="3527" stopIfTrue="1">
      <formula>$A93="file"</formula>
    </cfRule>
  </conditionalFormatting>
  <conditionalFormatting sqref="B93:E94">
    <cfRule type="expression" dxfId="34" priority="3528" stopIfTrue="1">
      <formula>$A93="enumerator"</formula>
    </cfRule>
  </conditionalFormatting>
  <conditionalFormatting sqref="B93:E94">
    <cfRule type="expression" dxfId="35" priority="3529" stopIfTrue="1">
      <formula>OR(AND(LEFT($A93, 14)="sensor_stream ", LEN($A93)&gt;14, NOT(ISNUMBER(SEARCH(" ", $A93, 15)))), AND(LEFT($A93, 17)="sensor_statistic ", LEN($A93)&gt;17, NOT(ISNUMBER(SEARCH(" ", $A93, 18)))))</formula>
    </cfRule>
  </conditionalFormatting>
  <conditionalFormatting sqref="B93:E94">
    <cfRule type="expression" dxfId="14" priority="3530" stopIfTrue="1">
      <formula>$A93="comments"</formula>
    </cfRule>
  </conditionalFormatting>
  <conditionalFormatting sqref="B93:E94">
    <cfRule type="expression" dxfId="15" priority="3531" stopIfTrue="1">
      <formula>OR($A93="audio", $A93="video")</formula>
    </cfRule>
  </conditionalFormatting>
  <conditionalFormatting sqref="B93:E94">
    <cfRule type="expression" dxfId="16" priority="3532" stopIfTrue="1">
      <formula>$A93="image"</formula>
    </cfRule>
  </conditionalFormatting>
  <conditionalFormatting sqref="B93:E94">
    <cfRule type="expression" dxfId="17" priority="3533" stopIfTrue="1">
      <formula>OR($A93="date", $A93="datetime", $A93="time")</formula>
    </cfRule>
  </conditionalFormatting>
  <conditionalFormatting sqref="B93:E94">
    <cfRule type="expression" dxfId="18" priority="3534" stopIfTrue="1">
      <formula>OR($A93="calculate", $A93="calculate_here")</formula>
    </cfRule>
  </conditionalFormatting>
  <conditionalFormatting sqref="B93:E94">
    <cfRule type="expression" dxfId="19" priority="3535" stopIfTrue="1">
      <formula>$A93="note"</formula>
    </cfRule>
  </conditionalFormatting>
  <conditionalFormatting sqref="B93:E94">
    <cfRule type="expression" dxfId="20" priority="3536" stopIfTrue="1">
      <formula>$A93="barcode"</formula>
    </cfRule>
  </conditionalFormatting>
  <conditionalFormatting sqref="B93:E94">
    <cfRule type="expression" dxfId="21" priority="3537" stopIfTrue="1">
      <formula>OR($A93="geopoint", $A93="geoshape", $A93="geotrace")</formula>
    </cfRule>
  </conditionalFormatting>
  <conditionalFormatting sqref="B93:E94">
    <cfRule type="expression" dxfId="22" priority="3538" stopIfTrue="1">
      <formula>OR($A93="audio audit", $A93="text audit", $A93="speed violations count", $A93="speed violations list", $A93="speed violations audit")</formula>
    </cfRule>
  </conditionalFormatting>
  <conditionalFormatting sqref="B93:E94">
    <cfRule type="expression" dxfId="23" priority="3539" stopIfTrue="1">
      <formula>OR($A93="username", $A93="phonenumber", $A93="start", $A93="end", $A93="deviceid", $A93="subscriberid", $A93="simserial", $A93="caseid")</formula>
    </cfRule>
  </conditionalFormatting>
  <conditionalFormatting sqref="B93:E94">
    <cfRule type="expression" dxfId="24" priority="3540" stopIfTrue="1">
      <formula>OR(AND(LEFT($A93, 16)="select_multiple ", LEN($A93)&gt;16, NOT(ISNUMBER(SEARCH(" ", $A93, 17)))), AND(LEFT($A93, 11)="select_one ", LEN($A93)&gt;11, NOT(ISNUMBER(SEARCH(" ", $A93, 12)))))</formula>
    </cfRule>
  </conditionalFormatting>
  <conditionalFormatting sqref="B93:E94">
    <cfRule type="expression" dxfId="25" priority="3541" stopIfTrue="1">
      <formula>$A93="decimal"</formula>
    </cfRule>
  </conditionalFormatting>
  <conditionalFormatting sqref="B93:E94">
    <cfRule type="expression" dxfId="26" priority="3542" stopIfTrue="1">
      <formula>$A93="integer"</formula>
    </cfRule>
  </conditionalFormatting>
  <conditionalFormatting sqref="B93:E94">
    <cfRule type="expression" dxfId="27" priority="3543" stopIfTrue="1">
      <formula>$A93="text"</formula>
    </cfRule>
  </conditionalFormatting>
  <conditionalFormatting sqref="B93:E94">
    <cfRule type="expression" dxfId="28" priority="3544" stopIfTrue="1">
      <formula>$A93="end repeat"</formula>
    </cfRule>
  </conditionalFormatting>
  <conditionalFormatting sqref="B93:E94">
    <cfRule type="expression" dxfId="28" priority="3545" stopIfTrue="1">
      <formula>$A93="begin repeat"</formula>
    </cfRule>
  </conditionalFormatting>
  <conditionalFormatting sqref="B93:E94">
    <cfRule type="expression" dxfId="29" priority="3546" stopIfTrue="1">
      <formula>$A93="end group"</formula>
    </cfRule>
  </conditionalFormatting>
  <conditionalFormatting sqref="B93:E94">
    <cfRule type="expression" dxfId="29" priority="3547" stopIfTrue="1">
      <formula>$A93="begin group"</formula>
    </cfRule>
  </conditionalFormatting>
  <conditionalFormatting sqref="B93:B94">
    <cfRule type="expression" dxfId="30" priority="3548" stopIfTrue="1">
      <formula>$A93="comments"</formula>
    </cfRule>
  </conditionalFormatting>
  <conditionalFormatting sqref="B93:B94">
    <cfRule type="expression" dxfId="36" priority="3549" stopIfTrue="1">
      <formula>OR(AND(LEFT($A93, 14)="sensor_stream ", LEN($A93)&gt;14, NOT(ISNUMBER(SEARCH(" ", $A93, 15)))), AND(LEFT($A93, 17)="sensor_statistic ", LEN($A93)&gt;17, NOT(ISNUMBER(SEARCH(" ", $A93, 18)))))</formula>
    </cfRule>
  </conditionalFormatting>
  <conditionalFormatting sqref="B88:C90 D88:E90">
    <cfRule type="expression" dxfId="0" priority="3550" stopIfTrue="1">
      <formula>$A88="begin group"</formula>
    </cfRule>
  </conditionalFormatting>
  <conditionalFormatting sqref="B88:C90 D88:E90">
    <cfRule type="expression" dxfId="1" priority="3551" stopIfTrue="1">
      <formula>$A88="begin repeat"</formula>
    </cfRule>
  </conditionalFormatting>
  <conditionalFormatting sqref="B88:E90">
    <cfRule type="expression" dxfId="31" priority="3552" stopIfTrue="1">
      <formula>$A88="enumerator"</formula>
    </cfRule>
  </conditionalFormatting>
  <conditionalFormatting sqref="B88:E90">
    <cfRule type="expression" dxfId="2" priority="3553" stopIfTrue="1">
      <formula>$A88="text"</formula>
    </cfRule>
  </conditionalFormatting>
  <conditionalFormatting sqref="B88:E90">
    <cfRule type="expression" dxfId="3" priority="3554" stopIfTrue="1">
      <formula>$A88="integer"</formula>
    </cfRule>
  </conditionalFormatting>
  <conditionalFormatting sqref="B88:E90">
    <cfRule type="expression" dxfId="4" priority="3555" stopIfTrue="1">
      <formula>$A88="decimal"</formula>
    </cfRule>
  </conditionalFormatting>
  <conditionalFormatting sqref="B88:C90 D88:E90">
    <cfRule type="expression" dxfId="5" priority="3556" stopIfTrue="1">
      <formula>OR(AND(LEFT($A88, 16)="select_multiple ", LEN($A88)&gt;16, NOT(ISNUMBER(SEARCH(" ", $A88, 17)))), AND(LEFT($A88, 11)="select_one ", LEN($A88)&gt;11, NOT(ISNUMBER(SEARCH(" ", $A88, 12)))))</formula>
    </cfRule>
  </conditionalFormatting>
  <conditionalFormatting sqref="B88:B90">
    <cfRule type="expression" dxfId="6" priority="3557" stopIfTrue="1">
      <formula>OR($A88="audio audit", $A88="text audit", $A88="speed violations count", $A88="speed violations list", $A88="speed violations audit")</formula>
    </cfRule>
  </conditionalFormatting>
  <conditionalFormatting sqref="B88:C90 D88:E90">
    <cfRule type="expression" dxfId="32" priority="3558" stopIfTrue="1">
      <formula>$A88="file"</formula>
    </cfRule>
  </conditionalFormatting>
  <conditionalFormatting sqref="B88:C90 D88:E90">
    <cfRule type="expression" dxfId="7" priority="3559" stopIfTrue="1">
      <formula>$A88="note"</formula>
    </cfRule>
  </conditionalFormatting>
  <conditionalFormatting sqref="B88:C90 D88:E90">
    <cfRule type="expression" dxfId="8" priority="3560" stopIfTrue="1">
      <formula>$A88="barcode"</formula>
    </cfRule>
  </conditionalFormatting>
  <conditionalFormatting sqref="B88:C90 D88:E90">
    <cfRule type="expression" dxfId="9" priority="3561" stopIfTrue="1">
      <formula>OR($A88="geopoint", $A88="geoshape", $A88="geotrace")</formula>
    </cfRule>
  </conditionalFormatting>
  <conditionalFormatting sqref="B88:B90">
    <cfRule type="expression" dxfId="10" priority="3562" stopIfTrue="1">
      <formula>OR($A88="calculate", $A88="calculate_here")</formula>
    </cfRule>
  </conditionalFormatting>
  <conditionalFormatting sqref="B88:C90 D88:E90">
    <cfRule type="expression" dxfId="11" priority="3563" stopIfTrue="1">
      <formula>OR($A88="date", $A88="datetime", $A88="time")</formula>
    </cfRule>
  </conditionalFormatting>
  <conditionalFormatting sqref="B88:C90 D88:E90">
    <cfRule type="expression" dxfId="12" priority="3564" stopIfTrue="1">
      <formula>$A88="image"</formula>
    </cfRule>
  </conditionalFormatting>
  <conditionalFormatting sqref="B88:C90 D88:E90">
    <cfRule type="expression" dxfId="13" priority="3565" stopIfTrue="1">
      <formula>OR($A88="audio", $A88="video")</formula>
    </cfRule>
  </conditionalFormatting>
  <conditionalFormatting sqref="B88:E90">
    <cfRule type="expression" dxfId="33" priority="3566" stopIfTrue="1">
      <formula>$A88="file"</formula>
    </cfRule>
  </conditionalFormatting>
  <conditionalFormatting sqref="B88:E90">
    <cfRule type="expression" dxfId="34" priority="3567" stopIfTrue="1">
      <formula>$A88="enumerator"</formula>
    </cfRule>
  </conditionalFormatting>
  <conditionalFormatting sqref="B88:E90">
    <cfRule type="expression" dxfId="35" priority="3568" stopIfTrue="1">
      <formula>OR(AND(LEFT($A88, 14)="sensor_stream ", LEN($A88)&gt;14, NOT(ISNUMBER(SEARCH(" ", $A88, 15)))), AND(LEFT($A88, 17)="sensor_statistic ", LEN($A88)&gt;17, NOT(ISNUMBER(SEARCH(" ", $A88, 18)))))</formula>
    </cfRule>
  </conditionalFormatting>
  <conditionalFormatting sqref="B88:E90">
    <cfRule type="expression" dxfId="14" priority="3569" stopIfTrue="1">
      <formula>$A88="comments"</formula>
    </cfRule>
  </conditionalFormatting>
  <conditionalFormatting sqref="B88:E90">
    <cfRule type="expression" dxfId="15" priority="3570" stopIfTrue="1">
      <formula>OR($A88="audio", $A88="video")</formula>
    </cfRule>
  </conditionalFormatting>
  <conditionalFormatting sqref="B88:E90">
    <cfRule type="expression" dxfId="16" priority="3571" stopIfTrue="1">
      <formula>$A88="image"</formula>
    </cfRule>
  </conditionalFormatting>
  <conditionalFormatting sqref="B88:E90">
    <cfRule type="expression" dxfId="17" priority="3572" stopIfTrue="1">
      <formula>OR($A88="date", $A88="datetime", $A88="time")</formula>
    </cfRule>
  </conditionalFormatting>
  <conditionalFormatting sqref="B88:E90">
    <cfRule type="expression" dxfId="18" priority="3573" stopIfTrue="1">
      <formula>OR($A88="calculate", $A88="calculate_here")</formula>
    </cfRule>
  </conditionalFormatting>
  <conditionalFormatting sqref="B88:E90">
    <cfRule type="expression" dxfId="19" priority="3574" stopIfTrue="1">
      <formula>$A88="note"</formula>
    </cfRule>
  </conditionalFormatting>
  <conditionalFormatting sqref="B88:E90">
    <cfRule type="expression" dxfId="20" priority="3575" stopIfTrue="1">
      <formula>$A88="barcode"</formula>
    </cfRule>
  </conditionalFormatting>
  <conditionalFormatting sqref="B88:E90">
    <cfRule type="expression" dxfId="21" priority="3576" stopIfTrue="1">
      <formula>OR($A88="geopoint", $A88="geoshape", $A88="geotrace")</formula>
    </cfRule>
  </conditionalFormatting>
  <conditionalFormatting sqref="B88:E90">
    <cfRule type="expression" dxfId="22" priority="3577" stopIfTrue="1">
      <formula>OR($A88="audio audit", $A88="text audit", $A88="speed violations count", $A88="speed violations list", $A88="speed violations audit")</formula>
    </cfRule>
  </conditionalFormatting>
  <conditionalFormatting sqref="B88:E90">
    <cfRule type="expression" dxfId="23" priority="3578" stopIfTrue="1">
      <formula>OR($A88="username", $A88="phonenumber", $A88="start", $A88="end", $A88="deviceid", $A88="subscriberid", $A88="simserial", $A88="caseid")</formula>
    </cfRule>
  </conditionalFormatting>
  <conditionalFormatting sqref="B88:E90">
    <cfRule type="expression" dxfId="24" priority="3579" stopIfTrue="1">
      <formula>OR(AND(LEFT($A88, 16)="select_multiple ", LEN($A88)&gt;16, NOT(ISNUMBER(SEARCH(" ", $A88, 17)))), AND(LEFT($A88, 11)="select_one ", LEN($A88)&gt;11, NOT(ISNUMBER(SEARCH(" ", $A88, 12)))))</formula>
    </cfRule>
  </conditionalFormatting>
  <conditionalFormatting sqref="B88:E90">
    <cfRule type="expression" dxfId="25" priority="3580" stopIfTrue="1">
      <formula>$A88="decimal"</formula>
    </cfRule>
  </conditionalFormatting>
  <conditionalFormatting sqref="B88:E90">
    <cfRule type="expression" dxfId="26" priority="3581" stopIfTrue="1">
      <formula>$A88="integer"</formula>
    </cfRule>
  </conditionalFormatting>
  <conditionalFormatting sqref="B88:E90">
    <cfRule type="expression" dxfId="27" priority="3582" stopIfTrue="1">
      <formula>$A88="text"</formula>
    </cfRule>
  </conditionalFormatting>
  <conditionalFormatting sqref="B88:E90">
    <cfRule type="expression" dxfId="28" priority="3583" stopIfTrue="1">
      <formula>$A88="end repeat"</formula>
    </cfRule>
  </conditionalFormatting>
  <conditionalFormatting sqref="B88:E90">
    <cfRule type="expression" dxfId="28" priority="3584" stopIfTrue="1">
      <formula>$A88="begin repeat"</formula>
    </cfRule>
  </conditionalFormatting>
  <conditionalFormatting sqref="B88:E90">
    <cfRule type="expression" dxfId="29" priority="3585" stopIfTrue="1">
      <formula>$A88="end group"</formula>
    </cfRule>
  </conditionalFormatting>
  <conditionalFormatting sqref="B88:E90">
    <cfRule type="expression" dxfId="29" priority="3586" stopIfTrue="1">
      <formula>$A88="begin group"</formula>
    </cfRule>
  </conditionalFormatting>
  <conditionalFormatting sqref="B88:B90">
    <cfRule type="expression" dxfId="30" priority="3587" stopIfTrue="1">
      <formula>$A88="comments"</formula>
    </cfRule>
  </conditionalFormatting>
  <conditionalFormatting sqref="B88:B90">
    <cfRule type="expression" dxfId="36" priority="3588" stopIfTrue="1">
      <formula>OR(AND(LEFT($A88, 14)="sensor_stream ", LEN($A88)&gt;14, NOT(ISNUMBER(SEARCH(" ", $A88, 15)))), AND(LEFT($A88, 17)="sensor_statistic ", LEN($A88)&gt;17, NOT(ISNUMBER(SEARCH(" ", $A88, 18)))))</formula>
    </cfRule>
  </conditionalFormatting>
  <conditionalFormatting sqref="B68:C84 D68:E84">
    <cfRule type="expression" dxfId="0" priority="3589" stopIfTrue="1">
      <formula>$A68="begin group"</formula>
    </cfRule>
  </conditionalFormatting>
  <conditionalFormatting sqref="B68:C84 D68:E84">
    <cfRule type="expression" dxfId="1" priority="3590" stopIfTrue="1">
      <formula>$A68="begin repeat"</formula>
    </cfRule>
  </conditionalFormatting>
  <conditionalFormatting sqref="B68:E84">
    <cfRule type="expression" dxfId="31" priority="3591" stopIfTrue="1">
      <formula>$A68="enumerator"</formula>
    </cfRule>
  </conditionalFormatting>
  <conditionalFormatting sqref="B68:E84">
    <cfRule type="expression" dxfId="2" priority="3592" stopIfTrue="1">
      <formula>$A68="text"</formula>
    </cfRule>
  </conditionalFormatting>
  <conditionalFormatting sqref="B68:E84">
    <cfRule type="expression" dxfId="3" priority="3593" stopIfTrue="1">
      <formula>$A68="integer"</formula>
    </cfRule>
  </conditionalFormatting>
  <conditionalFormatting sqref="B68:E84">
    <cfRule type="expression" dxfId="4" priority="3594" stopIfTrue="1">
      <formula>$A68="decimal"</formula>
    </cfRule>
  </conditionalFormatting>
  <conditionalFormatting sqref="B68:C84 D68:E84">
    <cfRule type="expression" dxfId="5" priority="3595" stopIfTrue="1">
      <formula>OR(AND(LEFT($A68, 16)="select_multiple ", LEN($A68)&gt;16, NOT(ISNUMBER(SEARCH(" ", $A68, 17)))), AND(LEFT($A68, 11)="select_one ", LEN($A68)&gt;11, NOT(ISNUMBER(SEARCH(" ", $A68, 12)))))</formula>
    </cfRule>
  </conditionalFormatting>
  <conditionalFormatting sqref="B68:B84">
    <cfRule type="expression" dxfId="6" priority="3596" stopIfTrue="1">
      <formula>OR($A68="audio audit", $A68="text audit", $A68="speed violations count", $A68="speed violations list", $A68="speed violations audit")</formula>
    </cfRule>
  </conditionalFormatting>
  <conditionalFormatting sqref="B68:C84 D68:E84">
    <cfRule type="expression" dxfId="32" priority="3597" stopIfTrue="1">
      <formula>$A68="file"</formula>
    </cfRule>
  </conditionalFormatting>
  <conditionalFormatting sqref="B68:C84 D68:E84">
    <cfRule type="expression" dxfId="7" priority="3598" stopIfTrue="1">
      <formula>$A68="note"</formula>
    </cfRule>
  </conditionalFormatting>
  <conditionalFormatting sqref="B68:C84 D68:E84">
    <cfRule type="expression" dxfId="8" priority="3599" stopIfTrue="1">
      <formula>$A68="barcode"</formula>
    </cfRule>
  </conditionalFormatting>
  <conditionalFormatting sqref="B68:C84 D68:E84">
    <cfRule type="expression" dxfId="9" priority="3600" stopIfTrue="1">
      <formula>OR($A68="geopoint", $A68="geoshape", $A68="geotrace")</formula>
    </cfRule>
  </conditionalFormatting>
  <conditionalFormatting sqref="B68:B84">
    <cfRule type="expression" dxfId="10" priority="3601" stopIfTrue="1">
      <formula>OR($A68="calculate", $A68="calculate_here")</formula>
    </cfRule>
  </conditionalFormatting>
  <conditionalFormatting sqref="B68:C84 D68:E84">
    <cfRule type="expression" dxfId="11" priority="3602" stopIfTrue="1">
      <formula>OR($A68="date", $A68="datetime", $A68="time")</formula>
    </cfRule>
  </conditionalFormatting>
  <conditionalFormatting sqref="B68:C84 D68:E84">
    <cfRule type="expression" dxfId="12" priority="3603" stopIfTrue="1">
      <formula>$A68="image"</formula>
    </cfRule>
  </conditionalFormatting>
  <conditionalFormatting sqref="B68:C84 D68:E84">
    <cfRule type="expression" dxfId="13" priority="3604" stopIfTrue="1">
      <formula>OR($A68="audio", $A68="video")</formula>
    </cfRule>
  </conditionalFormatting>
  <conditionalFormatting sqref="B68:E84">
    <cfRule type="expression" dxfId="33" priority="3605" stopIfTrue="1">
      <formula>$A68="file"</formula>
    </cfRule>
  </conditionalFormatting>
  <conditionalFormatting sqref="B68:E84">
    <cfRule type="expression" dxfId="34" priority="3606" stopIfTrue="1">
      <formula>$A68="enumerator"</formula>
    </cfRule>
  </conditionalFormatting>
  <conditionalFormatting sqref="B68:E84">
    <cfRule type="expression" dxfId="35" priority="3607" stopIfTrue="1">
      <formula>OR(AND(LEFT($A68, 14)="sensor_stream ", LEN($A68)&gt;14, NOT(ISNUMBER(SEARCH(" ", $A68, 15)))), AND(LEFT($A68, 17)="sensor_statistic ", LEN($A68)&gt;17, NOT(ISNUMBER(SEARCH(" ", $A68, 18)))))</formula>
    </cfRule>
  </conditionalFormatting>
  <conditionalFormatting sqref="B68:E84">
    <cfRule type="expression" dxfId="14" priority="3608" stopIfTrue="1">
      <formula>$A68="comments"</formula>
    </cfRule>
  </conditionalFormatting>
  <conditionalFormatting sqref="B68:E84">
    <cfRule type="expression" dxfId="15" priority="3609" stopIfTrue="1">
      <formula>OR($A68="audio", $A68="video")</formula>
    </cfRule>
  </conditionalFormatting>
  <conditionalFormatting sqref="B68:E84">
    <cfRule type="expression" dxfId="16" priority="3610" stopIfTrue="1">
      <formula>$A68="image"</formula>
    </cfRule>
  </conditionalFormatting>
  <conditionalFormatting sqref="B68:E84">
    <cfRule type="expression" dxfId="17" priority="3611" stopIfTrue="1">
      <formula>OR($A68="date", $A68="datetime", $A68="time")</formula>
    </cfRule>
  </conditionalFormatting>
  <conditionalFormatting sqref="B68:E84">
    <cfRule type="expression" dxfId="18" priority="3612" stopIfTrue="1">
      <formula>OR($A68="calculate", $A68="calculate_here")</formula>
    </cfRule>
  </conditionalFormatting>
  <conditionalFormatting sqref="B68:E84">
    <cfRule type="expression" dxfId="19" priority="3613" stopIfTrue="1">
      <formula>$A68="note"</formula>
    </cfRule>
  </conditionalFormatting>
  <conditionalFormatting sqref="B68:E84">
    <cfRule type="expression" dxfId="20" priority="3614" stopIfTrue="1">
      <formula>$A68="barcode"</formula>
    </cfRule>
  </conditionalFormatting>
  <conditionalFormatting sqref="B68:E84">
    <cfRule type="expression" dxfId="21" priority="3615" stopIfTrue="1">
      <formula>OR($A68="geopoint", $A68="geoshape", $A68="geotrace")</formula>
    </cfRule>
  </conditionalFormatting>
  <conditionalFormatting sqref="B68:E84">
    <cfRule type="expression" dxfId="22" priority="3616" stopIfTrue="1">
      <formula>OR($A68="audio audit", $A68="text audit", $A68="speed violations count", $A68="speed violations list", $A68="speed violations audit")</formula>
    </cfRule>
  </conditionalFormatting>
  <conditionalFormatting sqref="B68:E84">
    <cfRule type="expression" dxfId="23" priority="3617" stopIfTrue="1">
      <formula>OR($A68="username", $A68="phonenumber", $A68="start", $A68="end", $A68="deviceid", $A68="subscriberid", $A68="simserial", $A68="caseid")</formula>
    </cfRule>
  </conditionalFormatting>
  <conditionalFormatting sqref="B68:E84">
    <cfRule type="expression" dxfId="24" priority="3618" stopIfTrue="1">
      <formula>OR(AND(LEFT($A68, 16)="select_multiple ", LEN($A68)&gt;16, NOT(ISNUMBER(SEARCH(" ", $A68, 17)))), AND(LEFT($A68, 11)="select_one ", LEN($A68)&gt;11, NOT(ISNUMBER(SEARCH(" ", $A68, 12)))))</formula>
    </cfRule>
  </conditionalFormatting>
  <conditionalFormatting sqref="B68:E84">
    <cfRule type="expression" dxfId="25" priority="3619" stopIfTrue="1">
      <formula>$A68="decimal"</formula>
    </cfRule>
  </conditionalFormatting>
  <conditionalFormatting sqref="B68:E84">
    <cfRule type="expression" dxfId="26" priority="3620" stopIfTrue="1">
      <formula>$A68="integer"</formula>
    </cfRule>
  </conditionalFormatting>
  <conditionalFormatting sqref="B68:E84">
    <cfRule type="expression" dxfId="27" priority="3621" stopIfTrue="1">
      <formula>$A68="text"</formula>
    </cfRule>
  </conditionalFormatting>
  <conditionalFormatting sqref="B68:E84">
    <cfRule type="expression" dxfId="28" priority="3622" stopIfTrue="1">
      <formula>$A68="end repeat"</formula>
    </cfRule>
  </conditionalFormatting>
  <conditionalFormatting sqref="B68:E84">
    <cfRule type="expression" dxfId="28" priority="3623" stopIfTrue="1">
      <formula>$A68="begin repeat"</formula>
    </cfRule>
  </conditionalFormatting>
  <conditionalFormatting sqref="B68:E84">
    <cfRule type="expression" dxfId="29" priority="3624" stopIfTrue="1">
      <formula>$A68="end group"</formula>
    </cfRule>
  </conditionalFormatting>
  <conditionalFormatting sqref="B68:E84">
    <cfRule type="expression" dxfId="29" priority="3625" stopIfTrue="1">
      <formula>$A68="begin group"</formula>
    </cfRule>
  </conditionalFormatting>
  <conditionalFormatting sqref="B68:B84">
    <cfRule type="expression" dxfId="30" priority="3626" stopIfTrue="1">
      <formula>$A68="comments"</formula>
    </cfRule>
  </conditionalFormatting>
  <conditionalFormatting sqref="B68:B84">
    <cfRule type="expression" dxfId="36" priority="3627" stopIfTrue="1">
      <formula>OR(AND(LEFT($A68, 14)="sensor_stream ", LEN($A68)&gt;14, NOT(ISNUMBER(SEARCH(" ", $A68, 15)))), AND(LEFT($A68, 17)="sensor_statistic ", LEN($A68)&gt;17, NOT(ISNUMBER(SEARCH(" ", $A68, 18)))))</formula>
    </cfRule>
  </conditionalFormatting>
  <conditionalFormatting sqref="B66:C66 D66:E66">
    <cfRule type="expression" dxfId="0" priority="3628" stopIfTrue="1">
      <formula>$A66="begin group"</formula>
    </cfRule>
  </conditionalFormatting>
  <conditionalFormatting sqref="B66:C66 D66:E66">
    <cfRule type="expression" dxfId="1" priority="3629" stopIfTrue="1">
      <formula>$A66="begin repeat"</formula>
    </cfRule>
  </conditionalFormatting>
  <conditionalFormatting sqref="B66:E66">
    <cfRule type="expression" dxfId="31" priority="3630" stopIfTrue="1">
      <formula>$A66="enumerator"</formula>
    </cfRule>
  </conditionalFormatting>
  <conditionalFormatting sqref="B66:E66">
    <cfRule type="expression" dxfId="2" priority="3631" stopIfTrue="1">
      <formula>$A66="text"</formula>
    </cfRule>
  </conditionalFormatting>
  <conditionalFormatting sqref="B66:E66">
    <cfRule type="expression" dxfId="3" priority="3632" stopIfTrue="1">
      <formula>$A66="integer"</formula>
    </cfRule>
  </conditionalFormatting>
  <conditionalFormatting sqref="B66:E66">
    <cfRule type="expression" dxfId="4" priority="3633" stopIfTrue="1">
      <formula>$A66="decimal"</formula>
    </cfRule>
  </conditionalFormatting>
  <conditionalFormatting sqref="B66:C66 D66:E66">
    <cfRule type="expression" dxfId="5" priority="3634" stopIfTrue="1">
      <formula>OR(AND(LEFT($A66, 16)="select_multiple ", LEN($A66)&gt;16, NOT(ISNUMBER(SEARCH(" ", $A66, 17)))), AND(LEFT($A66, 11)="select_one ", LEN($A66)&gt;11, NOT(ISNUMBER(SEARCH(" ", $A66, 12)))))</formula>
    </cfRule>
  </conditionalFormatting>
  <conditionalFormatting sqref="B66">
    <cfRule type="expression" dxfId="6" priority="3635" stopIfTrue="1">
      <formula>OR($A66="audio audit", $A66="text audit", $A66="speed violations count", $A66="speed violations list", $A66="speed violations audit")</formula>
    </cfRule>
  </conditionalFormatting>
  <conditionalFormatting sqref="B66:C66 D66:E66">
    <cfRule type="expression" dxfId="32" priority="3636" stopIfTrue="1">
      <formula>$A66="file"</formula>
    </cfRule>
  </conditionalFormatting>
  <conditionalFormatting sqref="B66:C66 D66:E66">
    <cfRule type="expression" dxfId="7" priority="3637" stopIfTrue="1">
      <formula>$A66="note"</formula>
    </cfRule>
  </conditionalFormatting>
  <conditionalFormatting sqref="B66:C66 D66:E66">
    <cfRule type="expression" dxfId="8" priority="3638" stopIfTrue="1">
      <formula>$A66="barcode"</formula>
    </cfRule>
  </conditionalFormatting>
  <conditionalFormatting sqref="B66:C66 D66:E66">
    <cfRule type="expression" dxfId="9" priority="3639" stopIfTrue="1">
      <formula>OR($A66="geopoint", $A66="geoshape", $A66="geotrace")</formula>
    </cfRule>
  </conditionalFormatting>
  <conditionalFormatting sqref="B66">
    <cfRule type="expression" dxfId="10" priority="3640" stopIfTrue="1">
      <formula>OR($A66="calculate", $A66="calculate_here")</formula>
    </cfRule>
  </conditionalFormatting>
  <conditionalFormatting sqref="B66:C66 D66:E66">
    <cfRule type="expression" dxfId="11" priority="3641" stopIfTrue="1">
      <formula>OR($A66="date", $A66="datetime", $A66="time")</formula>
    </cfRule>
  </conditionalFormatting>
  <conditionalFormatting sqref="B66:C66 D66:E66">
    <cfRule type="expression" dxfId="12" priority="3642" stopIfTrue="1">
      <formula>$A66="image"</formula>
    </cfRule>
  </conditionalFormatting>
  <conditionalFormatting sqref="B66:C66 D66:E66">
    <cfRule type="expression" dxfId="13" priority="3643" stopIfTrue="1">
      <formula>OR($A66="audio", $A66="video")</formula>
    </cfRule>
  </conditionalFormatting>
  <conditionalFormatting sqref="B66:E66">
    <cfRule type="expression" dxfId="33" priority="3644" stopIfTrue="1">
      <formula>$A66="file"</formula>
    </cfRule>
  </conditionalFormatting>
  <conditionalFormatting sqref="B66:E66">
    <cfRule type="expression" dxfId="34" priority="3645" stopIfTrue="1">
      <formula>$A66="enumerator"</formula>
    </cfRule>
  </conditionalFormatting>
  <conditionalFormatting sqref="B66:E66">
    <cfRule type="expression" dxfId="35" priority="3646" stopIfTrue="1">
      <formula>OR(AND(LEFT($A66, 14)="sensor_stream ", LEN($A66)&gt;14, NOT(ISNUMBER(SEARCH(" ", $A66, 15)))), AND(LEFT($A66, 17)="sensor_statistic ", LEN($A66)&gt;17, NOT(ISNUMBER(SEARCH(" ", $A66, 18)))))</formula>
    </cfRule>
  </conditionalFormatting>
  <conditionalFormatting sqref="B66:E66">
    <cfRule type="expression" dxfId="14" priority="3647" stopIfTrue="1">
      <formula>$A66="comments"</formula>
    </cfRule>
  </conditionalFormatting>
  <conditionalFormatting sqref="B66:E66">
    <cfRule type="expression" dxfId="15" priority="3648" stopIfTrue="1">
      <formula>OR($A66="audio", $A66="video")</formula>
    </cfRule>
  </conditionalFormatting>
  <conditionalFormatting sqref="B66:E66">
    <cfRule type="expression" dxfId="16" priority="3649" stopIfTrue="1">
      <formula>$A66="image"</formula>
    </cfRule>
  </conditionalFormatting>
  <conditionalFormatting sqref="B66:E66">
    <cfRule type="expression" dxfId="17" priority="3650" stopIfTrue="1">
      <formula>OR($A66="date", $A66="datetime", $A66="time")</formula>
    </cfRule>
  </conditionalFormatting>
  <conditionalFormatting sqref="B66:E66">
    <cfRule type="expression" dxfId="18" priority="3651" stopIfTrue="1">
      <formula>OR($A66="calculate", $A66="calculate_here")</formula>
    </cfRule>
  </conditionalFormatting>
  <conditionalFormatting sqref="B66:E66">
    <cfRule type="expression" dxfId="19" priority="3652" stopIfTrue="1">
      <formula>$A66="note"</formula>
    </cfRule>
  </conditionalFormatting>
  <conditionalFormatting sqref="B66:E66">
    <cfRule type="expression" dxfId="20" priority="3653" stopIfTrue="1">
      <formula>$A66="barcode"</formula>
    </cfRule>
  </conditionalFormatting>
  <conditionalFormatting sqref="B66:E66">
    <cfRule type="expression" dxfId="21" priority="3654" stopIfTrue="1">
      <formula>OR($A66="geopoint", $A66="geoshape", $A66="geotrace")</formula>
    </cfRule>
  </conditionalFormatting>
  <conditionalFormatting sqref="B66:E66">
    <cfRule type="expression" dxfId="22" priority="3655" stopIfTrue="1">
      <formula>OR($A66="audio audit", $A66="text audit", $A66="speed violations count", $A66="speed violations list", $A66="speed violations audit")</formula>
    </cfRule>
  </conditionalFormatting>
  <conditionalFormatting sqref="B66:E66">
    <cfRule type="expression" dxfId="23" priority="3656" stopIfTrue="1">
      <formula>OR($A66="username", $A66="phonenumber", $A66="start", $A66="end", $A66="deviceid", $A66="subscriberid", $A66="simserial", $A66="caseid")</formula>
    </cfRule>
  </conditionalFormatting>
  <conditionalFormatting sqref="B66:E66">
    <cfRule type="expression" dxfId="24" priority="3657" stopIfTrue="1">
      <formula>OR(AND(LEFT($A66, 16)="select_multiple ", LEN($A66)&gt;16, NOT(ISNUMBER(SEARCH(" ", $A66, 17)))), AND(LEFT($A66, 11)="select_one ", LEN($A66)&gt;11, NOT(ISNUMBER(SEARCH(" ", $A66, 12)))))</formula>
    </cfRule>
  </conditionalFormatting>
  <conditionalFormatting sqref="B66:E66">
    <cfRule type="expression" dxfId="25" priority="3658" stopIfTrue="1">
      <formula>$A66="decimal"</formula>
    </cfRule>
  </conditionalFormatting>
  <conditionalFormatting sqref="B66:E66">
    <cfRule type="expression" dxfId="26" priority="3659" stopIfTrue="1">
      <formula>$A66="integer"</formula>
    </cfRule>
  </conditionalFormatting>
  <conditionalFormatting sqref="B66:E66">
    <cfRule type="expression" dxfId="27" priority="3660" stopIfTrue="1">
      <formula>$A66="text"</formula>
    </cfRule>
  </conditionalFormatting>
  <conditionalFormatting sqref="B66:E66">
    <cfRule type="expression" dxfId="28" priority="3661" stopIfTrue="1">
      <formula>$A66="end repeat"</formula>
    </cfRule>
  </conditionalFormatting>
  <conditionalFormatting sqref="B66:E66">
    <cfRule type="expression" dxfId="28" priority="3662" stopIfTrue="1">
      <formula>$A66="begin repeat"</formula>
    </cfRule>
  </conditionalFormatting>
  <conditionalFormatting sqref="B66:E66">
    <cfRule type="expression" dxfId="29" priority="3663" stopIfTrue="1">
      <formula>$A66="end group"</formula>
    </cfRule>
  </conditionalFormatting>
  <conditionalFormatting sqref="B66:E66">
    <cfRule type="expression" dxfId="29" priority="3664" stopIfTrue="1">
      <formula>$A66="begin group"</formula>
    </cfRule>
  </conditionalFormatting>
  <conditionalFormatting sqref="B66">
    <cfRule type="expression" dxfId="30" priority="3665" stopIfTrue="1">
      <formula>$A66="comments"</formula>
    </cfRule>
  </conditionalFormatting>
  <conditionalFormatting sqref="B66">
    <cfRule type="expression" dxfId="36" priority="3666" stopIfTrue="1">
      <formula>OR(AND(LEFT($A66, 14)="sensor_stream ", LEN($A66)&gt;14, NOT(ISNUMBER(SEARCH(" ", $A66, 15)))), AND(LEFT($A66, 17)="sensor_statistic ", LEN($A66)&gt;17, NOT(ISNUMBER(SEARCH(" ", $A66, 18)))))</formula>
    </cfRule>
  </conditionalFormatting>
  <conditionalFormatting sqref="B58:C58 D58:E58">
    <cfRule type="expression" dxfId="0" priority="3667" stopIfTrue="1">
      <formula>$A58="begin group"</formula>
    </cfRule>
  </conditionalFormatting>
  <conditionalFormatting sqref="B58:C58 D58:E58">
    <cfRule type="expression" dxfId="1" priority="3668" stopIfTrue="1">
      <formula>$A58="begin repeat"</formula>
    </cfRule>
  </conditionalFormatting>
  <conditionalFormatting sqref="B58:E58">
    <cfRule type="expression" dxfId="31" priority="3669" stopIfTrue="1">
      <formula>$A58="enumerator"</formula>
    </cfRule>
  </conditionalFormatting>
  <conditionalFormatting sqref="B58:E58">
    <cfRule type="expression" dxfId="2" priority="3670" stopIfTrue="1">
      <formula>$A58="text"</formula>
    </cfRule>
  </conditionalFormatting>
  <conditionalFormatting sqref="B58:E58">
    <cfRule type="expression" dxfId="3" priority="3671" stopIfTrue="1">
      <formula>$A58="integer"</formula>
    </cfRule>
  </conditionalFormatting>
  <conditionalFormatting sqref="B58:E58">
    <cfRule type="expression" dxfId="4" priority="3672" stopIfTrue="1">
      <formula>$A58="decimal"</formula>
    </cfRule>
  </conditionalFormatting>
  <conditionalFormatting sqref="B58:C58 D58:E58">
    <cfRule type="expression" dxfId="5" priority="3673" stopIfTrue="1">
      <formula>OR(AND(LEFT($A58, 16)="select_multiple ", LEN($A58)&gt;16, NOT(ISNUMBER(SEARCH(" ", $A58, 17)))), AND(LEFT($A58, 11)="select_one ", LEN($A58)&gt;11, NOT(ISNUMBER(SEARCH(" ", $A58, 12)))))</formula>
    </cfRule>
  </conditionalFormatting>
  <conditionalFormatting sqref="B58">
    <cfRule type="expression" dxfId="6" priority="3674" stopIfTrue="1">
      <formula>OR($A58="audio audit", $A58="text audit", $A58="speed violations count", $A58="speed violations list", $A58="speed violations audit")</formula>
    </cfRule>
  </conditionalFormatting>
  <conditionalFormatting sqref="B58:C58 D58:E58">
    <cfRule type="expression" dxfId="32" priority="3675" stopIfTrue="1">
      <formula>$A58="file"</formula>
    </cfRule>
  </conditionalFormatting>
  <conditionalFormatting sqref="B58:C58 D58:E58">
    <cfRule type="expression" dxfId="7" priority="3676" stopIfTrue="1">
      <formula>$A58="note"</formula>
    </cfRule>
  </conditionalFormatting>
  <conditionalFormatting sqref="B58:C58 D58:E58">
    <cfRule type="expression" dxfId="8" priority="3677" stopIfTrue="1">
      <formula>$A58="barcode"</formula>
    </cfRule>
  </conditionalFormatting>
  <conditionalFormatting sqref="B58:C58 D58:E58">
    <cfRule type="expression" dxfId="9" priority="3678" stopIfTrue="1">
      <formula>OR($A58="geopoint", $A58="geoshape", $A58="geotrace")</formula>
    </cfRule>
  </conditionalFormatting>
  <conditionalFormatting sqref="B58">
    <cfRule type="expression" dxfId="10" priority="3679" stopIfTrue="1">
      <formula>OR($A58="calculate", $A58="calculate_here")</formula>
    </cfRule>
  </conditionalFormatting>
  <conditionalFormatting sqref="B58:C58 D58:E58">
    <cfRule type="expression" dxfId="11" priority="3680" stopIfTrue="1">
      <formula>OR($A58="date", $A58="datetime", $A58="time")</formula>
    </cfRule>
  </conditionalFormatting>
  <conditionalFormatting sqref="B58:C58 D58:E58">
    <cfRule type="expression" dxfId="12" priority="3681" stopIfTrue="1">
      <formula>$A58="image"</formula>
    </cfRule>
  </conditionalFormatting>
  <conditionalFormatting sqref="B58:C58 D58:E58">
    <cfRule type="expression" dxfId="13" priority="3682" stopIfTrue="1">
      <formula>OR($A58="audio", $A58="video")</formula>
    </cfRule>
  </conditionalFormatting>
  <conditionalFormatting sqref="B58:E58">
    <cfRule type="expression" dxfId="33" priority="3683" stopIfTrue="1">
      <formula>$A58="file"</formula>
    </cfRule>
  </conditionalFormatting>
  <conditionalFormatting sqref="B58:E58">
    <cfRule type="expression" dxfId="34" priority="3684" stopIfTrue="1">
      <formula>$A58="enumerator"</formula>
    </cfRule>
  </conditionalFormatting>
  <conditionalFormatting sqref="B58:E58">
    <cfRule type="expression" dxfId="35" priority="3685" stopIfTrue="1">
      <formula>OR(AND(LEFT($A58, 14)="sensor_stream ", LEN($A58)&gt;14, NOT(ISNUMBER(SEARCH(" ", $A58, 15)))), AND(LEFT($A58, 17)="sensor_statistic ", LEN($A58)&gt;17, NOT(ISNUMBER(SEARCH(" ", $A58, 18)))))</formula>
    </cfRule>
  </conditionalFormatting>
  <conditionalFormatting sqref="B58:E58">
    <cfRule type="expression" dxfId="14" priority="3686" stopIfTrue="1">
      <formula>$A58="comments"</formula>
    </cfRule>
  </conditionalFormatting>
  <conditionalFormatting sqref="B58:E58">
    <cfRule type="expression" dxfId="15" priority="3687" stopIfTrue="1">
      <formula>OR($A58="audio", $A58="video")</formula>
    </cfRule>
  </conditionalFormatting>
  <conditionalFormatting sqref="B58:E58">
    <cfRule type="expression" dxfId="16" priority="3688" stopIfTrue="1">
      <formula>$A58="image"</formula>
    </cfRule>
  </conditionalFormatting>
  <conditionalFormatting sqref="B58:E58">
    <cfRule type="expression" dxfId="17" priority="3689" stopIfTrue="1">
      <formula>OR($A58="date", $A58="datetime", $A58="time")</formula>
    </cfRule>
  </conditionalFormatting>
  <conditionalFormatting sqref="B58:E58">
    <cfRule type="expression" dxfId="18" priority="3690" stopIfTrue="1">
      <formula>OR($A58="calculate", $A58="calculate_here")</formula>
    </cfRule>
  </conditionalFormatting>
  <conditionalFormatting sqref="B58:E58">
    <cfRule type="expression" dxfId="19" priority="3691" stopIfTrue="1">
      <formula>$A58="note"</formula>
    </cfRule>
  </conditionalFormatting>
  <conditionalFormatting sqref="B58:E58">
    <cfRule type="expression" dxfId="20" priority="3692" stopIfTrue="1">
      <formula>$A58="barcode"</formula>
    </cfRule>
  </conditionalFormatting>
  <conditionalFormatting sqref="B58:E58">
    <cfRule type="expression" dxfId="21" priority="3693" stopIfTrue="1">
      <formula>OR($A58="geopoint", $A58="geoshape", $A58="geotrace")</formula>
    </cfRule>
  </conditionalFormatting>
  <conditionalFormatting sqref="B58:E58">
    <cfRule type="expression" dxfId="22" priority="3694" stopIfTrue="1">
      <formula>OR($A58="audio audit", $A58="text audit", $A58="speed violations count", $A58="speed violations list", $A58="speed violations audit")</formula>
    </cfRule>
  </conditionalFormatting>
  <conditionalFormatting sqref="B58:E58">
    <cfRule type="expression" dxfId="23" priority="3695" stopIfTrue="1">
      <formula>OR($A58="username", $A58="phonenumber", $A58="start", $A58="end", $A58="deviceid", $A58="subscriberid", $A58="simserial", $A58="caseid")</formula>
    </cfRule>
  </conditionalFormatting>
  <conditionalFormatting sqref="B58:E58">
    <cfRule type="expression" dxfId="24" priority="3696" stopIfTrue="1">
      <formula>OR(AND(LEFT($A58, 16)="select_multiple ", LEN($A58)&gt;16, NOT(ISNUMBER(SEARCH(" ", $A58, 17)))), AND(LEFT($A58, 11)="select_one ", LEN($A58)&gt;11, NOT(ISNUMBER(SEARCH(" ", $A58, 12)))))</formula>
    </cfRule>
  </conditionalFormatting>
  <conditionalFormatting sqref="B58:E58">
    <cfRule type="expression" dxfId="25" priority="3697" stopIfTrue="1">
      <formula>$A58="decimal"</formula>
    </cfRule>
  </conditionalFormatting>
  <conditionalFormatting sqref="B58:E58">
    <cfRule type="expression" dxfId="26" priority="3698" stopIfTrue="1">
      <formula>$A58="integer"</formula>
    </cfRule>
  </conditionalFormatting>
  <conditionalFormatting sqref="B58:E58">
    <cfRule type="expression" dxfId="27" priority="3699" stopIfTrue="1">
      <formula>$A58="text"</formula>
    </cfRule>
  </conditionalFormatting>
  <conditionalFormatting sqref="B58:E58">
    <cfRule type="expression" dxfId="28" priority="3700" stopIfTrue="1">
      <formula>$A58="end repeat"</formula>
    </cfRule>
  </conditionalFormatting>
  <conditionalFormatting sqref="B58:E58">
    <cfRule type="expression" dxfId="28" priority="3701" stopIfTrue="1">
      <formula>$A58="begin repeat"</formula>
    </cfRule>
  </conditionalFormatting>
  <conditionalFormatting sqref="B58:E58">
    <cfRule type="expression" dxfId="29" priority="3702" stopIfTrue="1">
      <formula>$A58="end group"</formula>
    </cfRule>
  </conditionalFormatting>
  <conditionalFormatting sqref="B58:E58">
    <cfRule type="expression" dxfId="29" priority="3703" stopIfTrue="1">
      <formula>$A58="begin group"</formula>
    </cfRule>
  </conditionalFormatting>
  <conditionalFormatting sqref="B58">
    <cfRule type="expression" dxfId="30" priority="3704" stopIfTrue="1">
      <formula>$A58="comments"</formula>
    </cfRule>
  </conditionalFormatting>
  <conditionalFormatting sqref="B58">
    <cfRule type="expression" dxfId="36" priority="3705" stopIfTrue="1">
      <formula>OR(AND(LEFT($A58, 14)="sensor_stream ", LEN($A58)&gt;14, NOT(ISNUMBER(SEARCH(" ", $A58, 15)))), AND(LEFT($A58, 17)="sensor_statistic ", LEN($A58)&gt;17, NOT(ISNUMBER(SEARCH(" ", $A58, 18)))))</formula>
    </cfRule>
  </conditionalFormatting>
  <conditionalFormatting sqref="B51:C56 D51:E56">
    <cfRule type="expression" dxfId="0" priority="3706" stopIfTrue="1">
      <formula>$A51="begin group"</formula>
    </cfRule>
  </conditionalFormatting>
  <conditionalFormatting sqref="B51:C56 D51:E56">
    <cfRule type="expression" dxfId="1" priority="3707" stopIfTrue="1">
      <formula>$A51="begin repeat"</formula>
    </cfRule>
  </conditionalFormatting>
  <conditionalFormatting sqref="B51:E56">
    <cfRule type="expression" dxfId="31" priority="3708" stopIfTrue="1">
      <formula>$A51="enumerator"</formula>
    </cfRule>
  </conditionalFormatting>
  <conditionalFormatting sqref="B51:E56">
    <cfRule type="expression" dxfId="2" priority="3709" stopIfTrue="1">
      <formula>$A51="text"</formula>
    </cfRule>
  </conditionalFormatting>
  <conditionalFormatting sqref="B51:E56">
    <cfRule type="expression" dxfId="3" priority="3710" stopIfTrue="1">
      <formula>$A51="integer"</formula>
    </cfRule>
  </conditionalFormatting>
  <conditionalFormatting sqref="B51:E56">
    <cfRule type="expression" dxfId="4" priority="3711" stopIfTrue="1">
      <formula>$A51="decimal"</formula>
    </cfRule>
  </conditionalFormatting>
  <conditionalFormatting sqref="B51:C56 D51:E56">
    <cfRule type="expression" dxfId="5" priority="3712" stopIfTrue="1">
      <formula>OR(AND(LEFT($A51, 16)="select_multiple ", LEN($A51)&gt;16, NOT(ISNUMBER(SEARCH(" ", $A51, 17)))), AND(LEFT($A51, 11)="select_one ", LEN($A51)&gt;11, NOT(ISNUMBER(SEARCH(" ", $A51, 12)))))</formula>
    </cfRule>
  </conditionalFormatting>
  <conditionalFormatting sqref="B51:B56">
    <cfRule type="expression" dxfId="6" priority="3713" stopIfTrue="1">
      <formula>OR($A51="audio audit", $A51="text audit", $A51="speed violations count", $A51="speed violations list", $A51="speed violations audit")</formula>
    </cfRule>
  </conditionalFormatting>
  <conditionalFormatting sqref="B51:C56 D51:E56">
    <cfRule type="expression" dxfId="32" priority="3714" stopIfTrue="1">
      <formula>$A51="file"</formula>
    </cfRule>
  </conditionalFormatting>
  <conditionalFormatting sqref="B51:C56 D51:E56">
    <cfRule type="expression" dxfId="7" priority="3715" stopIfTrue="1">
      <formula>$A51="note"</formula>
    </cfRule>
  </conditionalFormatting>
  <conditionalFormatting sqref="B51:C56 D51:E56">
    <cfRule type="expression" dxfId="8" priority="3716" stopIfTrue="1">
      <formula>$A51="barcode"</formula>
    </cfRule>
  </conditionalFormatting>
  <conditionalFormatting sqref="B51:C56 D51:E56">
    <cfRule type="expression" dxfId="9" priority="3717" stopIfTrue="1">
      <formula>OR($A51="geopoint", $A51="geoshape", $A51="geotrace")</formula>
    </cfRule>
  </conditionalFormatting>
  <conditionalFormatting sqref="B51:B56">
    <cfRule type="expression" dxfId="10" priority="3718" stopIfTrue="1">
      <formula>OR($A51="calculate", $A51="calculate_here")</formula>
    </cfRule>
  </conditionalFormatting>
  <conditionalFormatting sqref="B51:C56 D51:E56">
    <cfRule type="expression" dxfId="11" priority="3719" stopIfTrue="1">
      <formula>OR($A51="date", $A51="datetime", $A51="time")</formula>
    </cfRule>
  </conditionalFormatting>
  <conditionalFormatting sqref="B51:C56 D51:E56">
    <cfRule type="expression" dxfId="12" priority="3720" stopIfTrue="1">
      <formula>$A51="image"</formula>
    </cfRule>
  </conditionalFormatting>
  <conditionalFormatting sqref="B51:C56 D51:E56">
    <cfRule type="expression" dxfId="13" priority="3721" stopIfTrue="1">
      <formula>OR($A51="audio", $A51="video")</formula>
    </cfRule>
  </conditionalFormatting>
  <conditionalFormatting sqref="B51:E56">
    <cfRule type="expression" dxfId="33" priority="3722" stopIfTrue="1">
      <formula>$A51="file"</formula>
    </cfRule>
  </conditionalFormatting>
  <conditionalFormatting sqref="B51:E56">
    <cfRule type="expression" dxfId="34" priority="3723" stopIfTrue="1">
      <formula>$A51="enumerator"</formula>
    </cfRule>
  </conditionalFormatting>
  <conditionalFormatting sqref="B51:E56">
    <cfRule type="expression" dxfId="35" priority="3724" stopIfTrue="1">
      <formula>OR(AND(LEFT($A51, 14)="sensor_stream ", LEN($A51)&gt;14, NOT(ISNUMBER(SEARCH(" ", $A51, 15)))), AND(LEFT($A51, 17)="sensor_statistic ", LEN($A51)&gt;17, NOT(ISNUMBER(SEARCH(" ", $A51, 18)))))</formula>
    </cfRule>
  </conditionalFormatting>
  <conditionalFormatting sqref="B51:E56">
    <cfRule type="expression" dxfId="14" priority="3725" stopIfTrue="1">
      <formula>$A51="comments"</formula>
    </cfRule>
  </conditionalFormatting>
  <conditionalFormatting sqref="B51:E56">
    <cfRule type="expression" dxfId="15" priority="3726" stopIfTrue="1">
      <formula>OR($A51="audio", $A51="video")</formula>
    </cfRule>
  </conditionalFormatting>
  <conditionalFormatting sqref="B51:E56">
    <cfRule type="expression" dxfId="16" priority="3727" stopIfTrue="1">
      <formula>$A51="image"</formula>
    </cfRule>
  </conditionalFormatting>
  <conditionalFormatting sqref="B51:E56">
    <cfRule type="expression" dxfId="17" priority="3728" stopIfTrue="1">
      <formula>OR($A51="date", $A51="datetime", $A51="time")</formula>
    </cfRule>
  </conditionalFormatting>
  <conditionalFormatting sqref="B51:E56">
    <cfRule type="expression" dxfId="18" priority="3729" stopIfTrue="1">
      <formula>OR($A51="calculate", $A51="calculate_here")</formula>
    </cfRule>
  </conditionalFormatting>
  <conditionalFormatting sqref="B51:E56">
    <cfRule type="expression" dxfId="19" priority="3730" stopIfTrue="1">
      <formula>$A51="note"</formula>
    </cfRule>
  </conditionalFormatting>
  <conditionalFormatting sqref="B51:E56">
    <cfRule type="expression" dxfId="20" priority="3731" stopIfTrue="1">
      <formula>$A51="barcode"</formula>
    </cfRule>
  </conditionalFormatting>
  <conditionalFormatting sqref="B51:E56">
    <cfRule type="expression" dxfId="21" priority="3732" stopIfTrue="1">
      <formula>OR($A51="geopoint", $A51="geoshape", $A51="geotrace")</formula>
    </cfRule>
  </conditionalFormatting>
  <conditionalFormatting sqref="B51:E56">
    <cfRule type="expression" dxfId="22" priority="3733" stopIfTrue="1">
      <formula>OR($A51="audio audit", $A51="text audit", $A51="speed violations count", $A51="speed violations list", $A51="speed violations audit")</formula>
    </cfRule>
  </conditionalFormatting>
  <conditionalFormatting sqref="B51:E56">
    <cfRule type="expression" dxfId="23" priority="3734" stopIfTrue="1">
      <formula>OR($A51="username", $A51="phonenumber", $A51="start", $A51="end", $A51="deviceid", $A51="subscriberid", $A51="simserial", $A51="caseid")</formula>
    </cfRule>
  </conditionalFormatting>
  <conditionalFormatting sqref="B51:E56">
    <cfRule type="expression" dxfId="24" priority="3735" stopIfTrue="1">
      <formula>OR(AND(LEFT($A51, 16)="select_multiple ", LEN($A51)&gt;16, NOT(ISNUMBER(SEARCH(" ", $A51, 17)))), AND(LEFT($A51, 11)="select_one ", LEN($A51)&gt;11, NOT(ISNUMBER(SEARCH(" ", $A51, 12)))))</formula>
    </cfRule>
  </conditionalFormatting>
  <conditionalFormatting sqref="B51:E56">
    <cfRule type="expression" dxfId="25" priority="3736" stopIfTrue="1">
      <formula>$A51="decimal"</formula>
    </cfRule>
  </conditionalFormatting>
  <conditionalFormatting sqref="B51:E56">
    <cfRule type="expression" dxfId="26" priority="3737" stopIfTrue="1">
      <formula>$A51="integer"</formula>
    </cfRule>
  </conditionalFormatting>
  <conditionalFormatting sqref="B51:E56">
    <cfRule type="expression" dxfId="27" priority="3738" stopIfTrue="1">
      <formula>$A51="text"</formula>
    </cfRule>
  </conditionalFormatting>
  <conditionalFormatting sqref="B51:E56">
    <cfRule type="expression" dxfId="28" priority="3739" stopIfTrue="1">
      <formula>$A51="end repeat"</formula>
    </cfRule>
  </conditionalFormatting>
  <conditionalFormatting sqref="B51:E56">
    <cfRule type="expression" dxfId="28" priority="3740" stopIfTrue="1">
      <formula>$A51="begin repeat"</formula>
    </cfRule>
  </conditionalFormatting>
  <conditionalFormatting sqref="B51:E56">
    <cfRule type="expression" dxfId="29" priority="3741" stopIfTrue="1">
      <formula>$A51="end group"</formula>
    </cfRule>
  </conditionalFormatting>
  <conditionalFormatting sqref="B51:E56">
    <cfRule type="expression" dxfId="29" priority="3742" stopIfTrue="1">
      <formula>$A51="begin group"</formula>
    </cfRule>
  </conditionalFormatting>
  <conditionalFormatting sqref="B51:B56">
    <cfRule type="expression" dxfId="30" priority="3743" stopIfTrue="1">
      <formula>$A51="comments"</formula>
    </cfRule>
  </conditionalFormatting>
  <conditionalFormatting sqref="B51:B56">
    <cfRule type="expression" dxfId="36" priority="3744" stopIfTrue="1">
      <formula>OR(AND(LEFT($A51, 14)="sensor_stream ", LEN($A51)&gt;14, NOT(ISNUMBER(SEARCH(" ", $A51, 15)))), AND(LEFT($A51, 17)="sensor_statistic ", LEN($A51)&gt;17, NOT(ISNUMBER(SEARCH(" ", $A51, 18)))))</formula>
    </cfRule>
  </conditionalFormatting>
  <conditionalFormatting sqref="B49:C49 D49:E49">
    <cfRule type="expression" dxfId="0" priority="3745" stopIfTrue="1">
      <formula>$A49="begin group"</formula>
    </cfRule>
  </conditionalFormatting>
  <conditionalFormatting sqref="B49:C49 D49:E49">
    <cfRule type="expression" dxfId="1" priority="3746" stopIfTrue="1">
      <formula>$A49="begin repeat"</formula>
    </cfRule>
  </conditionalFormatting>
  <conditionalFormatting sqref="B49:E49">
    <cfRule type="expression" dxfId="31" priority="3747" stopIfTrue="1">
      <formula>$A49="enumerator"</formula>
    </cfRule>
  </conditionalFormatting>
  <conditionalFormatting sqref="B49:E49">
    <cfRule type="expression" dxfId="2" priority="3748" stopIfTrue="1">
      <formula>$A49="text"</formula>
    </cfRule>
  </conditionalFormatting>
  <conditionalFormatting sqref="B49:E49">
    <cfRule type="expression" dxfId="3" priority="3749" stopIfTrue="1">
      <formula>$A49="integer"</formula>
    </cfRule>
  </conditionalFormatting>
  <conditionalFormatting sqref="B49:E49">
    <cfRule type="expression" dxfId="4" priority="3750" stopIfTrue="1">
      <formula>$A49="decimal"</formula>
    </cfRule>
  </conditionalFormatting>
  <conditionalFormatting sqref="B49:C49 D49:E49">
    <cfRule type="expression" dxfId="5" priority="3751" stopIfTrue="1">
      <formula>OR(AND(LEFT($A49, 16)="select_multiple ", LEN($A49)&gt;16, NOT(ISNUMBER(SEARCH(" ", $A49, 17)))), AND(LEFT($A49, 11)="select_one ", LEN($A49)&gt;11, NOT(ISNUMBER(SEARCH(" ", $A49, 12)))))</formula>
    </cfRule>
  </conditionalFormatting>
  <conditionalFormatting sqref="B49">
    <cfRule type="expression" dxfId="6" priority="3752" stopIfTrue="1">
      <formula>OR($A49="audio audit", $A49="text audit", $A49="speed violations count", $A49="speed violations list", $A49="speed violations audit")</formula>
    </cfRule>
  </conditionalFormatting>
  <conditionalFormatting sqref="B49:C49 D49:E49">
    <cfRule type="expression" dxfId="32" priority="3753" stopIfTrue="1">
      <formula>$A49="file"</formula>
    </cfRule>
  </conditionalFormatting>
  <conditionalFormatting sqref="B49:C49 D49:E49">
    <cfRule type="expression" dxfId="7" priority="3754" stopIfTrue="1">
      <formula>$A49="note"</formula>
    </cfRule>
  </conditionalFormatting>
  <conditionalFormatting sqref="B49:C49 D49:E49">
    <cfRule type="expression" dxfId="8" priority="3755" stopIfTrue="1">
      <formula>$A49="barcode"</formula>
    </cfRule>
  </conditionalFormatting>
  <conditionalFormatting sqref="B49:C49 D49:E49">
    <cfRule type="expression" dxfId="9" priority="3756" stopIfTrue="1">
      <formula>OR($A49="geopoint", $A49="geoshape", $A49="geotrace")</formula>
    </cfRule>
  </conditionalFormatting>
  <conditionalFormatting sqref="B49">
    <cfRule type="expression" dxfId="10" priority="3757" stopIfTrue="1">
      <formula>OR($A49="calculate", $A49="calculate_here")</formula>
    </cfRule>
  </conditionalFormatting>
  <conditionalFormatting sqref="B49:C49 D49:E49">
    <cfRule type="expression" dxfId="11" priority="3758" stopIfTrue="1">
      <formula>OR($A49="date", $A49="datetime", $A49="time")</formula>
    </cfRule>
  </conditionalFormatting>
  <conditionalFormatting sqref="B49:C49 D49:E49">
    <cfRule type="expression" dxfId="12" priority="3759" stopIfTrue="1">
      <formula>$A49="image"</formula>
    </cfRule>
  </conditionalFormatting>
  <conditionalFormatting sqref="B49:C49 D49:E49">
    <cfRule type="expression" dxfId="13" priority="3760" stopIfTrue="1">
      <formula>OR($A49="audio", $A49="video")</formula>
    </cfRule>
  </conditionalFormatting>
  <conditionalFormatting sqref="B49:E49">
    <cfRule type="expression" dxfId="33" priority="3761" stopIfTrue="1">
      <formula>$A49="file"</formula>
    </cfRule>
  </conditionalFormatting>
  <conditionalFormatting sqref="B49:E49">
    <cfRule type="expression" dxfId="34" priority="3762" stopIfTrue="1">
      <formula>$A49="enumerator"</formula>
    </cfRule>
  </conditionalFormatting>
  <conditionalFormatting sqref="B49:E49">
    <cfRule type="expression" dxfId="35" priority="3763" stopIfTrue="1">
      <formula>OR(AND(LEFT($A49, 14)="sensor_stream ", LEN($A49)&gt;14, NOT(ISNUMBER(SEARCH(" ", $A49, 15)))), AND(LEFT($A49, 17)="sensor_statistic ", LEN($A49)&gt;17, NOT(ISNUMBER(SEARCH(" ", $A49, 18)))))</formula>
    </cfRule>
  </conditionalFormatting>
  <conditionalFormatting sqref="B49:E49">
    <cfRule type="expression" dxfId="14" priority="3764" stopIfTrue="1">
      <formula>$A49="comments"</formula>
    </cfRule>
  </conditionalFormatting>
  <conditionalFormatting sqref="B49:E49">
    <cfRule type="expression" dxfId="15" priority="3765" stopIfTrue="1">
      <formula>OR($A49="audio", $A49="video")</formula>
    </cfRule>
  </conditionalFormatting>
  <conditionalFormatting sqref="B49:E49">
    <cfRule type="expression" dxfId="16" priority="3766" stopIfTrue="1">
      <formula>$A49="image"</formula>
    </cfRule>
  </conditionalFormatting>
  <conditionalFormatting sqref="B49:E49">
    <cfRule type="expression" dxfId="17" priority="3767" stopIfTrue="1">
      <formula>OR($A49="date", $A49="datetime", $A49="time")</formula>
    </cfRule>
  </conditionalFormatting>
  <conditionalFormatting sqref="B49:E49">
    <cfRule type="expression" dxfId="18" priority="3768" stopIfTrue="1">
      <formula>OR($A49="calculate", $A49="calculate_here")</formula>
    </cfRule>
  </conditionalFormatting>
  <conditionalFormatting sqref="B49:E49">
    <cfRule type="expression" dxfId="19" priority="3769" stopIfTrue="1">
      <formula>$A49="note"</formula>
    </cfRule>
  </conditionalFormatting>
  <conditionalFormatting sqref="B49:E49">
    <cfRule type="expression" dxfId="20" priority="3770" stopIfTrue="1">
      <formula>$A49="barcode"</formula>
    </cfRule>
  </conditionalFormatting>
  <conditionalFormatting sqref="B49:E49">
    <cfRule type="expression" dxfId="21" priority="3771" stopIfTrue="1">
      <formula>OR($A49="geopoint", $A49="geoshape", $A49="geotrace")</formula>
    </cfRule>
  </conditionalFormatting>
  <conditionalFormatting sqref="B49:E49">
    <cfRule type="expression" dxfId="22" priority="3772" stopIfTrue="1">
      <formula>OR($A49="audio audit", $A49="text audit", $A49="speed violations count", $A49="speed violations list", $A49="speed violations audit")</formula>
    </cfRule>
  </conditionalFormatting>
  <conditionalFormatting sqref="B49:E49">
    <cfRule type="expression" dxfId="23" priority="3773" stopIfTrue="1">
      <formula>OR($A49="username", $A49="phonenumber", $A49="start", $A49="end", $A49="deviceid", $A49="subscriberid", $A49="simserial", $A49="caseid")</formula>
    </cfRule>
  </conditionalFormatting>
  <conditionalFormatting sqref="B49:E49">
    <cfRule type="expression" dxfId="24" priority="3774" stopIfTrue="1">
      <formula>OR(AND(LEFT($A49, 16)="select_multiple ", LEN($A49)&gt;16, NOT(ISNUMBER(SEARCH(" ", $A49, 17)))), AND(LEFT($A49, 11)="select_one ", LEN($A49)&gt;11, NOT(ISNUMBER(SEARCH(" ", $A49, 12)))))</formula>
    </cfRule>
  </conditionalFormatting>
  <conditionalFormatting sqref="B49:E49">
    <cfRule type="expression" dxfId="25" priority="3775" stopIfTrue="1">
      <formula>$A49="decimal"</formula>
    </cfRule>
  </conditionalFormatting>
  <conditionalFormatting sqref="B49:E49">
    <cfRule type="expression" dxfId="26" priority="3776" stopIfTrue="1">
      <formula>$A49="integer"</formula>
    </cfRule>
  </conditionalFormatting>
  <conditionalFormatting sqref="B49:E49">
    <cfRule type="expression" dxfId="27" priority="3777" stopIfTrue="1">
      <formula>$A49="text"</formula>
    </cfRule>
  </conditionalFormatting>
  <conditionalFormatting sqref="B49:E49">
    <cfRule type="expression" dxfId="28" priority="3778" stopIfTrue="1">
      <formula>$A49="end repeat"</formula>
    </cfRule>
  </conditionalFormatting>
  <conditionalFormatting sqref="B49:E49">
    <cfRule type="expression" dxfId="28" priority="3779" stopIfTrue="1">
      <formula>$A49="begin repeat"</formula>
    </cfRule>
  </conditionalFormatting>
  <conditionalFormatting sqref="B49:E49">
    <cfRule type="expression" dxfId="29" priority="3780" stopIfTrue="1">
      <formula>$A49="end group"</formula>
    </cfRule>
  </conditionalFormatting>
  <conditionalFormatting sqref="B49:E49">
    <cfRule type="expression" dxfId="29" priority="3781" stopIfTrue="1">
      <formula>$A49="begin group"</formula>
    </cfRule>
  </conditionalFormatting>
  <conditionalFormatting sqref="B49">
    <cfRule type="expression" dxfId="30" priority="3782" stopIfTrue="1">
      <formula>$A49="comments"</formula>
    </cfRule>
  </conditionalFormatting>
  <conditionalFormatting sqref="B49">
    <cfRule type="expression" dxfId="36" priority="3783" stopIfTrue="1">
      <formula>OR(AND(LEFT($A49, 14)="sensor_stream ", LEN($A49)&gt;14, NOT(ISNUMBER(SEARCH(" ", $A49, 15)))), AND(LEFT($A49, 17)="sensor_statistic ", LEN($A49)&gt;17, NOT(ISNUMBER(SEARCH(" ", $A49, 18)))))</formula>
    </cfRule>
  </conditionalFormatting>
  <conditionalFormatting sqref="B34:C34">
    <cfRule type="expression" dxfId="0" priority="3784" stopIfTrue="1">
      <formula>$A34="begin group"</formula>
    </cfRule>
  </conditionalFormatting>
  <conditionalFormatting sqref="B34:C34">
    <cfRule type="expression" dxfId="1" priority="3785" stopIfTrue="1">
      <formula>$A34="begin repeat"</formula>
    </cfRule>
  </conditionalFormatting>
  <conditionalFormatting sqref="B34:E34">
    <cfRule type="expression" dxfId="31" priority="3786" stopIfTrue="1">
      <formula>$A34="enumerator"</formula>
    </cfRule>
  </conditionalFormatting>
  <conditionalFormatting sqref="B34:E34">
    <cfRule type="expression" dxfId="2" priority="3787" stopIfTrue="1">
      <formula>$A34="text"</formula>
    </cfRule>
  </conditionalFormatting>
  <conditionalFormatting sqref="B34:E34">
    <cfRule type="expression" dxfId="3" priority="3788" stopIfTrue="1">
      <formula>$A34="integer"</formula>
    </cfRule>
  </conditionalFormatting>
  <conditionalFormatting sqref="B34:E34">
    <cfRule type="expression" dxfId="4" priority="3789" stopIfTrue="1">
      <formula>$A34="decimal"</formula>
    </cfRule>
  </conditionalFormatting>
  <conditionalFormatting sqref="B34:C34">
    <cfRule type="expression" dxfId="5" priority="3790" stopIfTrue="1">
      <formula>OR(AND(LEFT($A34, 16)="select_multiple ", LEN($A34)&gt;16, NOT(ISNUMBER(SEARCH(" ", $A34, 17)))), AND(LEFT($A34, 11)="select_one ", LEN($A34)&gt;11, NOT(ISNUMBER(SEARCH(" ", $A34, 12)))))</formula>
    </cfRule>
  </conditionalFormatting>
  <conditionalFormatting sqref="B34">
    <cfRule type="expression" dxfId="6" priority="3791" stopIfTrue="1">
      <formula>OR($A34="audio audit", $A34="text audit", $A34="speed violations count", $A34="speed violations list", $A34="speed violations audit")</formula>
    </cfRule>
  </conditionalFormatting>
  <conditionalFormatting sqref="B34:C34">
    <cfRule type="expression" dxfId="32" priority="3792" stopIfTrue="1">
      <formula>$A34="file"</formula>
    </cfRule>
  </conditionalFormatting>
  <conditionalFormatting sqref="B34:C34">
    <cfRule type="expression" dxfId="7" priority="3793" stopIfTrue="1">
      <formula>$A34="note"</formula>
    </cfRule>
  </conditionalFormatting>
  <conditionalFormatting sqref="B34:C34">
    <cfRule type="expression" dxfId="8" priority="3794" stopIfTrue="1">
      <formula>$A34="barcode"</formula>
    </cfRule>
  </conditionalFormatting>
  <conditionalFormatting sqref="B34:C34">
    <cfRule type="expression" dxfId="9" priority="3795" stopIfTrue="1">
      <formula>OR($A34="geopoint", $A34="geoshape", $A34="geotrace")</formula>
    </cfRule>
  </conditionalFormatting>
  <conditionalFormatting sqref="B34">
    <cfRule type="expression" dxfId="10" priority="3796" stopIfTrue="1">
      <formula>OR($A34="calculate", $A34="calculate_here")</formula>
    </cfRule>
  </conditionalFormatting>
  <conditionalFormatting sqref="B34:C34">
    <cfRule type="expression" dxfId="11" priority="3797" stopIfTrue="1">
      <formula>OR($A34="date", $A34="datetime", $A34="time")</formula>
    </cfRule>
  </conditionalFormatting>
  <conditionalFormatting sqref="B34:C34">
    <cfRule type="expression" dxfId="12" priority="3798" stopIfTrue="1">
      <formula>$A34="image"</formula>
    </cfRule>
  </conditionalFormatting>
  <conditionalFormatting sqref="B34:C34">
    <cfRule type="expression" dxfId="13" priority="3799" stopIfTrue="1">
      <formula>OR($A34="audio", $A34="video")</formula>
    </cfRule>
  </conditionalFormatting>
  <conditionalFormatting sqref="B34:E34">
    <cfRule type="expression" dxfId="33" priority="3800" stopIfTrue="1">
      <formula>$A34="file"</formula>
    </cfRule>
  </conditionalFormatting>
  <conditionalFormatting sqref="B34:E34">
    <cfRule type="expression" dxfId="34" priority="3801" stopIfTrue="1">
      <formula>$A34="enumerator"</formula>
    </cfRule>
  </conditionalFormatting>
  <conditionalFormatting sqref="B34:E34">
    <cfRule type="expression" dxfId="35" priority="3802" stopIfTrue="1">
      <formula>OR(AND(LEFT($A34, 14)="sensor_stream ", LEN($A34)&gt;14, NOT(ISNUMBER(SEARCH(" ", $A34, 15)))), AND(LEFT($A34, 17)="sensor_statistic ", LEN($A34)&gt;17, NOT(ISNUMBER(SEARCH(" ", $A34, 18)))))</formula>
    </cfRule>
  </conditionalFormatting>
  <conditionalFormatting sqref="B34:E34">
    <cfRule type="expression" dxfId="14" priority="3803" stopIfTrue="1">
      <formula>$A34="comments"</formula>
    </cfRule>
  </conditionalFormatting>
  <conditionalFormatting sqref="B34:E34">
    <cfRule type="expression" dxfId="15" priority="3804" stopIfTrue="1">
      <formula>OR($A34="audio", $A34="video")</formula>
    </cfRule>
  </conditionalFormatting>
  <conditionalFormatting sqref="B34:E34">
    <cfRule type="expression" dxfId="16" priority="3805" stopIfTrue="1">
      <formula>$A34="image"</formula>
    </cfRule>
  </conditionalFormatting>
  <conditionalFormatting sqref="B34:E34">
    <cfRule type="expression" dxfId="17" priority="3806" stopIfTrue="1">
      <formula>OR($A34="date", $A34="datetime", $A34="time")</formula>
    </cfRule>
  </conditionalFormatting>
  <conditionalFormatting sqref="B34:E34">
    <cfRule type="expression" dxfId="18" priority="3807" stopIfTrue="1">
      <formula>OR($A34="calculate", $A34="calculate_here")</formula>
    </cfRule>
  </conditionalFormatting>
  <conditionalFormatting sqref="B34:E34">
    <cfRule type="expression" dxfId="19" priority="3808" stopIfTrue="1">
      <formula>$A34="note"</formula>
    </cfRule>
  </conditionalFormatting>
  <conditionalFormatting sqref="B34:E34">
    <cfRule type="expression" dxfId="20" priority="3809" stopIfTrue="1">
      <formula>$A34="barcode"</formula>
    </cfRule>
  </conditionalFormatting>
  <conditionalFormatting sqref="B34:E34">
    <cfRule type="expression" dxfId="21" priority="3810" stopIfTrue="1">
      <formula>OR($A34="geopoint", $A34="geoshape", $A34="geotrace")</formula>
    </cfRule>
  </conditionalFormatting>
  <conditionalFormatting sqref="B34:E34">
    <cfRule type="expression" dxfId="22" priority="3811" stopIfTrue="1">
      <formula>OR($A34="audio audit", $A34="text audit", $A34="speed violations count", $A34="speed violations list", $A34="speed violations audit")</formula>
    </cfRule>
  </conditionalFormatting>
  <conditionalFormatting sqref="B34:E34">
    <cfRule type="expression" dxfId="23" priority="3812" stopIfTrue="1">
      <formula>OR($A34="username", $A34="phonenumber", $A34="start", $A34="end", $A34="deviceid", $A34="subscriberid", $A34="simserial", $A34="caseid")</formula>
    </cfRule>
  </conditionalFormatting>
  <conditionalFormatting sqref="B34:E34">
    <cfRule type="expression" dxfId="24" priority="3813" stopIfTrue="1">
      <formula>OR(AND(LEFT($A34, 16)="select_multiple ", LEN($A34)&gt;16, NOT(ISNUMBER(SEARCH(" ", $A34, 17)))), AND(LEFT($A34, 11)="select_one ", LEN($A34)&gt;11, NOT(ISNUMBER(SEARCH(" ", $A34, 12)))))</formula>
    </cfRule>
  </conditionalFormatting>
  <conditionalFormatting sqref="B34:E34">
    <cfRule type="expression" dxfId="25" priority="3814" stopIfTrue="1">
      <formula>$A34="decimal"</formula>
    </cfRule>
  </conditionalFormatting>
  <conditionalFormatting sqref="B34:E34">
    <cfRule type="expression" dxfId="26" priority="3815" stopIfTrue="1">
      <formula>$A34="integer"</formula>
    </cfRule>
  </conditionalFormatting>
  <conditionalFormatting sqref="B34:E34">
    <cfRule type="expression" dxfId="27" priority="3816" stopIfTrue="1">
      <formula>$A34="text"</formula>
    </cfRule>
  </conditionalFormatting>
  <conditionalFormatting sqref="B34:E34">
    <cfRule type="expression" dxfId="28" priority="3817" stopIfTrue="1">
      <formula>$A34="end repeat"</formula>
    </cfRule>
  </conditionalFormatting>
  <conditionalFormatting sqref="B34:E34">
    <cfRule type="expression" dxfId="28" priority="3818" stopIfTrue="1">
      <formula>$A34="begin repeat"</formula>
    </cfRule>
  </conditionalFormatting>
  <conditionalFormatting sqref="B34:E34">
    <cfRule type="expression" dxfId="29" priority="3819" stopIfTrue="1">
      <formula>$A34="end group"</formula>
    </cfRule>
  </conditionalFormatting>
  <conditionalFormatting sqref="B34:E34">
    <cfRule type="expression" dxfId="29" priority="3820" stopIfTrue="1">
      <formula>$A34="begin group"</formula>
    </cfRule>
  </conditionalFormatting>
  <conditionalFormatting sqref="B34">
    <cfRule type="expression" dxfId="30" priority="3821" stopIfTrue="1">
      <formula>$A34="comments"</formula>
    </cfRule>
  </conditionalFormatting>
  <conditionalFormatting sqref="B34">
    <cfRule type="expression" dxfId="36" priority="3822" stopIfTrue="1">
      <formula>OR(AND(LEFT($A34, 14)="sensor_stream ", LEN($A34)&gt;14, NOT(ISNUMBER(SEARCH(" ", $A34, 15)))), AND(LEFT($A34, 17)="sensor_statistic ", LEN($A34)&gt;17, NOT(ISNUMBER(SEARCH(" ", $A34, 18)))))</formula>
    </cfRule>
  </conditionalFormatting>
  <conditionalFormatting sqref="B24:C24">
    <cfRule type="expression" dxfId="0" priority="3823" stopIfTrue="1">
      <formula>$A24="begin group"</formula>
    </cfRule>
  </conditionalFormatting>
  <conditionalFormatting sqref="B24:C24">
    <cfRule type="expression" dxfId="1" priority="3824" stopIfTrue="1">
      <formula>$A24="begin repeat"</formula>
    </cfRule>
  </conditionalFormatting>
  <conditionalFormatting sqref="B24:E24">
    <cfRule type="expression" dxfId="31" priority="3825" stopIfTrue="1">
      <formula>$A24="enumerator"</formula>
    </cfRule>
  </conditionalFormatting>
  <conditionalFormatting sqref="B24:E24">
    <cfRule type="expression" dxfId="2" priority="3826" stopIfTrue="1">
      <formula>$A24="text"</formula>
    </cfRule>
  </conditionalFormatting>
  <conditionalFormatting sqref="B24:E24">
    <cfRule type="expression" dxfId="3" priority="3827" stopIfTrue="1">
      <formula>$A24="integer"</formula>
    </cfRule>
  </conditionalFormatting>
  <conditionalFormatting sqref="B24:E24">
    <cfRule type="expression" dxfId="4" priority="3828" stopIfTrue="1">
      <formula>$A24="decimal"</formula>
    </cfRule>
  </conditionalFormatting>
  <conditionalFormatting sqref="B24:C24">
    <cfRule type="expression" dxfId="5" priority="3829" stopIfTrue="1">
      <formula>OR(AND(LEFT($A24, 16)="select_multiple ", LEN($A24)&gt;16, NOT(ISNUMBER(SEARCH(" ", $A24, 17)))), AND(LEFT($A24, 11)="select_one ", LEN($A24)&gt;11, NOT(ISNUMBER(SEARCH(" ", $A24, 12)))))</formula>
    </cfRule>
  </conditionalFormatting>
  <conditionalFormatting sqref="B24">
    <cfRule type="expression" dxfId="6" priority="3830" stopIfTrue="1">
      <formula>OR($A24="audio audit", $A24="text audit", $A24="speed violations count", $A24="speed violations list", $A24="speed violations audit")</formula>
    </cfRule>
  </conditionalFormatting>
  <conditionalFormatting sqref="B24:C24">
    <cfRule type="expression" dxfId="32" priority="3831" stopIfTrue="1">
      <formula>$A24="file"</formula>
    </cfRule>
  </conditionalFormatting>
  <conditionalFormatting sqref="B24:C24">
    <cfRule type="expression" dxfId="7" priority="3832" stopIfTrue="1">
      <formula>$A24="note"</formula>
    </cfRule>
  </conditionalFormatting>
  <conditionalFormatting sqref="B24:C24">
    <cfRule type="expression" dxfId="8" priority="3833" stopIfTrue="1">
      <formula>$A24="barcode"</formula>
    </cfRule>
  </conditionalFormatting>
  <conditionalFormatting sqref="B24:C24">
    <cfRule type="expression" dxfId="9" priority="3834" stopIfTrue="1">
      <formula>OR($A24="geopoint", $A24="geoshape", $A24="geotrace")</formula>
    </cfRule>
  </conditionalFormatting>
  <conditionalFormatting sqref="B24">
    <cfRule type="expression" dxfId="10" priority="3835" stopIfTrue="1">
      <formula>OR($A24="calculate", $A24="calculate_here")</formula>
    </cfRule>
  </conditionalFormatting>
  <conditionalFormatting sqref="B24:C24">
    <cfRule type="expression" dxfId="11" priority="3836" stopIfTrue="1">
      <formula>OR($A24="date", $A24="datetime", $A24="time")</formula>
    </cfRule>
  </conditionalFormatting>
  <conditionalFormatting sqref="B24:C24">
    <cfRule type="expression" dxfId="12" priority="3837" stopIfTrue="1">
      <formula>$A24="image"</formula>
    </cfRule>
  </conditionalFormatting>
  <conditionalFormatting sqref="B24:C24">
    <cfRule type="expression" dxfId="13" priority="3838" stopIfTrue="1">
      <formula>OR($A24="audio", $A24="video")</formula>
    </cfRule>
  </conditionalFormatting>
  <conditionalFormatting sqref="B24:E24">
    <cfRule type="expression" dxfId="33" priority="3839" stopIfTrue="1">
      <formula>$A24="file"</formula>
    </cfRule>
  </conditionalFormatting>
  <conditionalFormatting sqref="B24:E24">
    <cfRule type="expression" dxfId="34" priority="3840" stopIfTrue="1">
      <formula>$A24="enumerator"</formula>
    </cfRule>
  </conditionalFormatting>
  <conditionalFormatting sqref="B24:E24">
    <cfRule type="expression" dxfId="35" priority="3841" stopIfTrue="1">
      <formula>OR(AND(LEFT($A24, 14)="sensor_stream ", LEN($A24)&gt;14, NOT(ISNUMBER(SEARCH(" ", $A24, 15)))), AND(LEFT($A24, 17)="sensor_statistic ", LEN($A24)&gt;17, NOT(ISNUMBER(SEARCH(" ", $A24, 18)))))</formula>
    </cfRule>
  </conditionalFormatting>
  <conditionalFormatting sqref="B24:E24">
    <cfRule type="expression" dxfId="14" priority="3842" stopIfTrue="1">
      <formula>$A24="comments"</formula>
    </cfRule>
  </conditionalFormatting>
  <conditionalFormatting sqref="B24:E24">
    <cfRule type="expression" dxfId="15" priority="3843" stopIfTrue="1">
      <formula>OR($A24="audio", $A24="video")</formula>
    </cfRule>
  </conditionalFormatting>
  <conditionalFormatting sqref="B24:E24">
    <cfRule type="expression" dxfId="16" priority="3844" stopIfTrue="1">
      <formula>$A24="image"</formula>
    </cfRule>
  </conditionalFormatting>
  <conditionalFormatting sqref="B24:E24">
    <cfRule type="expression" dxfId="17" priority="3845" stopIfTrue="1">
      <formula>OR($A24="date", $A24="datetime", $A24="time")</formula>
    </cfRule>
  </conditionalFormatting>
  <conditionalFormatting sqref="B24:E24">
    <cfRule type="expression" dxfId="18" priority="3846" stopIfTrue="1">
      <formula>OR($A24="calculate", $A24="calculate_here")</formula>
    </cfRule>
  </conditionalFormatting>
  <conditionalFormatting sqref="B24:E24">
    <cfRule type="expression" dxfId="19" priority="3847" stopIfTrue="1">
      <formula>$A24="note"</formula>
    </cfRule>
  </conditionalFormatting>
  <conditionalFormatting sqref="B24:E24">
    <cfRule type="expression" dxfId="20" priority="3848" stopIfTrue="1">
      <formula>$A24="barcode"</formula>
    </cfRule>
  </conditionalFormatting>
  <conditionalFormatting sqref="B24:E24">
    <cfRule type="expression" dxfId="21" priority="3849" stopIfTrue="1">
      <formula>OR($A24="geopoint", $A24="geoshape", $A24="geotrace")</formula>
    </cfRule>
  </conditionalFormatting>
  <conditionalFormatting sqref="B24:E24">
    <cfRule type="expression" dxfId="22" priority="3850" stopIfTrue="1">
      <formula>OR($A24="audio audit", $A24="text audit", $A24="speed violations count", $A24="speed violations list", $A24="speed violations audit")</formula>
    </cfRule>
  </conditionalFormatting>
  <conditionalFormatting sqref="B24:E24">
    <cfRule type="expression" dxfId="23" priority="3851" stopIfTrue="1">
      <formula>OR($A24="username", $A24="phonenumber", $A24="start", $A24="end", $A24="deviceid", $A24="subscriberid", $A24="simserial", $A24="caseid")</formula>
    </cfRule>
  </conditionalFormatting>
  <conditionalFormatting sqref="B24:E24">
    <cfRule type="expression" dxfId="24" priority="3852" stopIfTrue="1">
      <formula>OR(AND(LEFT($A24, 16)="select_multiple ", LEN($A24)&gt;16, NOT(ISNUMBER(SEARCH(" ", $A24, 17)))), AND(LEFT($A24, 11)="select_one ", LEN($A24)&gt;11, NOT(ISNUMBER(SEARCH(" ", $A24, 12)))))</formula>
    </cfRule>
  </conditionalFormatting>
  <conditionalFormatting sqref="B24:E24">
    <cfRule type="expression" dxfId="25" priority="3853" stopIfTrue="1">
      <formula>$A24="decimal"</formula>
    </cfRule>
  </conditionalFormatting>
  <conditionalFormatting sqref="B24:E24">
    <cfRule type="expression" dxfId="26" priority="3854" stopIfTrue="1">
      <formula>$A24="integer"</formula>
    </cfRule>
  </conditionalFormatting>
  <conditionalFormatting sqref="B24:E24">
    <cfRule type="expression" dxfId="27" priority="3855" stopIfTrue="1">
      <formula>$A24="text"</formula>
    </cfRule>
  </conditionalFormatting>
  <conditionalFormatting sqref="B24:E24">
    <cfRule type="expression" dxfId="28" priority="3856" stopIfTrue="1">
      <formula>$A24="end repeat"</formula>
    </cfRule>
  </conditionalFormatting>
  <conditionalFormatting sqref="B24:E24">
    <cfRule type="expression" dxfId="28" priority="3857" stopIfTrue="1">
      <formula>$A24="begin repeat"</formula>
    </cfRule>
  </conditionalFormatting>
  <conditionalFormatting sqref="B24:E24">
    <cfRule type="expression" dxfId="29" priority="3858" stopIfTrue="1">
      <formula>$A24="end group"</formula>
    </cfRule>
  </conditionalFormatting>
  <conditionalFormatting sqref="B24:E24">
    <cfRule type="expression" dxfId="29" priority="3859" stopIfTrue="1">
      <formula>$A24="begin group"</formula>
    </cfRule>
  </conditionalFormatting>
  <conditionalFormatting sqref="B24">
    <cfRule type="expression" dxfId="30" priority="3860" stopIfTrue="1">
      <formula>$A24="comments"</formula>
    </cfRule>
  </conditionalFormatting>
  <conditionalFormatting sqref="B24">
    <cfRule type="expression" dxfId="36" priority="3861" stopIfTrue="1">
      <formula>OR(AND(LEFT($A24, 14)="sensor_stream ", LEN($A24)&gt;14, NOT(ISNUMBER(SEARCH(" ", $A24, 15)))), AND(LEFT($A24, 17)="sensor_statistic ", LEN($A24)&gt;17, NOT(ISNUMBER(SEARCH(" ", $A24, 18)))))</formula>
    </cfRule>
  </conditionalFormatting>
  <conditionalFormatting sqref="B20:C20">
    <cfRule type="expression" dxfId="0" priority="3862" stopIfTrue="1">
      <formula>$A20="begin group"</formula>
    </cfRule>
  </conditionalFormatting>
  <conditionalFormatting sqref="B20:C20">
    <cfRule type="expression" dxfId="1" priority="3863" stopIfTrue="1">
      <formula>$A20="begin repeat"</formula>
    </cfRule>
  </conditionalFormatting>
  <conditionalFormatting sqref="B20:E20">
    <cfRule type="expression" dxfId="31" priority="3864" stopIfTrue="1">
      <formula>$A20="enumerator"</formula>
    </cfRule>
  </conditionalFormatting>
  <conditionalFormatting sqref="B20:E20">
    <cfRule type="expression" dxfId="2" priority="3865" stopIfTrue="1">
      <formula>$A20="text"</formula>
    </cfRule>
  </conditionalFormatting>
  <conditionalFormatting sqref="B20:E20">
    <cfRule type="expression" dxfId="3" priority="3866" stopIfTrue="1">
      <formula>$A20="integer"</formula>
    </cfRule>
  </conditionalFormatting>
  <conditionalFormatting sqref="B20:E20">
    <cfRule type="expression" dxfId="4" priority="3867" stopIfTrue="1">
      <formula>$A20="decimal"</formula>
    </cfRule>
  </conditionalFormatting>
  <conditionalFormatting sqref="B20:C20">
    <cfRule type="expression" dxfId="5" priority="3868" stopIfTrue="1">
      <formula>OR(AND(LEFT($A20, 16)="select_multiple ", LEN($A20)&gt;16, NOT(ISNUMBER(SEARCH(" ", $A20, 17)))), AND(LEFT($A20, 11)="select_one ", LEN($A20)&gt;11, NOT(ISNUMBER(SEARCH(" ", $A20, 12)))))</formula>
    </cfRule>
  </conditionalFormatting>
  <conditionalFormatting sqref="B20">
    <cfRule type="expression" dxfId="6" priority="3869" stopIfTrue="1">
      <formula>OR($A20="audio audit", $A20="text audit", $A20="speed violations count", $A20="speed violations list", $A20="speed violations audit")</formula>
    </cfRule>
  </conditionalFormatting>
  <conditionalFormatting sqref="B20:C20">
    <cfRule type="expression" dxfId="32" priority="3870" stopIfTrue="1">
      <formula>$A20="file"</formula>
    </cfRule>
  </conditionalFormatting>
  <conditionalFormatting sqref="B20:C20">
    <cfRule type="expression" dxfId="7" priority="3871" stopIfTrue="1">
      <formula>$A20="note"</formula>
    </cfRule>
  </conditionalFormatting>
  <conditionalFormatting sqref="B20:C20">
    <cfRule type="expression" dxfId="8" priority="3872" stopIfTrue="1">
      <formula>$A20="barcode"</formula>
    </cfRule>
  </conditionalFormatting>
  <conditionalFormatting sqref="B20:C20">
    <cfRule type="expression" dxfId="9" priority="3873" stopIfTrue="1">
      <formula>OR($A20="geopoint", $A20="geoshape", $A20="geotrace")</formula>
    </cfRule>
  </conditionalFormatting>
  <conditionalFormatting sqref="B20">
    <cfRule type="expression" dxfId="10" priority="3874" stopIfTrue="1">
      <formula>OR($A20="calculate", $A20="calculate_here")</formula>
    </cfRule>
  </conditionalFormatting>
  <conditionalFormatting sqref="B20:C20">
    <cfRule type="expression" dxfId="11" priority="3875" stopIfTrue="1">
      <formula>OR($A20="date", $A20="datetime", $A20="time")</formula>
    </cfRule>
  </conditionalFormatting>
  <conditionalFormatting sqref="B20:C20">
    <cfRule type="expression" dxfId="12" priority="3876" stopIfTrue="1">
      <formula>$A20="image"</formula>
    </cfRule>
  </conditionalFormatting>
  <conditionalFormatting sqref="B20:C20">
    <cfRule type="expression" dxfId="13" priority="3877" stopIfTrue="1">
      <formula>OR($A20="audio", $A20="video")</formula>
    </cfRule>
  </conditionalFormatting>
  <conditionalFormatting sqref="B20:E20">
    <cfRule type="expression" dxfId="33" priority="3878" stopIfTrue="1">
      <formula>$A20="file"</formula>
    </cfRule>
  </conditionalFormatting>
  <conditionalFormatting sqref="B20:E20">
    <cfRule type="expression" dxfId="34" priority="3879" stopIfTrue="1">
      <formula>$A20="enumerator"</formula>
    </cfRule>
  </conditionalFormatting>
  <conditionalFormatting sqref="B20:E20">
    <cfRule type="expression" dxfId="35" priority="3880" stopIfTrue="1">
      <formula>OR(AND(LEFT($A20, 14)="sensor_stream ", LEN($A20)&gt;14, NOT(ISNUMBER(SEARCH(" ", $A20, 15)))), AND(LEFT($A20, 17)="sensor_statistic ", LEN($A20)&gt;17, NOT(ISNUMBER(SEARCH(" ", $A20, 18)))))</formula>
    </cfRule>
  </conditionalFormatting>
  <conditionalFormatting sqref="B20:E20">
    <cfRule type="expression" dxfId="14" priority="3881" stopIfTrue="1">
      <formula>$A20="comments"</formula>
    </cfRule>
  </conditionalFormatting>
  <conditionalFormatting sqref="B20:E20">
    <cfRule type="expression" dxfId="15" priority="3882" stopIfTrue="1">
      <formula>OR($A20="audio", $A20="video")</formula>
    </cfRule>
  </conditionalFormatting>
  <conditionalFormatting sqref="B20:E20">
    <cfRule type="expression" dxfId="16" priority="3883" stopIfTrue="1">
      <formula>$A20="image"</formula>
    </cfRule>
  </conditionalFormatting>
  <conditionalFormatting sqref="B20:E20">
    <cfRule type="expression" dxfId="17" priority="3884" stopIfTrue="1">
      <formula>OR($A20="date", $A20="datetime", $A20="time")</formula>
    </cfRule>
  </conditionalFormatting>
  <conditionalFormatting sqref="B20:E20">
    <cfRule type="expression" dxfId="18" priority="3885" stopIfTrue="1">
      <formula>OR($A20="calculate", $A20="calculate_here")</formula>
    </cfRule>
  </conditionalFormatting>
  <conditionalFormatting sqref="B20:E20">
    <cfRule type="expression" dxfId="19" priority="3886" stopIfTrue="1">
      <formula>$A20="note"</formula>
    </cfRule>
  </conditionalFormatting>
  <conditionalFormatting sqref="B20:E20">
    <cfRule type="expression" dxfId="20" priority="3887" stopIfTrue="1">
      <formula>$A20="barcode"</formula>
    </cfRule>
  </conditionalFormatting>
  <conditionalFormatting sqref="B20:E20">
    <cfRule type="expression" dxfId="21" priority="3888" stopIfTrue="1">
      <formula>OR($A20="geopoint", $A20="geoshape", $A20="geotrace")</formula>
    </cfRule>
  </conditionalFormatting>
  <conditionalFormatting sqref="B20:E20">
    <cfRule type="expression" dxfId="22" priority="3889" stopIfTrue="1">
      <formula>OR($A20="audio audit", $A20="text audit", $A20="speed violations count", $A20="speed violations list", $A20="speed violations audit")</formula>
    </cfRule>
  </conditionalFormatting>
  <conditionalFormatting sqref="B20:E20">
    <cfRule type="expression" dxfId="23" priority="3890" stopIfTrue="1">
      <formula>OR($A20="username", $A20="phonenumber", $A20="start", $A20="end", $A20="deviceid", $A20="subscriberid", $A20="simserial", $A20="caseid")</formula>
    </cfRule>
  </conditionalFormatting>
  <conditionalFormatting sqref="B20:E20">
    <cfRule type="expression" dxfId="24" priority="3891" stopIfTrue="1">
      <formula>OR(AND(LEFT($A20, 16)="select_multiple ", LEN($A20)&gt;16, NOT(ISNUMBER(SEARCH(" ", $A20, 17)))), AND(LEFT($A20, 11)="select_one ", LEN($A20)&gt;11, NOT(ISNUMBER(SEARCH(" ", $A20, 12)))))</formula>
    </cfRule>
  </conditionalFormatting>
  <conditionalFormatting sqref="B20:E20">
    <cfRule type="expression" dxfId="25" priority="3892" stopIfTrue="1">
      <formula>$A20="decimal"</formula>
    </cfRule>
  </conditionalFormatting>
  <conditionalFormatting sqref="B20:E20">
    <cfRule type="expression" dxfId="26" priority="3893" stopIfTrue="1">
      <formula>$A20="integer"</formula>
    </cfRule>
  </conditionalFormatting>
  <conditionalFormatting sqref="B20:E20">
    <cfRule type="expression" dxfId="27" priority="3894" stopIfTrue="1">
      <formula>$A20="text"</formula>
    </cfRule>
  </conditionalFormatting>
  <conditionalFormatting sqref="B20:E20">
    <cfRule type="expression" dxfId="28" priority="3895" stopIfTrue="1">
      <formula>$A20="end repeat"</formula>
    </cfRule>
  </conditionalFormatting>
  <conditionalFormatting sqref="B20:E20">
    <cfRule type="expression" dxfId="28" priority="3896" stopIfTrue="1">
      <formula>$A20="begin repeat"</formula>
    </cfRule>
  </conditionalFormatting>
  <conditionalFormatting sqref="B20:E20">
    <cfRule type="expression" dxfId="29" priority="3897" stopIfTrue="1">
      <formula>$A20="end group"</formula>
    </cfRule>
  </conditionalFormatting>
  <conditionalFormatting sqref="B20:E20">
    <cfRule type="expression" dxfId="29" priority="3898" stopIfTrue="1">
      <formula>$A20="begin group"</formula>
    </cfRule>
  </conditionalFormatting>
  <conditionalFormatting sqref="B20">
    <cfRule type="expression" dxfId="30" priority="3899" stopIfTrue="1">
      <formula>$A20="comments"</formula>
    </cfRule>
  </conditionalFormatting>
  <conditionalFormatting sqref="B20">
    <cfRule type="expression" dxfId="36" priority="3900" stopIfTrue="1">
      <formula>OR(AND(LEFT($A20, 14)="sensor_stream ", LEN($A20)&gt;14, NOT(ISNUMBER(SEARCH(" ", $A20, 15)))), AND(LEFT($A20, 17)="sensor_statistic ", LEN($A20)&gt;17, NOT(ISNUMBER(SEARCH(" ", $A20, 18)))))</formula>
    </cfRule>
  </conditionalFormatting>
  <conditionalFormatting sqref="B18:C18">
    <cfRule type="expression" dxfId="0" priority="3901" stopIfTrue="1">
      <formula>$A18="begin group"</formula>
    </cfRule>
  </conditionalFormatting>
  <conditionalFormatting sqref="B18:C18">
    <cfRule type="expression" dxfId="1" priority="3902" stopIfTrue="1">
      <formula>$A18="begin repeat"</formula>
    </cfRule>
  </conditionalFormatting>
  <conditionalFormatting sqref="B18:E18">
    <cfRule type="expression" dxfId="31" priority="3903" stopIfTrue="1">
      <formula>$A18="enumerator"</formula>
    </cfRule>
  </conditionalFormatting>
  <conditionalFormatting sqref="B18:E18">
    <cfRule type="expression" dxfId="2" priority="3904" stopIfTrue="1">
      <formula>$A18="text"</formula>
    </cfRule>
  </conditionalFormatting>
  <conditionalFormatting sqref="B18:E18">
    <cfRule type="expression" dxfId="3" priority="3905" stopIfTrue="1">
      <formula>$A18="integer"</formula>
    </cfRule>
  </conditionalFormatting>
  <conditionalFormatting sqref="B18:E18">
    <cfRule type="expression" dxfId="4" priority="3906" stopIfTrue="1">
      <formula>$A18="decimal"</formula>
    </cfRule>
  </conditionalFormatting>
  <conditionalFormatting sqref="B18:C18">
    <cfRule type="expression" dxfId="5" priority="3907" stopIfTrue="1">
      <formula>OR(AND(LEFT($A18, 16)="select_multiple ", LEN($A18)&gt;16, NOT(ISNUMBER(SEARCH(" ", $A18, 17)))), AND(LEFT($A18, 11)="select_one ", LEN($A18)&gt;11, NOT(ISNUMBER(SEARCH(" ", $A18, 12)))))</formula>
    </cfRule>
  </conditionalFormatting>
  <conditionalFormatting sqref="B18">
    <cfRule type="expression" dxfId="6" priority="3908" stopIfTrue="1">
      <formula>OR($A18="audio audit", $A18="text audit", $A18="speed violations count", $A18="speed violations list", $A18="speed violations audit")</formula>
    </cfRule>
  </conditionalFormatting>
  <conditionalFormatting sqref="B18:C18">
    <cfRule type="expression" dxfId="32" priority="3909" stopIfTrue="1">
      <formula>$A18="file"</formula>
    </cfRule>
  </conditionalFormatting>
  <conditionalFormatting sqref="B18:C18">
    <cfRule type="expression" dxfId="7" priority="3910" stopIfTrue="1">
      <formula>$A18="note"</formula>
    </cfRule>
  </conditionalFormatting>
  <conditionalFormatting sqref="B18:C18">
    <cfRule type="expression" dxfId="8" priority="3911" stopIfTrue="1">
      <formula>$A18="barcode"</formula>
    </cfRule>
  </conditionalFormatting>
  <conditionalFormatting sqref="B18:C18">
    <cfRule type="expression" dxfId="9" priority="3912" stopIfTrue="1">
      <formula>OR($A18="geopoint", $A18="geoshape", $A18="geotrace")</formula>
    </cfRule>
  </conditionalFormatting>
  <conditionalFormatting sqref="B18">
    <cfRule type="expression" dxfId="10" priority="3913" stopIfTrue="1">
      <formula>OR($A18="calculate", $A18="calculate_here")</formula>
    </cfRule>
  </conditionalFormatting>
  <conditionalFormatting sqref="B18:C18">
    <cfRule type="expression" dxfId="11" priority="3914" stopIfTrue="1">
      <formula>OR($A18="date", $A18="datetime", $A18="time")</formula>
    </cfRule>
  </conditionalFormatting>
  <conditionalFormatting sqref="B18:C18">
    <cfRule type="expression" dxfId="12" priority="3915" stopIfTrue="1">
      <formula>$A18="image"</formula>
    </cfRule>
  </conditionalFormatting>
  <conditionalFormatting sqref="B18:C18">
    <cfRule type="expression" dxfId="13" priority="3916" stopIfTrue="1">
      <formula>OR($A18="audio", $A18="video")</formula>
    </cfRule>
  </conditionalFormatting>
  <conditionalFormatting sqref="B18:E18">
    <cfRule type="expression" dxfId="33" priority="3917" stopIfTrue="1">
      <formula>$A18="file"</formula>
    </cfRule>
  </conditionalFormatting>
  <conditionalFormatting sqref="B18:E18">
    <cfRule type="expression" dxfId="34" priority="3918" stopIfTrue="1">
      <formula>$A18="enumerator"</formula>
    </cfRule>
  </conditionalFormatting>
  <conditionalFormatting sqref="B18:E18">
    <cfRule type="expression" dxfId="35" priority="3919" stopIfTrue="1">
      <formula>OR(AND(LEFT($A18, 14)="sensor_stream ", LEN($A18)&gt;14, NOT(ISNUMBER(SEARCH(" ", $A18, 15)))), AND(LEFT($A18, 17)="sensor_statistic ", LEN($A18)&gt;17, NOT(ISNUMBER(SEARCH(" ", $A18, 18)))))</formula>
    </cfRule>
  </conditionalFormatting>
  <conditionalFormatting sqref="B18:E18">
    <cfRule type="expression" dxfId="14" priority="3920" stopIfTrue="1">
      <formula>$A18="comments"</formula>
    </cfRule>
  </conditionalFormatting>
  <conditionalFormatting sqref="B18:E18">
    <cfRule type="expression" dxfId="15" priority="3921" stopIfTrue="1">
      <formula>OR($A18="audio", $A18="video")</formula>
    </cfRule>
  </conditionalFormatting>
  <conditionalFormatting sqref="B18:E18">
    <cfRule type="expression" dxfId="16" priority="3922" stopIfTrue="1">
      <formula>$A18="image"</formula>
    </cfRule>
  </conditionalFormatting>
  <conditionalFormatting sqref="B18:E18">
    <cfRule type="expression" dxfId="17" priority="3923" stopIfTrue="1">
      <formula>OR($A18="date", $A18="datetime", $A18="time")</formula>
    </cfRule>
  </conditionalFormatting>
  <conditionalFormatting sqref="B18:E18">
    <cfRule type="expression" dxfId="18" priority="3924" stopIfTrue="1">
      <formula>OR($A18="calculate", $A18="calculate_here")</formula>
    </cfRule>
  </conditionalFormatting>
  <conditionalFormatting sqref="B18:E18">
    <cfRule type="expression" dxfId="19" priority="3925" stopIfTrue="1">
      <formula>$A18="note"</formula>
    </cfRule>
  </conditionalFormatting>
  <conditionalFormatting sqref="B18:E18">
    <cfRule type="expression" dxfId="20" priority="3926" stopIfTrue="1">
      <formula>$A18="barcode"</formula>
    </cfRule>
  </conditionalFormatting>
  <conditionalFormatting sqref="B18:E18">
    <cfRule type="expression" dxfId="21" priority="3927" stopIfTrue="1">
      <formula>OR($A18="geopoint", $A18="geoshape", $A18="geotrace")</formula>
    </cfRule>
  </conditionalFormatting>
  <conditionalFormatting sqref="B18:E18">
    <cfRule type="expression" dxfId="22" priority="3928" stopIfTrue="1">
      <formula>OR($A18="audio audit", $A18="text audit", $A18="speed violations count", $A18="speed violations list", $A18="speed violations audit")</formula>
    </cfRule>
  </conditionalFormatting>
  <conditionalFormatting sqref="B18:E18">
    <cfRule type="expression" dxfId="23" priority="3929" stopIfTrue="1">
      <formula>OR($A18="username", $A18="phonenumber", $A18="start", $A18="end", $A18="deviceid", $A18="subscriberid", $A18="simserial", $A18="caseid")</formula>
    </cfRule>
  </conditionalFormatting>
  <conditionalFormatting sqref="B18:E18">
    <cfRule type="expression" dxfId="24" priority="3930" stopIfTrue="1">
      <formula>OR(AND(LEFT($A18, 16)="select_multiple ", LEN($A18)&gt;16, NOT(ISNUMBER(SEARCH(" ", $A18, 17)))), AND(LEFT($A18, 11)="select_one ", LEN($A18)&gt;11, NOT(ISNUMBER(SEARCH(" ", $A18, 12)))))</formula>
    </cfRule>
  </conditionalFormatting>
  <conditionalFormatting sqref="B18:E18">
    <cfRule type="expression" dxfId="25" priority="3931" stopIfTrue="1">
      <formula>$A18="decimal"</formula>
    </cfRule>
  </conditionalFormatting>
  <conditionalFormatting sqref="B18:E18">
    <cfRule type="expression" dxfId="26" priority="3932" stopIfTrue="1">
      <formula>$A18="integer"</formula>
    </cfRule>
  </conditionalFormatting>
  <conditionalFormatting sqref="B18:E18">
    <cfRule type="expression" dxfId="27" priority="3933" stopIfTrue="1">
      <formula>$A18="text"</formula>
    </cfRule>
  </conditionalFormatting>
  <conditionalFormatting sqref="B18:E18">
    <cfRule type="expression" dxfId="28" priority="3934" stopIfTrue="1">
      <formula>$A18="end repeat"</formula>
    </cfRule>
  </conditionalFormatting>
  <conditionalFormatting sqref="B18:E18">
    <cfRule type="expression" dxfId="28" priority="3935" stopIfTrue="1">
      <formula>$A18="begin repeat"</formula>
    </cfRule>
  </conditionalFormatting>
  <conditionalFormatting sqref="B18:E18">
    <cfRule type="expression" dxfId="29" priority="3936" stopIfTrue="1">
      <formula>$A18="end group"</formula>
    </cfRule>
  </conditionalFormatting>
  <conditionalFormatting sqref="B18:E18">
    <cfRule type="expression" dxfId="29" priority="3937" stopIfTrue="1">
      <formula>$A18="begin group"</formula>
    </cfRule>
  </conditionalFormatting>
  <conditionalFormatting sqref="B18">
    <cfRule type="expression" dxfId="30" priority="3938" stopIfTrue="1">
      <formula>$A18="comments"</formula>
    </cfRule>
  </conditionalFormatting>
  <conditionalFormatting sqref="B18">
    <cfRule type="expression" dxfId="36" priority="3939" stopIfTrue="1">
      <formula>OR(AND(LEFT($A18, 14)="sensor_stream ", LEN($A18)&gt;14, NOT(ISNUMBER(SEARCH(" ", $A18, 15)))), AND(LEFT($A18, 17)="sensor_statistic ", LEN($A18)&gt;17, NOT(ISNUMBER(SEARCH(" ", $A18, 18)))))</formula>
    </cfRule>
  </conditionalFormatting>
  <conditionalFormatting sqref="B14:C16">
    <cfRule type="expression" dxfId="0" priority="3940" stopIfTrue="1">
      <formula>$A14="begin group"</formula>
    </cfRule>
  </conditionalFormatting>
  <conditionalFormatting sqref="B14:C16">
    <cfRule type="expression" dxfId="1" priority="3941" stopIfTrue="1">
      <formula>$A14="begin repeat"</formula>
    </cfRule>
  </conditionalFormatting>
  <conditionalFormatting sqref="B14:E16">
    <cfRule type="expression" dxfId="31" priority="3942" stopIfTrue="1">
      <formula>$A14="enumerator"</formula>
    </cfRule>
  </conditionalFormatting>
  <conditionalFormatting sqref="B14:E16">
    <cfRule type="expression" dxfId="2" priority="3943" stopIfTrue="1">
      <formula>$A14="text"</formula>
    </cfRule>
  </conditionalFormatting>
  <conditionalFormatting sqref="B14:E16">
    <cfRule type="expression" dxfId="3" priority="3944" stopIfTrue="1">
      <formula>$A14="integer"</formula>
    </cfRule>
  </conditionalFormatting>
  <conditionalFormatting sqref="B14:E16">
    <cfRule type="expression" dxfId="4" priority="3945" stopIfTrue="1">
      <formula>$A14="decimal"</formula>
    </cfRule>
  </conditionalFormatting>
  <conditionalFormatting sqref="B14:C16">
    <cfRule type="expression" dxfId="5" priority="3946" stopIfTrue="1">
      <formula>OR(AND(LEFT($A14, 16)="select_multiple ", LEN($A14)&gt;16, NOT(ISNUMBER(SEARCH(" ", $A14, 17)))), AND(LEFT($A14, 11)="select_one ", LEN($A14)&gt;11, NOT(ISNUMBER(SEARCH(" ", $A14, 12)))))</formula>
    </cfRule>
  </conditionalFormatting>
  <conditionalFormatting sqref="B14:B16">
    <cfRule type="expression" dxfId="6" priority="3947" stopIfTrue="1">
      <formula>OR($A14="audio audit", $A14="text audit", $A14="speed violations count", $A14="speed violations list", $A14="speed violations audit")</formula>
    </cfRule>
  </conditionalFormatting>
  <conditionalFormatting sqref="B14:C16">
    <cfRule type="expression" dxfId="32" priority="3948" stopIfTrue="1">
      <formula>$A14="file"</formula>
    </cfRule>
  </conditionalFormatting>
  <conditionalFormatting sqref="B14:C16">
    <cfRule type="expression" dxfId="7" priority="3949" stopIfTrue="1">
      <formula>$A14="note"</formula>
    </cfRule>
  </conditionalFormatting>
  <conditionalFormatting sqref="B14:C16">
    <cfRule type="expression" dxfId="8" priority="3950" stopIfTrue="1">
      <formula>$A14="barcode"</formula>
    </cfRule>
  </conditionalFormatting>
  <conditionalFormatting sqref="B14:C16">
    <cfRule type="expression" dxfId="9" priority="3951" stopIfTrue="1">
      <formula>OR($A14="geopoint", $A14="geoshape", $A14="geotrace")</formula>
    </cfRule>
  </conditionalFormatting>
  <conditionalFormatting sqref="B14:B16">
    <cfRule type="expression" dxfId="10" priority="3952" stopIfTrue="1">
      <formula>OR($A14="calculate", $A14="calculate_here")</formula>
    </cfRule>
  </conditionalFormatting>
  <conditionalFormatting sqref="B14:C16">
    <cfRule type="expression" dxfId="11" priority="3953" stopIfTrue="1">
      <formula>OR($A14="date", $A14="datetime", $A14="time")</formula>
    </cfRule>
  </conditionalFormatting>
  <conditionalFormatting sqref="B14:C16">
    <cfRule type="expression" dxfId="12" priority="3954" stopIfTrue="1">
      <formula>$A14="image"</formula>
    </cfRule>
  </conditionalFormatting>
  <conditionalFormatting sqref="B14:C16">
    <cfRule type="expression" dxfId="13" priority="3955" stopIfTrue="1">
      <formula>OR($A14="audio", $A14="video")</formula>
    </cfRule>
  </conditionalFormatting>
  <conditionalFormatting sqref="B14:E16">
    <cfRule type="expression" dxfId="33" priority="3956" stopIfTrue="1">
      <formula>$A14="file"</formula>
    </cfRule>
  </conditionalFormatting>
  <conditionalFormatting sqref="B14:E16">
    <cfRule type="expression" dxfId="34" priority="3957" stopIfTrue="1">
      <formula>$A14="enumerator"</formula>
    </cfRule>
  </conditionalFormatting>
  <conditionalFormatting sqref="B14:E16">
    <cfRule type="expression" dxfId="35" priority="3958" stopIfTrue="1">
      <formula>OR(AND(LEFT($A14, 14)="sensor_stream ", LEN($A14)&gt;14, NOT(ISNUMBER(SEARCH(" ", $A14, 15)))), AND(LEFT($A14, 17)="sensor_statistic ", LEN($A14)&gt;17, NOT(ISNUMBER(SEARCH(" ", $A14, 18)))))</formula>
    </cfRule>
  </conditionalFormatting>
  <conditionalFormatting sqref="B14:E16">
    <cfRule type="expression" dxfId="14" priority="3959" stopIfTrue="1">
      <formula>$A14="comments"</formula>
    </cfRule>
  </conditionalFormatting>
  <conditionalFormatting sqref="B14:E16">
    <cfRule type="expression" dxfId="15" priority="3960" stopIfTrue="1">
      <formula>OR($A14="audio", $A14="video")</formula>
    </cfRule>
  </conditionalFormatting>
  <conditionalFormatting sqref="B14:E16">
    <cfRule type="expression" dxfId="16" priority="3961" stopIfTrue="1">
      <formula>$A14="image"</formula>
    </cfRule>
  </conditionalFormatting>
  <conditionalFormatting sqref="B14:E16">
    <cfRule type="expression" dxfId="17" priority="3962" stopIfTrue="1">
      <formula>OR($A14="date", $A14="datetime", $A14="time")</formula>
    </cfRule>
  </conditionalFormatting>
  <conditionalFormatting sqref="B14:E16">
    <cfRule type="expression" dxfId="18" priority="3963" stopIfTrue="1">
      <formula>OR($A14="calculate", $A14="calculate_here")</formula>
    </cfRule>
  </conditionalFormatting>
  <conditionalFormatting sqref="B14:E16">
    <cfRule type="expression" dxfId="19" priority="3964" stopIfTrue="1">
      <formula>$A14="note"</formula>
    </cfRule>
  </conditionalFormatting>
  <conditionalFormatting sqref="B14:E16">
    <cfRule type="expression" dxfId="20" priority="3965" stopIfTrue="1">
      <formula>$A14="barcode"</formula>
    </cfRule>
  </conditionalFormatting>
  <conditionalFormatting sqref="B14:E16">
    <cfRule type="expression" dxfId="21" priority="3966" stopIfTrue="1">
      <formula>OR($A14="geopoint", $A14="geoshape", $A14="geotrace")</formula>
    </cfRule>
  </conditionalFormatting>
  <conditionalFormatting sqref="B14:E16">
    <cfRule type="expression" dxfId="22" priority="3967" stopIfTrue="1">
      <formula>OR($A14="audio audit", $A14="text audit", $A14="speed violations count", $A14="speed violations list", $A14="speed violations audit")</formula>
    </cfRule>
  </conditionalFormatting>
  <conditionalFormatting sqref="B14:E16">
    <cfRule type="expression" dxfId="23" priority="3968" stopIfTrue="1">
      <formula>OR($A14="username", $A14="phonenumber", $A14="start", $A14="end", $A14="deviceid", $A14="subscriberid", $A14="simserial", $A14="caseid")</formula>
    </cfRule>
  </conditionalFormatting>
  <conditionalFormatting sqref="B14:E16">
    <cfRule type="expression" dxfId="24" priority="3969" stopIfTrue="1">
      <formula>OR(AND(LEFT($A14, 16)="select_multiple ", LEN($A14)&gt;16, NOT(ISNUMBER(SEARCH(" ", $A14, 17)))), AND(LEFT($A14, 11)="select_one ", LEN($A14)&gt;11, NOT(ISNUMBER(SEARCH(" ", $A14, 12)))))</formula>
    </cfRule>
  </conditionalFormatting>
  <conditionalFormatting sqref="B14:E16">
    <cfRule type="expression" dxfId="25" priority="3970" stopIfTrue="1">
      <formula>$A14="decimal"</formula>
    </cfRule>
  </conditionalFormatting>
  <conditionalFormatting sqref="B14:E16">
    <cfRule type="expression" dxfId="26" priority="3971" stopIfTrue="1">
      <formula>$A14="integer"</formula>
    </cfRule>
  </conditionalFormatting>
  <conditionalFormatting sqref="B14:E16">
    <cfRule type="expression" dxfId="27" priority="3972" stopIfTrue="1">
      <formula>$A14="text"</formula>
    </cfRule>
  </conditionalFormatting>
  <conditionalFormatting sqref="B14:E16">
    <cfRule type="expression" dxfId="28" priority="3973" stopIfTrue="1">
      <formula>$A14="end repeat"</formula>
    </cfRule>
  </conditionalFormatting>
  <conditionalFormatting sqref="B14:E16">
    <cfRule type="expression" dxfId="28" priority="3974" stopIfTrue="1">
      <formula>$A14="begin repeat"</formula>
    </cfRule>
  </conditionalFormatting>
  <conditionalFormatting sqref="B14:E16">
    <cfRule type="expression" dxfId="29" priority="3975" stopIfTrue="1">
      <formula>$A14="end group"</formula>
    </cfRule>
  </conditionalFormatting>
  <conditionalFormatting sqref="B14:E16">
    <cfRule type="expression" dxfId="29" priority="3976" stopIfTrue="1">
      <formula>$A14="begin group"</formula>
    </cfRule>
  </conditionalFormatting>
  <conditionalFormatting sqref="B14:B16">
    <cfRule type="expression" dxfId="30" priority="3977" stopIfTrue="1">
      <formula>$A14="comments"</formula>
    </cfRule>
  </conditionalFormatting>
  <conditionalFormatting sqref="B14:B16">
    <cfRule type="expression" dxfId="36" priority="3978" stopIfTrue="1">
      <formula>OR(AND(LEFT($A14, 14)="sensor_stream ", LEN($A14)&gt;14, NOT(ISNUMBER(SEARCH(" ", $A14, 15)))), AND(LEFT($A14, 17)="sensor_statistic ", LEN($A14)&gt;17, NOT(ISNUMBER(SEARCH(" ", $A14, 18)))))</formula>
    </cfRule>
  </conditionalFormatting>
  <conditionalFormatting sqref="B10:C10">
    <cfRule type="expression" dxfId="0" priority="3979" stopIfTrue="1">
      <formula>$A10="begin group"</formula>
    </cfRule>
  </conditionalFormatting>
  <conditionalFormatting sqref="B10:C10">
    <cfRule type="expression" dxfId="1" priority="3980" stopIfTrue="1">
      <formula>$A10="begin repeat"</formula>
    </cfRule>
  </conditionalFormatting>
  <conditionalFormatting sqref="B10:E10">
    <cfRule type="expression" dxfId="31" priority="3981" stopIfTrue="1">
      <formula>$A10="enumerator"</formula>
    </cfRule>
  </conditionalFormatting>
  <conditionalFormatting sqref="B10:E10">
    <cfRule type="expression" dxfId="2" priority="3982" stopIfTrue="1">
      <formula>$A10="text"</formula>
    </cfRule>
  </conditionalFormatting>
  <conditionalFormatting sqref="B10:E10">
    <cfRule type="expression" dxfId="3" priority="3983" stopIfTrue="1">
      <formula>$A10="integer"</formula>
    </cfRule>
  </conditionalFormatting>
  <conditionalFormatting sqref="B10:E10">
    <cfRule type="expression" dxfId="4" priority="3984" stopIfTrue="1">
      <formula>$A10="decimal"</formula>
    </cfRule>
  </conditionalFormatting>
  <conditionalFormatting sqref="B10:C10">
    <cfRule type="expression" dxfId="5" priority="3985" stopIfTrue="1">
      <formula>OR(AND(LEFT($A10, 16)="select_multiple ", LEN($A10)&gt;16, NOT(ISNUMBER(SEARCH(" ", $A10, 17)))), AND(LEFT($A10, 11)="select_one ", LEN($A10)&gt;11, NOT(ISNUMBER(SEARCH(" ", $A10, 12)))))</formula>
    </cfRule>
  </conditionalFormatting>
  <conditionalFormatting sqref="B10">
    <cfRule type="expression" dxfId="6" priority="3986" stopIfTrue="1">
      <formula>OR($A10="audio audit", $A10="text audit", $A10="speed violations count", $A10="speed violations list", $A10="speed violations audit")</formula>
    </cfRule>
  </conditionalFormatting>
  <conditionalFormatting sqref="B10:C10">
    <cfRule type="expression" dxfId="32" priority="3987" stopIfTrue="1">
      <formula>$A10="file"</formula>
    </cfRule>
  </conditionalFormatting>
  <conditionalFormatting sqref="B10:C10">
    <cfRule type="expression" dxfId="7" priority="3988" stopIfTrue="1">
      <formula>$A10="note"</formula>
    </cfRule>
  </conditionalFormatting>
  <conditionalFormatting sqref="B10:C10">
    <cfRule type="expression" dxfId="8" priority="3989" stopIfTrue="1">
      <formula>$A10="barcode"</formula>
    </cfRule>
  </conditionalFormatting>
  <conditionalFormatting sqref="B10:C10">
    <cfRule type="expression" dxfId="9" priority="3990" stopIfTrue="1">
      <formula>OR($A10="geopoint", $A10="geoshape", $A10="geotrace")</formula>
    </cfRule>
  </conditionalFormatting>
  <conditionalFormatting sqref="B10">
    <cfRule type="expression" dxfId="10" priority="3991" stopIfTrue="1">
      <formula>OR($A10="calculate", $A10="calculate_here")</formula>
    </cfRule>
  </conditionalFormatting>
  <conditionalFormatting sqref="B10:C10">
    <cfRule type="expression" dxfId="11" priority="3992" stopIfTrue="1">
      <formula>OR($A10="date", $A10="datetime", $A10="time")</formula>
    </cfRule>
  </conditionalFormatting>
  <conditionalFormatting sqref="B10:C10">
    <cfRule type="expression" dxfId="12" priority="3993" stopIfTrue="1">
      <formula>$A10="image"</formula>
    </cfRule>
  </conditionalFormatting>
  <conditionalFormatting sqref="B10:C10">
    <cfRule type="expression" dxfId="13" priority="3994" stopIfTrue="1">
      <formula>OR($A10="audio", $A10="video")</formula>
    </cfRule>
  </conditionalFormatting>
  <conditionalFormatting sqref="B10:E10">
    <cfRule type="expression" dxfId="33" priority="3995" stopIfTrue="1">
      <formula>$A10="file"</formula>
    </cfRule>
  </conditionalFormatting>
  <conditionalFormatting sqref="B10:E10">
    <cfRule type="expression" dxfId="34" priority="3996" stopIfTrue="1">
      <formula>$A10="enumerator"</formula>
    </cfRule>
  </conditionalFormatting>
  <conditionalFormatting sqref="B10:E10">
    <cfRule type="expression" dxfId="35" priority="3997" stopIfTrue="1">
      <formula>OR(AND(LEFT($A10, 14)="sensor_stream ", LEN($A10)&gt;14, NOT(ISNUMBER(SEARCH(" ", $A10, 15)))), AND(LEFT($A10, 17)="sensor_statistic ", LEN($A10)&gt;17, NOT(ISNUMBER(SEARCH(" ", $A10, 18)))))</formula>
    </cfRule>
  </conditionalFormatting>
  <conditionalFormatting sqref="B10:E10">
    <cfRule type="expression" dxfId="14" priority="3998" stopIfTrue="1">
      <formula>$A10="comments"</formula>
    </cfRule>
  </conditionalFormatting>
  <conditionalFormatting sqref="B10:E10">
    <cfRule type="expression" dxfId="15" priority="3999" stopIfTrue="1">
      <formula>OR($A10="audio", $A10="video")</formula>
    </cfRule>
  </conditionalFormatting>
  <conditionalFormatting sqref="B10:E10">
    <cfRule type="expression" dxfId="16" priority="4000" stopIfTrue="1">
      <formula>$A10="image"</formula>
    </cfRule>
  </conditionalFormatting>
  <conditionalFormatting sqref="B10:E10">
    <cfRule type="expression" dxfId="17" priority="4001" stopIfTrue="1">
      <formula>OR($A10="date", $A10="datetime", $A10="time")</formula>
    </cfRule>
  </conditionalFormatting>
  <conditionalFormatting sqref="B10:E10">
    <cfRule type="expression" dxfId="18" priority="4002" stopIfTrue="1">
      <formula>OR($A10="calculate", $A10="calculate_here")</formula>
    </cfRule>
  </conditionalFormatting>
  <conditionalFormatting sqref="B10:E10">
    <cfRule type="expression" dxfId="19" priority="4003" stopIfTrue="1">
      <formula>$A10="note"</formula>
    </cfRule>
  </conditionalFormatting>
  <conditionalFormatting sqref="B10:E10">
    <cfRule type="expression" dxfId="20" priority="4004" stopIfTrue="1">
      <formula>$A10="barcode"</formula>
    </cfRule>
  </conditionalFormatting>
  <conditionalFormatting sqref="B10:E10">
    <cfRule type="expression" dxfId="21" priority="4005" stopIfTrue="1">
      <formula>OR($A10="geopoint", $A10="geoshape", $A10="geotrace")</formula>
    </cfRule>
  </conditionalFormatting>
  <conditionalFormatting sqref="B10:E10">
    <cfRule type="expression" dxfId="22" priority="4006" stopIfTrue="1">
      <formula>OR($A10="audio audit", $A10="text audit", $A10="speed violations count", $A10="speed violations list", $A10="speed violations audit")</formula>
    </cfRule>
  </conditionalFormatting>
  <conditionalFormatting sqref="B10:E10">
    <cfRule type="expression" dxfId="23" priority="4007" stopIfTrue="1">
      <formula>OR($A10="username", $A10="phonenumber", $A10="start", $A10="end", $A10="deviceid", $A10="subscriberid", $A10="simserial", $A10="caseid")</formula>
    </cfRule>
  </conditionalFormatting>
  <conditionalFormatting sqref="B10:E10">
    <cfRule type="expression" dxfId="24" priority="4008" stopIfTrue="1">
      <formula>OR(AND(LEFT($A10, 16)="select_multiple ", LEN($A10)&gt;16, NOT(ISNUMBER(SEARCH(" ", $A10, 17)))), AND(LEFT($A10, 11)="select_one ", LEN($A10)&gt;11, NOT(ISNUMBER(SEARCH(" ", $A10, 12)))))</formula>
    </cfRule>
  </conditionalFormatting>
  <conditionalFormatting sqref="B10:E10">
    <cfRule type="expression" dxfId="25" priority="4009" stopIfTrue="1">
      <formula>$A10="decimal"</formula>
    </cfRule>
  </conditionalFormatting>
  <conditionalFormatting sqref="B10:E10">
    <cfRule type="expression" dxfId="26" priority="4010" stopIfTrue="1">
      <formula>$A10="integer"</formula>
    </cfRule>
  </conditionalFormatting>
  <conditionalFormatting sqref="B10:E10">
    <cfRule type="expression" dxfId="27" priority="4011" stopIfTrue="1">
      <formula>$A10="text"</formula>
    </cfRule>
  </conditionalFormatting>
  <conditionalFormatting sqref="B10:E10">
    <cfRule type="expression" dxfId="28" priority="4012" stopIfTrue="1">
      <formula>$A10="end repeat"</formula>
    </cfRule>
  </conditionalFormatting>
  <conditionalFormatting sqref="B10:E10">
    <cfRule type="expression" dxfId="28" priority="4013" stopIfTrue="1">
      <formula>$A10="begin repeat"</formula>
    </cfRule>
  </conditionalFormatting>
  <conditionalFormatting sqref="B10:E10">
    <cfRule type="expression" dxfId="29" priority="4014" stopIfTrue="1">
      <formula>$A10="end group"</formula>
    </cfRule>
  </conditionalFormatting>
  <conditionalFormatting sqref="B10:E10">
    <cfRule type="expression" dxfId="29" priority="4015" stopIfTrue="1">
      <formula>$A10="begin group"</formula>
    </cfRule>
  </conditionalFormatting>
  <conditionalFormatting sqref="B10">
    <cfRule type="expression" dxfId="30" priority="4016" stopIfTrue="1">
      <formula>$A10="comments"</formula>
    </cfRule>
  </conditionalFormatting>
  <conditionalFormatting sqref="B10">
    <cfRule type="expression" dxfId="36" priority="4017" stopIfTrue="1">
      <formula>OR(AND(LEFT($A10, 14)="sensor_stream ", LEN($A10)&gt;14, NOT(ISNUMBER(SEARCH(" ", $A10, 15)))), AND(LEFT($A10, 17)="sensor_statistic ", LEN($A10)&gt;17, NOT(ISNUMBER(SEARCH(" ", $A10, 18)))))</formula>
    </cfRule>
  </conditionalFormatting>
  <conditionalFormatting sqref="B1:C1">
    <cfRule type="expression" dxfId="0" priority="4018" stopIfTrue="1">
      <formula>$A1="begin group"</formula>
    </cfRule>
  </conditionalFormatting>
  <conditionalFormatting sqref="B1:C1">
    <cfRule type="expression" dxfId="1" priority="4019" stopIfTrue="1">
      <formula>$A1="begin repeat"</formula>
    </cfRule>
  </conditionalFormatting>
  <conditionalFormatting sqref="B1:E1">
    <cfRule type="expression" dxfId="31" priority="4020" stopIfTrue="1">
      <formula>$A1="enumerator"</formula>
    </cfRule>
  </conditionalFormatting>
  <conditionalFormatting sqref="B1:E1">
    <cfRule type="expression" dxfId="2" priority="4021" stopIfTrue="1">
      <formula>$A1="text"</formula>
    </cfRule>
  </conditionalFormatting>
  <conditionalFormatting sqref="B1:E1">
    <cfRule type="expression" dxfId="3" priority="4022" stopIfTrue="1">
      <formula>$A1="integer"</formula>
    </cfRule>
  </conditionalFormatting>
  <conditionalFormatting sqref="B1:E1">
    <cfRule type="expression" dxfId="4" priority="4023" stopIfTrue="1">
      <formula>$A1="decimal"</formula>
    </cfRule>
  </conditionalFormatting>
  <conditionalFormatting sqref="B1:C1">
    <cfRule type="expression" dxfId="5" priority="4024" stopIfTrue="1">
      <formula>OR(AND(LEFT($A1, 16)="select_multiple ", LEN($A1)&gt;16, NOT(ISNUMBER(SEARCH(" ", $A1, 17)))), AND(LEFT($A1, 11)="select_one ", LEN($A1)&gt;11, NOT(ISNUMBER(SEARCH(" ", $A1, 12)))))</formula>
    </cfRule>
  </conditionalFormatting>
  <conditionalFormatting sqref="B1">
    <cfRule type="expression" dxfId="6" priority="4025" stopIfTrue="1">
      <formula>OR($A1="audio audit", $A1="text audit", $A1="speed violations count", $A1="speed violations list", $A1="speed violations audit")</formula>
    </cfRule>
  </conditionalFormatting>
  <conditionalFormatting sqref="B1:C1">
    <cfRule type="expression" dxfId="32" priority="4026" stopIfTrue="1">
      <formula>$A1="file"</formula>
    </cfRule>
  </conditionalFormatting>
  <conditionalFormatting sqref="B1:C1">
    <cfRule type="expression" dxfId="7" priority="4027" stopIfTrue="1">
      <formula>$A1="note"</formula>
    </cfRule>
  </conditionalFormatting>
  <conditionalFormatting sqref="B1:C1">
    <cfRule type="expression" dxfId="8" priority="4028" stopIfTrue="1">
      <formula>$A1="barcode"</formula>
    </cfRule>
  </conditionalFormatting>
  <conditionalFormatting sqref="B1:C1">
    <cfRule type="expression" dxfId="9" priority="4029" stopIfTrue="1">
      <formula>OR($A1="geopoint", $A1="geoshape", $A1="geotrace")</formula>
    </cfRule>
  </conditionalFormatting>
  <conditionalFormatting sqref="B1">
    <cfRule type="expression" dxfId="10" priority="4030" stopIfTrue="1">
      <formula>OR($A1="calculate", $A1="calculate_here")</formula>
    </cfRule>
  </conditionalFormatting>
  <conditionalFormatting sqref="B1:C1">
    <cfRule type="expression" dxfId="11" priority="4031" stopIfTrue="1">
      <formula>OR($A1="date", $A1="datetime", $A1="time")</formula>
    </cfRule>
  </conditionalFormatting>
  <conditionalFormatting sqref="B1:C1">
    <cfRule type="expression" dxfId="12" priority="4032" stopIfTrue="1">
      <formula>$A1="image"</formula>
    </cfRule>
  </conditionalFormatting>
  <conditionalFormatting sqref="B1:C1">
    <cfRule type="expression" dxfId="13" priority="4033" stopIfTrue="1">
      <formula>OR($A1="audio", $A1="video")</formula>
    </cfRule>
  </conditionalFormatting>
  <conditionalFormatting sqref="B1:E1">
    <cfRule type="expression" dxfId="33" priority="4034" stopIfTrue="1">
      <formula>$A1="file"</formula>
    </cfRule>
  </conditionalFormatting>
  <conditionalFormatting sqref="B1:E1">
    <cfRule type="expression" dxfId="34" priority="4035" stopIfTrue="1">
      <formula>$A1="enumerator"</formula>
    </cfRule>
  </conditionalFormatting>
  <conditionalFormatting sqref="B1:E1">
    <cfRule type="expression" dxfId="35" priority="4036" stopIfTrue="1">
      <formula>OR(AND(LEFT($A1, 14)="sensor_stream ", LEN($A1)&gt;14, NOT(ISNUMBER(SEARCH(" ", $A1, 15)))), AND(LEFT($A1, 17)="sensor_statistic ", LEN($A1)&gt;17, NOT(ISNUMBER(SEARCH(" ", $A1, 18)))))</formula>
    </cfRule>
  </conditionalFormatting>
  <conditionalFormatting sqref="B1:E1">
    <cfRule type="expression" dxfId="14" priority="4037" stopIfTrue="1">
      <formula>$A1="comments"</formula>
    </cfRule>
  </conditionalFormatting>
  <conditionalFormatting sqref="B1:E1">
    <cfRule type="expression" dxfId="15" priority="4038" stopIfTrue="1">
      <formula>OR($A1="audio", $A1="video")</formula>
    </cfRule>
  </conditionalFormatting>
  <conditionalFormatting sqref="B1:E1">
    <cfRule type="expression" dxfId="16" priority="4039" stopIfTrue="1">
      <formula>$A1="image"</formula>
    </cfRule>
  </conditionalFormatting>
  <conditionalFormatting sqref="B1:E1">
    <cfRule type="expression" dxfId="17" priority="4040" stopIfTrue="1">
      <formula>OR($A1="date", $A1="datetime", $A1="time")</formula>
    </cfRule>
  </conditionalFormatting>
  <conditionalFormatting sqref="B1:E1">
    <cfRule type="expression" dxfId="18" priority="4041" stopIfTrue="1">
      <formula>OR($A1="calculate", $A1="calculate_here")</formula>
    </cfRule>
  </conditionalFormatting>
  <conditionalFormatting sqref="B1:E1">
    <cfRule type="expression" dxfId="19" priority="4042" stopIfTrue="1">
      <formula>$A1="note"</formula>
    </cfRule>
  </conditionalFormatting>
  <conditionalFormatting sqref="B1:E1">
    <cfRule type="expression" dxfId="20" priority="4043" stopIfTrue="1">
      <formula>$A1="barcode"</formula>
    </cfRule>
  </conditionalFormatting>
  <conditionalFormatting sqref="B1:E1">
    <cfRule type="expression" dxfId="21" priority="4044" stopIfTrue="1">
      <formula>OR($A1="geopoint", $A1="geoshape", $A1="geotrace")</formula>
    </cfRule>
  </conditionalFormatting>
  <conditionalFormatting sqref="B1:E1">
    <cfRule type="expression" dxfId="22" priority="4045" stopIfTrue="1">
      <formula>OR($A1="audio audit", $A1="text audit", $A1="speed violations count", $A1="speed violations list", $A1="speed violations audit")</formula>
    </cfRule>
  </conditionalFormatting>
  <conditionalFormatting sqref="B1:E1">
    <cfRule type="expression" dxfId="23" priority="4046" stopIfTrue="1">
      <formula>OR($A1="username", $A1="phonenumber", $A1="start", $A1="end", $A1="deviceid", $A1="subscriberid", $A1="simserial", $A1="caseid")</formula>
    </cfRule>
  </conditionalFormatting>
  <conditionalFormatting sqref="B1:E1">
    <cfRule type="expression" dxfId="24" priority="4047" stopIfTrue="1">
      <formula>OR(AND(LEFT($A1, 16)="select_multiple ", LEN($A1)&gt;16, NOT(ISNUMBER(SEARCH(" ", $A1, 17)))), AND(LEFT($A1, 11)="select_one ", LEN($A1)&gt;11, NOT(ISNUMBER(SEARCH(" ", $A1, 12)))))</formula>
    </cfRule>
  </conditionalFormatting>
  <conditionalFormatting sqref="B1:E1">
    <cfRule type="expression" dxfId="25" priority="4048" stopIfTrue="1">
      <formula>$A1="decimal"</formula>
    </cfRule>
  </conditionalFormatting>
  <conditionalFormatting sqref="B1:E1">
    <cfRule type="expression" dxfId="26" priority="4049" stopIfTrue="1">
      <formula>$A1="integer"</formula>
    </cfRule>
  </conditionalFormatting>
  <conditionalFormatting sqref="B1:E1">
    <cfRule type="expression" dxfId="27" priority="4050" stopIfTrue="1">
      <formula>$A1="text"</formula>
    </cfRule>
  </conditionalFormatting>
  <conditionalFormatting sqref="B1:E1">
    <cfRule type="expression" dxfId="28" priority="4051" stopIfTrue="1">
      <formula>$A1="end repeat"</formula>
    </cfRule>
  </conditionalFormatting>
  <conditionalFormatting sqref="B1:E1">
    <cfRule type="expression" dxfId="28" priority="4052" stopIfTrue="1">
      <formula>$A1="begin repeat"</formula>
    </cfRule>
  </conditionalFormatting>
  <conditionalFormatting sqref="B1:E1">
    <cfRule type="expression" dxfId="29" priority="4053" stopIfTrue="1">
      <formula>$A1="end group"</formula>
    </cfRule>
  </conditionalFormatting>
  <conditionalFormatting sqref="B1:E1">
    <cfRule type="expression" dxfId="29" priority="4054" stopIfTrue="1">
      <formula>$A1="begin group"</formula>
    </cfRule>
  </conditionalFormatting>
  <conditionalFormatting sqref="B1">
    <cfRule type="expression" dxfId="30" priority="4055" stopIfTrue="1">
      <formula>$A1="comments"</formula>
    </cfRule>
  </conditionalFormatting>
  <conditionalFormatting sqref="B1">
    <cfRule type="expression" dxfId="36" priority="4056" stopIfTrue="1">
      <formula>OR(AND(LEFT($A1, 14)="sensor_stream ", LEN($A1)&gt;14, NOT(ISNUMBER(SEARCH(" ", $A1, 15)))), AND(LEFT($A1, 17)="sensor_statistic ", LEN($A1)&gt;17, NOT(ISNUMBER(SEARCH(" ", $A1, 18)))))</formula>
    </cfRule>
  </conditionalFormatting>
  <conditionalFormatting sqref="A2001:A2836">
    <cfRule type="expression" dxfId="33" priority="4057" stopIfTrue="1">
      <formula>$A2001="file"</formula>
    </cfRule>
  </conditionalFormatting>
  <conditionalFormatting sqref="A2001:A2836">
    <cfRule type="expression" dxfId="34" priority="4058" stopIfTrue="1">
      <formula>$A2001="enumerator"</formula>
    </cfRule>
  </conditionalFormatting>
  <conditionalFormatting sqref="A2001:A2836">
    <cfRule type="expression" dxfId="35" priority="4059" stopIfTrue="1">
      <formula>OR(AND(LEFT($A2001, 14)="sensor_stream ", LEN($A2001)&gt;14, NOT(ISNUMBER(SEARCH(" ", $A2001, 15)))), AND(LEFT($A2001, 17)="sensor_statistic ", LEN($A2001)&gt;17, NOT(ISNUMBER(SEARCH(" ", $A2001, 18)))))</formula>
    </cfRule>
  </conditionalFormatting>
  <conditionalFormatting sqref="A2001:A2836">
    <cfRule type="expression" dxfId="14" priority="4060" stopIfTrue="1">
      <formula>$A2001="comments"</formula>
    </cfRule>
  </conditionalFormatting>
  <conditionalFormatting sqref="A2001:A2836">
    <cfRule type="expression" dxfId="15" priority="4061" stopIfTrue="1">
      <formula>OR($A2001="audio", $A2001="video")</formula>
    </cfRule>
  </conditionalFormatting>
  <conditionalFormatting sqref="A2001:A2836">
    <cfRule type="expression" dxfId="16" priority="4062" stopIfTrue="1">
      <formula>$A2001="image"</formula>
    </cfRule>
  </conditionalFormatting>
  <conditionalFormatting sqref="A2001:A2836">
    <cfRule type="expression" dxfId="17" priority="4063" stopIfTrue="1">
      <formula>OR($A2001="date", $A2001="datetime", $A2001="time")</formula>
    </cfRule>
  </conditionalFormatting>
  <conditionalFormatting sqref="A2001:A2836">
    <cfRule type="expression" dxfId="18" priority="4064" stopIfTrue="1">
      <formula>OR($A2001="calculate", $A2001="calculate_here")</formula>
    </cfRule>
  </conditionalFormatting>
  <conditionalFormatting sqref="A2001:A2836">
    <cfRule type="expression" dxfId="19" priority="4065" stopIfTrue="1">
      <formula>$A2001="note"</formula>
    </cfRule>
  </conditionalFormatting>
  <conditionalFormatting sqref="A2001:A2836">
    <cfRule type="expression" dxfId="20" priority="4066" stopIfTrue="1">
      <formula>$A2001="barcode"</formula>
    </cfRule>
  </conditionalFormatting>
  <conditionalFormatting sqref="A2001:A2836">
    <cfRule type="expression" dxfId="21" priority="4067" stopIfTrue="1">
      <formula>OR($A2001="geopoint", $A2001="geoshape", $A2001="geotrace")</formula>
    </cfRule>
  </conditionalFormatting>
  <conditionalFormatting sqref="A2001:A2836">
    <cfRule type="expression" dxfId="22" priority="4068" stopIfTrue="1">
      <formula>OR($A2001="audio audit", $A2001="text audit", $A2001="speed violations count", $A2001="speed violations list", $A2001="speed violations audit")</formula>
    </cfRule>
  </conditionalFormatting>
  <conditionalFormatting sqref="A2001:A2836">
    <cfRule type="expression" dxfId="23" priority="4069" stopIfTrue="1">
      <formula>OR($A2001="username", $A2001="phonenumber", $A2001="start", $A2001="end", $A2001="deviceid", $A2001="subscriberid", $A2001="simserial", $A2001="caseid")</formula>
    </cfRule>
  </conditionalFormatting>
  <conditionalFormatting sqref="A2001:A2836">
    <cfRule type="expression" dxfId="24" priority="4070" stopIfTrue="1">
      <formula>OR(AND(LEFT($A2001, 16)="select_multiple ", LEN($A2001)&gt;16, NOT(ISNUMBER(SEARCH(" ", $A2001, 17)))), AND(LEFT($A2001, 11)="select_one ", LEN($A2001)&gt;11, NOT(ISNUMBER(SEARCH(" ", $A2001, 12)))))</formula>
    </cfRule>
  </conditionalFormatting>
  <conditionalFormatting sqref="A2001:A2836">
    <cfRule type="expression" dxfId="25" priority="4071" stopIfTrue="1">
      <formula>$A2001="decimal"</formula>
    </cfRule>
  </conditionalFormatting>
  <conditionalFormatting sqref="A2001:A2836">
    <cfRule type="expression" dxfId="26" priority="4072" stopIfTrue="1">
      <formula>$A2001="integer"</formula>
    </cfRule>
  </conditionalFormatting>
  <conditionalFormatting sqref="A2001:A2836">
    <cfRule type="expression" dxfId="27" priority="4073" stopIfTrue="1">
      <formula>$A2001="text"</formula>
    </cfRule>
  </conditionalFormatting>
  <conditionalFormatting sqref="A2001:A2836">
    <cfRule type="expression" dxfId="28" priority="4074" stopIfTrue="1">
      <formula>$A2001="end repeat"</formula>
    </cfRule>
  </conditionalFormatting>
  <conditionalFormatting sqref="A2001:A2836">
    <cfRule type="expression" dxfId="28" priority="4075" stopIfTrue="1">
      <formula>$A2001="begin repeat"</formula>
    </cfRule>
  </conditionalFormatting>
  <conditionalFormatting sqref="A2001:A2836">
    <cfRule type="expression" dxfId="29" priority="4076" stopIfTrue="1">
      <formula>$A2001="end group"</formula>
    </cfRule>
  </conditionalFormatting>
  <conditionalFormatting sqref="A2001:A2836">
    <cfRule type="expression" dxfId="29" priority="4077" stopIfTrue="1">
      <formula>$A2001="begin group"</formula>
    </cfRule>
  </conditionalFormatting>
  <conditionalFormatting sqref="A815">
    <cfRule type="expression" dxfId="33" priority="4078" stopIfTrue="1">
      <formula>$A815="file"</formula>
    </cfRule>
  </conditionalFormatting>
  <conditionalFormatting sqref="A815">
    <cfRule type="expression" dxfId="34" priority="4079" stopIfTrue="1">
      <formula>$A815="enumerator"</formula>
    </cfRule>
  </conditionalFormatting>
  <conditionalFormatting sqref="A815">
    <cfRule type="expression" dxfId="35" priority="4080" stopIfTrue="1">
      <formula>OR(AND(LEFT($A815, 14)="sensor_stream ", LEN($A815)&gt;14, NOT(ISNUMBER(SEARCH(" ", $A815, 15)))), AND(LEFT($A815, 17)="sensor_statistic ", LEN($A815)&gt;17, NOT(ISNUMBER(SEARCH(" ", $A815, 18)))))</formula>
    </cfRule>
  </conditionalFormatting>
  <conditionalFormatting sqref="A815">
    <cfRule type="expression" dxfId="14" priority="4081" stopIfTrue="1">
      <formula>$A815="comments"</formula>
    </cfRule>
  </conditionalFormatting>
  <conditionalFormatting sqref="A815">
    <cfRule type="expression" dxfId="15" priority="4082" stopIfTrue="1">
      <formula>OR($A815="audio", $A815="video")</formula>
    </cfRule>
  </conditionalFormatting>
  <conditionalFormatting sqref="A815">
    <cfRule type="expression" dxfId="16" priority="4083" stopIfTrue="1">
      <formula>$A815="image"</formula>
    </cfRule>
  </conditionalFormatting>
  <conditionalFormatting sqref="A815">
    <cfRule type="expression" dxfId="17" priority="4084" stopIfTrue="1">
      <formula>OR($A815="date", $A815="datetime", $A815="time")</formula>
    </cfRule>
  </conditionalFormatting>
  <conditionalFormatting sqref="A815">
    <cfRule type="expression" dxfId="18" priority="4085" stopIfTrue="1">
      <formula>OR($A815="calculate", $A815="calculate_here")</formula>
    </cfRule>
  </conditionalFormatting>
  <conditionalFormatting sqref="A815">
    <cfRule type="expression" dxfId="19" priority="4086" stopIfTrue="1">
      <formula>$A815="note"</formula>
    </cfRule>
  </conditionalFormatting>
  <conditionalFormatting sqref="A815">
    <cfRule type="expression" dxfId="20" priority="4087" stopIfTrue="1">
      <formula>$A815="barcode"</formula>
    </cfRule>
  </conditionalFormatting>
  <conditionalFormatting sqref="A815">
    <cfRule type="expression" dxfId="21" priority="4088" stopIfTrue="1">
      <formula>OR($A815="geopoint", $A815="geoshape", $A815="geotrace")</formula>
    </cfRule>
  </conditionalFormatting>
  <conditionalFormatting sqref="A815">
    <cfRule type="expression" dxfId="22" priority="4089" stopIfTrue="1">
      <formula>OR($A815="audio audit", $A815="text audit", $A815="speed violations count", $A815="speed violations list", $A815="speed violations audit")</formula>
    </cfRule>
  </conditionalFormatting>
  <conditionalFormatting sqref="A815">
    <cfRule type="expression" dxfId="23" priority="4090" stopIfTrue="1">
      <formula>OR($A815="username", $A815="phonenumber", $A815="start", $A815="end", $A815="deviceid", $A815="subscriberid", $A815="simserial", $A815="caseid")</formula>
    </cfRule>
  </conditionalFormatting>
  <conditionalFormatting sqref="A815">
    <cfRule type="expression" dxfId="24" priority="4091" stopIfTrue="1">
      <formula>OR(AND(LEFT($A815, 16)="select_multiple ", LEN($A815)&gt;16, NOT(ISNUMBER(SEARCH(" ", $A815, 17)))), AND(LEFT($A815, 11)="select_one ", LEN($A815)&gt;11, NOT(ISNUMBER(SEARCH(" ", $A815, 12)))))</formula>
    </cfRule>
  </conditionalFormatting>
  <conditionalFormatting sqref="A815">
    <cfRule type="expression" dxfId="25" priority="4092" stopIfTrue="1">
      <formula>$A815="decimal"</formula>
    </cfRule>
  </conditionalFormatting>
  <conditionalFormatting sqref="A815">
    <cfRule type="expression" dxfId="26" priority="4093" stopIfTrue="1">
      <formula>$A815="integer"</formula>
    </cfRule>
  </conditionalFormatting>
  <conditionalFormatting sqref="A815">
    <cfRule type="expression" dxfId="27" priority="4094" stopIfTrue="1">
      <formula>$A815="text"</formula>
    </cfRule>
  </conditionalFormatting>
  <conditionalFormatting sqref="A815">
    <cfRule type="expression" dxfId="28" priority="4095" stopIfTrue="1">
      <formula>$A815="end repeat"</formula>
    </cfRule>
  </conditionalFormatting>
  <conditionalFormatting sqref="A815">
    <cfRule type="expression" dxfId="28" priority="4096" stopIfTrue="1">
      <formula>$A815="begin repeat"</formula>
    </cfRule>
  </conditionalFormatting>
  <conditionalFormatting sqref="A815">
    <cfRule type="expression" dxfId="29" priority="4097" stopIfTrue="1">
      <formula>$A815="end group"</formula>
    </cfRule>
  </conditionalFormatting>
  <conditionalFormatting sqref="A815">
    <cfRule type="expression" dxfId="29" priority="4098" stopIfTrue="1">
      <formula>$A815="begin group"</formula>
    </cfRule>
  </conditionalFormatting>
  <conditionalFormatting sqref="A804:A808">
    <cfRule type="expression" dxfId="33" priority="4099" stopIfTrue="1">
      <formula>$A804="file"</formula>
    </cfRule>
  </conditionalFormatting>
  <conditionalFormatting sqref="A804:A808">
    <cfRule type="expression" dxfId="34" priority="4100" stopIfTrue="1">
      <formula>$A804="enumerator"</formula>
    </cfRule>
  </conditionalFormatting>
  <conditionalFormatting sqref="A804:A808">
    <cfRule type="expression" dxfId="35" priority="4101" stopIfTrue="1">
      <formula>OR(AND(LEFT($A804, 14)="sensor_stream ", LEN($A804)&gt;14, NOT(ISNUMBER(SEARCH(" ", $A804, 15)))), AND(LEFT($A804, 17)="sensor_statistic ", LEN($A804)&gt;17, NOT(ISNUMBER(SEARCH(" ", $A804, 18)))))</formula>
    </cfRule>
  </conditionalFormatting>
  <conditionalFormatting sqref="A804:A808">
    <cfRule type="expression" dxfId="14" priority="4102" stopIfTrue="1">
      <formula>$A804="comments"</formula>
    </cfRule>
  </conditionalFormatting>
  <conditionalFormatting sqref="A804:A808">
    <cfRule type="expression" dxfId="15" priority="4103" stopIfTrue="1">
      <formula>OR($A804="audio", $A804="video")</formula>
    </cfRule>
  </conditionalFormatting>
  <conditionalFormatting sqref="A804:A808">
    <cfRule type="expression" dxfId="16" priority="4104" stopIfTrue="1">
      <formula>$A804="image"</formula>
    </cfRule>
  </conditionalFormatting>
  <conditionalFormatting sqref="A804:A808">
    <cfRule type="expression" dxfId="17" priority="4105" stopIfTrue="1">
      <formula>OR($A804="date", $A804="datetime", $A804="time")</formula>
    </cfRule>
  </conditionalFormatting>
  <conditionalFormatting sqref="A804:A808">
    <cfRule type="expression" dxfId="18" priority="4106" stopIfTrue="1">
      <formula>OR($A804="calculate", $A804="calculate_here")</formula>
    </cfRule>
  </conditionalFormatting>
  <conditionalFormatting sqref="A804:A808">
    <cfRule type="expression" dxfId="19" priority="4107" stopIfTrue="1">
      <formula>$A804="note"</formula>
    </cfRule>
  </conditionalFormatting>
  <conditionalFormatting sqref="A804:A808">
    <cfRule type="expression" dxfId="20" priority="4108" stopIfTrue="1">
      <formula>$A804="barcode"</formula>
    </cfRule>
  </conditionalFormatting>
  <conditionalFormatting sqref="A804:A808">
    <cfRule type="expression" dxfId="21" priority="4109" stopIfTrue="1">
      <formula>OR($A804="geopoint", $A804="geoshape", $A804="geotrace")</formula>
    </cfRule>
  </conditionalFormatting>
  <conditionalFormatting sqref="A804:A808">
    <cfRule type="expression" dxfId="22" priority="4110" stopIfTrue="1">
      <formula>OR($A804="audio audit", $A804="text audit", $A804="speed violations count", $A804="speed violations list", $A804="speed violations audit")</formula>
    </cfRule>
  </conditionalFormatting>
  <conditionalFormatting sqref="A804:A808">
    <cfRule type="expression" dxfId="23" priority="4111" stopIfTrue="1">
      <formula>OR($A804="username", $A804="phonenumber", $A804="start", $A804="end", $A804="deviceid", $A804="subscriberid", $A804="simserial", $A804="caseid")</formula>
    </cfRule>
  </conditionalFormatting>
  <conditionalFormatting sqref="A804:A808">
    <cfRule type="expression" dxfId="24" priority="4112" stopIfTrue="1">
      <formula>OR(AND(LEFT($A804, 16)="select_multiple ", LEN($A804)&gt;16, NOT(ISNUMBER(SEARCH(" ", $A804, 17)))), AND(LEFT($A804, 11)="select_one ", LEN($A804)&gt;11, NOT(ISNUMBER(SEARCH(" ", $A804, 12)))))</formula>
    </cfRule>
  </conditionalFormatting>
  <conditionalFormatting sqref="A804:A808">
    <cfRule type="expression" dxfId="25" priority="4113" stopIfTrue="1">
      <formula>$A804="decimal"</formula>
    </cfRule>
  </conditionalFormatting>
  <conditionalFormatting sqref="A804:A808">
    <cfRule type="expression" dxfId="26" priority="4114" stopIfTrue="1">
      <formula>$A804="integer"</formula>
    </cfRule>
  </conditionalFormatting>
  <conditionalFormatting sqref="A804:A808">
    <cfRule type="expression" dxfId="27" priority="4115" stopIfTrue="1">
      <formula>$A804="text"</formula>
    </cfRule>
  </conditionalFormatting>
  <conditionalFormatting sqref="A804:A808">
    <cfRule type="expression" dxfId="28" priority="4116" stopIfTrue="1">
      <formula>$A804="end repeat"</formula>
    </cfRule>
  </conditionalFormatting>
  <conditionalFormatting sqref="A804:A808">
    <cfRule type="expression" dxfId="28" priority="4117" stopIfTrue="1">
      <formula>$A804="begin repeat"</formula>
    </cfRule>
  </conditionalFormatting>
  <conditionalFormatting sqref="A804:A808">
    <cfRule type="expression" dxfId="29" priority="4118" stopIfTrue="1">
      <formula>$A804="end group"</formula>
    </cfRule>
  </conditionalFormatting>
  <conditionalFormatting sqref="A804:A808">
    <cfRule type="expression" dxfId="29" priority="4119" stopIfTrue="1">
      <formula>$A804="begin group"</formula>
    </cfRule>
  </conditionalFormatting>
  <conditionalFormatting sqref="A795:A800">
    <cfRule type="expression" dxfId="33" priority="4120" stopIfTrue="1">
      <formula>$A795="file"</formula>
    </cfRule>
  </conditionalFormatting>
  <conditionalFormatting sqref="A795:A800">
    <cfRule type="expression" dxfId="34" priority="4121" stopIfTrue="1">
      <formula>$A795="enumerator"</formula>
    </cfRule>
  </conditionalFormatting>
  <conditionalFormatting sqref="A795:A800">
    <cfRule type="expression" dxfId="35" priority="4122" stopIfTrue="1">
      <formula>OR(AND(LEFT($A795, 14)="sensor_stream ", LEN($A795)&gt;14, NOT(ISNUMBER(SEARCH(" ", $A795, 15)))), AND(LEFT($A795, 17)="sensor_statistic ", LEN($A795)&gt;17, NOT(ISNUMBER(SEARCH(" ", $A795, 18)))))</formula>
    </cfRule>
  </conditionalFormatting>
  <conditionalFormatting sqref="A795:A800">
    <cfRule type="expression" dxfId="14" priority="4123" stopIfTrue="1">
      <formula>$A795="comments"</formula>
    </cfRule>
  </conditionalFormatting>
  <conditionalFormatting sqref="A795:A800">
    <cfRule type="expression" dxfId="15" priority="4124" stopIfTrue="1">
      <formula>OR($A795="audio", $A795="video")</formula>
    </cfRule>
  </conditionalFormatting>
  <conditionalFormatting sqref="A795:A800">
    <cfRule type="expression" dxfId="16" priority="4125" stopIfTrue="1">
      <formula>$A795="image"</formula>
    </cfRule>
  </conditionalFormatting>
  <conditionalFormatting sqref="A795:A800">
    <cfRule type="expression" dxfId="17" priority="4126" stopIfTrue="1">
      <formula>OR($A795="date", $A795="datetime", $A795="time")</formula>
    </cfRule>
  </conditionalFormatting>
  <conditionalFormatting sqref="A795:A800">
    <cfRule type="expression" dxfId="18" priority="4127" stopIfTrue="1">
      <formula>OR($A795="calculate", $A795="calculate_here")</formula>
    </cfRule>
  </conditionalFormatting>
  <conditionalFormatting sqref="A795:A800">
    <cfRule type="expression" dxfId="19" priority="4128" stopIfTrue="1">
      <formula>$A795="note"</formula>
    </cfRule>
  </conditionalFormatting>
  <conditionalFormatting sqref="A795:A800">
    <cfRule type="expression" dxfId="20" priority="4129" stopIfTrue="1">
      <formula>$A795="barcode"</formula>
    </cfRule>
  </conditionalFormatting>
  <conditionalFormatting sqref="A795:A800">
    <cfRule type="expression" dxfId="21" priority="4130" stopIfTrue="1">
      <formula>OR($A795="geopoint", $A795="geoshape", $A795="geotrace")</formula>
    </cfRule>
  </conditionalFormatting>
  <conditionalFormatting sqref="A795:A800">
    <cfRule type="expression" dxfId="22" priority="4131" stopIfTrue="1">
      <formula>OR($A795="audio audit", $A795="text audit", $A795="speed violations count", $A795="speed violations list", $A795="speed violations audit")</formula>
    </cfRule>
  </conditionalFormatting>
  <conditionalFormatting sqref="A795:A800">
    <cfRule type="expression" dxfId="23" priority="4132" stopIfTrue="1">
      <formula>OR($A795="username", $A795="phonenumber", $A795="start", $A795="end", $A795="deviceid", $A795="subscriberid", $A795="simserial", $A795="caseid")</formula>
    </cfRule>
  </conditionalFormatting>
  <conditionalFormatting sqref="A795:A800">
    <cfRule type="expression" dxfId="24" priority="4133" stopIfTrue="1">
      <formula>OR(AND(LEFT($A795, 16)="select_multiple ", LEN($A795)&gt;16, NOT(ISNUMBER(SEARCH(" ", $A795, 17)))), AND(LEFT($A795, 11)="select_one ", LEN($A795)&gt;11, NOT(ISNUMBER(SEARCH(" ", $A795, 12)))))</formula>
    </cfRule>
  </conditionalFormatting>
  <conditionalFormatting sqref="A795:A800">
    <cfRule type="expression" dxfId="25" priority="4134" stopIfTrue="1">
      <formula>$A795="decimal"</formula>
    </cfRule>
  </conditionalFormatting>
  <conditionalFormatting sqref="A795:A800">
    <cfRule type="expression" dxfId="26" priority="4135" stopIfTrue="1">
      <formula>$A795="integer"</formula>
    </cfRule>
  </conditionalFormatting>
  <conditionalFormatting sqref="A795:A800">
    <cfRule type="expression" dxfId="27" priority="4136" stopIfTrue="1">
      <formula>$A795="text"</formula>
    </cfRule>
  </conditionalFormatting>
  <conditionalFormatting sqref="A795:A800">
    <cfRule type="expression" dxfId="28" priority="4137" stopIfTrue="1">
      <formula>$A795="end repeat"</formula>
    </cfRule>
  </conditionalFormatting>
  <conditionalFormatting sqref="A795:A800">
    <cfRule type="expression" dxfId="28" priority="4138" stopIfTrue="1">
      <formula>$A795="begin repeat"</formula>
    </cfRule>
  </conditionalFormatting>
  <conditionalFormatting sqref="A795:A800">
    <cfRule type="expression" dxfId="29" priority="4139" stopIfTrue="1">
      <formula>$A795="end group"</formula>
    </cfRule>
  </conditionalFormatting>
  <conditionalFormatting sqref="A795:A800">
    <cfRule type="expression" dxfId="29" priority="4140" stopIfTrue="1">
      <formula>$A795="begin group"</formula>
    </cfRule>
  </conditionalFormatting>
  <conditionalFormatting sqref="A791:A792">
    <cfRule type="expression" dxfId="33" priority="4141" stopIfTrue="1">
      <formula>$A791="file"</formula>
    </cfRule>
  </conditionalFormatting>
  <conditionalFormatting sqref="A791:A792">
    <cfRule type="expression" dxfId="34" priority="4142" stopIfTrue="1">
      <formula>$A791="enumerator"</formula>
    </cfRule>
  </conditionalFormatting>
  <conditionalFormatting sqref="A791:A792">
    <cfRule type="expression" dxfId="35" priority="4143" stopIfTrue="1">
      <formula>OR(AND(LEFT($A791, 14)="sensor_stream ", LEN($A791)&gt;14, NOT(ISNUMBER(SEARCH(" ", $A791, 15)))), AND(LEFT($A791, 17)="sensor_statistic ", LEN($A791)&gt;17, NOT(ISNUMBER(SEARCH(" ", $A791, 18)))))</formula>
    </cfRule>
  </conditionalFormatting>
  <conditionalFormatting sqref="A791:A792">
    <cfRule type="expression" dxfId="14" priority="4144" stopIfTrue="1">
      <formula>$A791="comments"</formula>
    </cfRule>
  </conditionalFormatting>
  <conditionalFormatting sqref="A791:A792">
    <cfRule type="expression" dxfId="15" priority="4145" stopIfTrue="1">
      <formula>OR($A791="audio", $A791="video")</formula>
    </cfRule>
  </conditionalFormatting>
  <conditionalFormatting sqref="A791:A792">
    <cfRule type="expression" dxfId="16" priority="4146" stopIfTrue="1">
      <formula>$A791="image"</formula>
    </cfRule>
  </conditionalFormatting>
  <conditionalFormatting sqref="A791:A792">
    <cfRule type="expression" dxfId="17" priority="4147" stopIfTrue="1">
      <formula>OR($A791="date", $A791="datetime", $A791="time")</formula>
    </cfRule>
  </conditionalFormatting>
  <conditionalFormatting sqref="A791:A792">
    <cfRule type="expression" dxfId="18" priority="4148" stopIfTrue="1">
      <formula>OR($A791="calculate", $A791="calculate_here")</formula>
    </cfRule>
  </conditionalFormatting>
  <conditionalFormatting sqref="A791:A792">
    <cfRule type="expression" dxfId="19" priority="4149" stopIfTrue="1">
      <formula>$A791="note"</formula>
    </cfRule>
  </conditionalFormatting>
  <conditionalFormatting sqref="A791:A792">
    <cfRule type="expression" dxfId="20" priority="4150" stopIfTrue="1">
      <formula>$A791="barcode"</formula>
    </cfRule>
  </conditionalFormatting>
  <conditionalFormatting sqref="A791:A792">
    <cfRule type="expression" dxfId="21" priority="4151" stopIfTrue="1">
      <formula>OR($A791="geopoint", $A791="geoshape", $A791="geotrace")</formula>
    </cfRule>
  </conditionalFormatting>
  <conditionalFormatting sqref="A791:A792">
    <cfRule type="expression" dxfId="22" priority="4152" stopIfTrue="1">
      <formula>OR($A791="audio audit", $A791="text audit", $A791="speed violations count", $A791="speed violations list", $A791="speed violations audit")</formula>
    </cfRule>
  </conditionalFormatting>
  <conditionalFormatting sqref="A791:A792">
    <cfRule type="expression" dxfId="23" priority="4153" stopIfTrue="1">
      <formula>OR($A791="username", $A791="phonenumber", $A791="start", $A791="end", $A791="deviceid", $A791="subscriberid", $A791="simserial", $A791="caseid")</formula>
    </cfRule>
  </conditionalFormatting>
  <conditionalFormatting sqref="A791:A792">
    <cfRule type="expression" dxfId="24" priority="4154" stopIfTrue="1">
      <formula>OR(AND(LEFT($A791, 16)="select_multiple ", LEN($A791)&gt;16, NOT(ISNUMBER(SEARCH(" ", $A791, 17)))), AND(LEFT($A791, 11)="select_one ", LEN($A791)&gt;11, NOT(ISNUMBER(SEARCH(" ", $A791, 12)))))</formula>
    </cfRule>
  </conditionalFormatting>
  <conditionalFormatting sqref="A791:A792">
    <cfRule type="expression" dxfId="25" priority="4155" stopIfTrue="1">
      <formula>$A791="decimal"</formula>
    </cfRule>
  </conditionalFormatting>
  <conditionalFormatting sqref="A791:A792">
    <cfRule type="expression" dxfId="26" priority="4156" stopIfTrue="1">
      <formula>$A791="integer"</formula>
    </cfRule>
  </conditionalFormatting>
  <conditionalFormatting sqref="A791:A792">
    <cfRule type="expression" dxfId="27" priority="4157" stopIfTrue="1">
      <formula>$A791="text"</formula>
    </cfRule>
  </conditionalFormatting>
  <conditionalFormatting sqref="A791:A792">
    <cfRule type="expression" dxfId="28" priority="4158" stopIfTrue="1">
      <formula>$A791="end repeat"</formula>
    </cfRule>
  </conditionalFormatting>
  <conditionalFormatting sqref="A791:A792">
    <cfRule type="expression" dxfId="28" priority="4159" stopIfTrue="1">
      <formula>$A791="begin repeat"</formula>
    </cfRule>
  </conditionalFormatting>
  <conditionalFormatting sqref="A791:A792">
    <cfRule type="expression" dxfId="29" priority="4160" stopIfTrue="1">
      <formula>$A791="end group"</formula>
    </cfRule>
  </conditionalFormatting>
  <conditionalFormatting sqref="A791:A792">
    <cfRule type="expression" dxfId="29" priority="4161" stopIfTrue="1">
      <formula>$A791="begin group"</formula>
    </cfRule>
  </conditionalFormatting>
  <conditionalFormatting sqref="A783:A789">
    <cfRule type="expression" dxfId="33" priority="4162" stopIfTrue="1">
      <formula>$A783="file"</formula>
    </cfRule>
  </conditionalFormatting>
  <conditionalFormatting sqref="A783:A789">
    <cfRule type="expression" dxfId="34" priority="4163" stopIfTrue="1">
      <formula>$A783="enumerator"</formula>
    </cfRule>
  </conditionalFormatting>
  <conditionalFormatting sqref="A783:A789">
    <cfRule type="expression" dxfId="35" priority="4164" stopIfTrue="1">
      <formula>OR(AND(LEFT($A783, 14)="sensor_stream ", LEN($A783)&gt;14, NOT(ISNUMBER(SEARCH(" ", $A783, 15)))), AND(LEFT($A783, 17)="sensor_statistic ", LEN($A783)&gt;17, NOT(ISNUMBER(SEARCH(" ", $A783, 18)))))</formula>
    </cfRule>
  </conditionalFormatting>
  <conditionalFormatting sqref="A783:A789">
    <cfRule type="expression" dxfId="14" priority="4165" stopIfTrue="1">
      <formula>$A783="comments"</formula>
    </cfRule>
  </conditionalFormatting>
  <conditionalFormatting sqref="A783:A789">
    <cfRule type="expression" dxfId="15" priority="4166" stopIfTrue="1">
      <formula>OR($A783="audio", $A783="video")</formula>
    </cfRule>
  </conditionalFormatting>
  <conditionalFormatting sqref="A783:A789">
    <cfRule type="expression" dxfId="16" priority="4167" stopIfTrue="1">
      <formula>$A783="image"</formula>
    </cfRule>
  </conditionalFormatting>
  <conditionalFormatting sqref="A783:A789">
    <cfRule type="expression" dxfId="17" priority="4168" stopIfTrue="1">
      <formula>OR($A783="date", $A783="datetime", $A783="time")</formula>
    </cfRule>
  </conditionalFormatting>
  <conditionalFormatting sqref="A783:A789">
    <cfRule type="expression" dxfId="18" priority="4169" stopIfTrue="1">
      <formula>OR($A783="calculate", $A783="calculate_here")</formula>
    </cfRule>
  </conditionalFormatting>
  <conditionalFormatting sqref="A783:A789">
    <cfRule type="expression" dxfId="19" priority="4170" stopIfTrue="1">
      <formula>$A783="note"</formula>
    </cfRule>
  </conditionalFormatting>
  <conditionalFormatting sqref="A783:A789">
    <cfRule type="expression" dxfId="20" priority="4171" stopIfTrue="1">
      <formula>$A783="barcode"</formula>
    </cfRule>
  </conditionalFormatting>
  <conditionalFormatting sqref="A783:A789">
    <cfRule type="expression" dxfId="21" priority="4172" stopIfTrue="1">
      <formula>OR($A783="geopoint", $A783="geoshape", $A783="geotrace")</formula>
    </cfRule>
  </conditionalFormatting>
  <conditionalFormatting sqref="A783:A789">
    <cfRule type="expression" dxfId="22" priority="4173" stopIfTrue="1">
      <formula>OR($A783="audio audit", $A783="text audit", $A783="speed violations count", $A783="speed violations list", $A783="speed violations audit")</formula>
    </cfRule>
  </conditionalFormatting>
  <conditionalFormatting sqref="A783:A789">
    <cfRule type="expression" dxfId="23" priority="4174" stopIfTrue="1">
      <formula>OR($A783="username", $A783="phonenumber", $A783="start", $A783="end", $A783="deviceid", $A783="subscriberid", $A783="simserial", $A783="caseid")</formula>
    </cfRule>
  </conditionalFormatting>
  <conditionalFormatting sqref="A783:A789">
    <cfRule type="expression" dxfId="24" priority="4175" stopIfTrue="1">
      <formula>OR(AND(LEFT($A783, 16)="select_multiple ", LEN($A783)&gt;16, NOT(ISNUMBER(SEARCH(" ", $A783, 17)))), AND(LEFT($A783, 11)="select_one ", LEN($A783)&gt;11, NOT(ISNUMBER(SEARCH(" ", $A783, 12)))))</formula>
    </cfRule>
  </conditionalFormatting>
  <conditionalFormatting sqref="A783:A789">
    <cfRule type="expression" dxfId="25" priority="4176" stopIfTrue="1">
      <formula>$A783="decimal"</formula>
    </cfRule>
  </conditionalFormatting>
  <conditionalFormatting sqref="A783:A789">
    <cfRule type="expression" dxfId="26" priority="4177" stopIfTrue="1">
      <formula>$A783="integer"</formula>
    </cfRule>
  </conditionalFormatting>
  <conditionalFormatting sqref="A783:A789">
    <cfRule type="expression" dxfId="27" priority="4178" stopIfTrue="1">
      <formula>$A783="text"</formula>
    </cfRule>
  </conditionalFormatting>
  <conditionalFormatting sqref="A783:A789">
    <cfRule type="expression" dxfId="28" priority="4179" stopIfTrue="1">
      <formula>$A783="end repeat"</formula>
    </cfRule>
  </conditionalFormatting>
  <conditionalFormatting sqref="A783:A789">
    <cfRule type="expression" dxfId="28" priority="4180" stopIfTrue="1">
      <formula>$A783="begin repeat"</formula>
    </cfRule>
  </conditionalFormatting>
  <conditionalFormatting sqref="A783:A789">
    <cfRule type="expression" dxfId="29" priority="4181" stopIfTrue="1">
      <formula>$A783="end group"</formula>
    </cfRule>
  </conditionalFormatting>
  <conditionalFormatting sqref="A783:A789">
    <cfRule type="expression" dxfId="29" priority="4182" stopIfTrue="1">
      <formula>$A783="begin group"</formula>
    </cfRule>
  </conditionalFormatting>
  <conditionalFormatting sqref="A779:A780">
    <cfRule type="expression" dxfId="33" priority="4183" stopIfTrue="1">
      <formula>$A779="file"</formula>
    </cfRule>
  </conditionalFormatting>
  <conditionalFormatting sqref="A779:A780">
    <cfRule type="expression" dxfId="34" priority="4184" stopIfTrue="1">
      <formula>$A779="enumerator"</formula>
    </cfRule>
  </conditionalFormatting>
  <conditionalFormatting sqref="A779:A780">
    <cfRule type="expression" dxfId="35" priority="4185" stopIfTrue="1">
      <formula>OR(AND(LEFT($A779, 14)="sensor_stream ", LEN($A779)&gt;14, NOT(ISNUMBER(SEARCH(" ", $A779, 15)))), AND(LEFT($A779, 17)="sensor_statistic ", LEN($A779)&gt;17, NOT(ISNUMBER(SEARCH(" ", $A779, 18)))))</formula>
    </cfRule>
  </conditionalFormatting>
  <conditionalFormatting sqref="A779:A780">
    <cfRule type="expression" dxfId="14" priority="4186" stopIfTrue="1">
      <formula>$A779="comments"</formula>
    </cfRule>
  </conditionalFormatting>
  <conditionalFormatting sqref="A779:A780">
    <cfRule type="expression" dxfId="15" priority="4187" stopIfTrue="1">
      <formula>OR($A779="audio", $A779="video")</formula>
    </cfRule>
  </conditionalFormatting>
  <conditionalFormatting sqref="A779:A780">
    <cfRule type="expression" dxfId="16" priority="4188" stopIfTrue="1">
      <formula>$A779="image"</formula>
    </cfRule>
  </conditionalFormatting>
  <conditionalFormatting sqref="A779:A780">
    <cfRule type="expression" dxfId="17" priority="4189" stopIfTrue="1">
      <formula>OR($A779="date", $A779="datetime", $A779="time")</formula>
    </cfRule>
  </conditionalFormatting>
  <conditionalFormatting sqref="A779:A780">
    <cfRule type="expression" dxfId="18" priority="4190" stopIfTrue="1">
      <formula>OR($A779="calculate", $A779="calculate_here")</formula>
    </cfRule>
  </conditionalFormatting>
  <conditionalFormatting sqref="A779:A780">
    <cfRule type="expression" dxfId="19" priority="4191" stopIfTrue="1">
      <formula>$A779="note"</formula>
    </cfRule>
  </conditionalFormatting>
  <conditionalFormatting sqref="A779:A780">
    <cfRule type="expression" dxfId="20" priority="4192" stopIfTrue="1">
      <formula>$A779="barcode"</formula>
    </cfRule>
  </conditionalFormatting>
  <conditionalFormatting sqref="A779:A780">
    <cfRule type="expression" dxfId="21" priority="4193" stopIfTrue="1">
      <formula>OR($A779="geopoint", $A779="geoshape", $A779="geotrace")</formula>
    </cfRule>
  </conditionalFormatting>
  <conditionalFormatting sqref="A779:A780">
    <cfRule type="expression" dxfId="22" priority="4194" stopIfTrue="1">
      <formula>OR($A779="audio audit", $A779="text audit", $A779="speed violations count", $A779="speed violations list", $A779="speed violations audit")</formula>
    </cfRule>
  </conditionalFormatting>
  <conditionalFormatting sqref="A779:A780">
    <cfRule type="expression" dxfId="23" priority="4195" stopIfTrue="1">
      <formula>OR($A779="username", $A779="phonenumber", $A779="start", $A779="end", $A779="deviceid", $A779="subscriberid", $A779="simserial", $A779="caseid")</formula>
    </cfRule>
  </conditionalFormatting>
  <conditionalFormatting sqref="A779:A780">
    <cfRule type="expression" dxfId="24" priority="4196" stopIfTrue="1">
      <formula>OR(AND(LEFT($A779, 16)="select_multiple ", LEN($A779)&gt;16, NOT(ISNUMBER(SEARCH(" ", $A779, 17)))), AND(LEFT($A779, 11)="select_one ", LEN($A779)&gt;11, NOT(ISNUMBER(SEARCH(" ", $A779, 12)))))</formula>
    </cfRule>
  </conditionalFormatting>
  <conditionalFormatting sqref="A779:A780">
    <cfRule type="expression" dxfId="25" priority="4197" stopIfTrue="1">
      <formula>$A779="decimal"</formula>
    </cfRule>
  </conditionalFormatting>
  <conditionalFormatting sqref="A779:A780">
    <cfRule type="expression" dxfId="26" priority="4198" stopIfTrue="1">
      <formula>$A779="integer"</formula>
    </cfRule>
  </conditionalFormatting>
  <conditionalFormatting sqref="A779:A780">
    <cfRule type="expression" dxfId="27" priority="4199" stopIfTrue="1">
      <formula>$A779="text"</formula>
    </cfRule>
  </conditionalFormatting>
  <conditionalFormatting sqref="A779:A780">
    <cfRule type="expression" dxfId="28" priority="4200" stopIfTrue="1">
      <formula>$A779="end repeat"</formula>
    </cfRule>
  </conditionalFormatting>
  <conditionalFormatting sqref="A779:A780">
    <cfRule type="expression" dxfId="28" priority="4201" stopIfTrue="1">
      <formula>$A779="begin repeat"</formula>
    </cfRule>
  </conditionalFormatting>
  <conditionalFormatting sqref="A779:A780">
    <cfRule type="expression" dxfId="29" priority="4202" stopIfTrue="1">
      <formula>$A779="end group"</formula>
    </cfRule>
  </conditionalFormatting>
  <conditionalFormatting sqref="A779:A780">
    <cfRule type="expression" dxfId="29" priority="4203" stopIfTrue="1">
      <formula>$A779="begin group"</formula>
    </cfRule>
  </conditionalFormatting>
  <conditionalFormatting sqref="A777">
    <cfRule type="expression" dxfId="33" priority="4204" stopIfTrue="1">
      <formula>$A777="file"</formula>
    </cfRule>
  </conditionalFormatting>
  <conditionalFormatting sqref="A777">
    <cfRule type="expression" dxfId="34" priority="4205" stopIfTrue="1">
      <formula>$A777="enumerator"</formula>
    </cfRule>
  </conditionalFormatting>
  <conditionalFormatting sqref="A777">
    <cfRule type="expression" dxfId="35" priority="4206" stopIfTrue="1">
      <formula>OR(AND(LEFT($A777, 14)="sensor_stream ", LEN($A777)&gt;14, NOT(ISNUMBER(SEARCH(" ", $A777, 15)))), AND(LEFT($A777, 17)="sensor_statistic ", LEN($A777)&gt;17, NOT(ISNUMBER(SEARCH(" ", $A777, 18)))))</formula>
    </cfRule>
  </conditionalFormatting>
  <conditionalFormatting sqref="A777">
    <cfRule type="expression" dxfId="14" priority="4207" stopIfTrue="1">
      <formula>$A777="comments"</formula>
    </cfRule>
  </conditionalFormatting>
  <conditionalFormatting sqref="A777">
    <cfRule type="expression" dxfId="15" priority="4208" stopIfTrue="1">
      <formula>OR($A777="audio", $A777="video")</formula>
    </cfRule>
  </conditionalFormatting>
  <conditionalFormatting sqref="A777">
    <cfRule type="expression" dxfId="16" priority="4209" stopIfTrue="1">
      <formula>$A777="image"</formula>
    </cfRule>
  </conditionalFormatting>
  <conditionalFormatting sqref="A777">
    <cfRule type="expression" dxfId="17" priority="4210" stopIfTrue="1">
      <formula>OR($A777="date", $A777="datetime", $A777="time")</formula>
    </cfRule>
  </conditionalFormatting>
  <conditionalFormatting sqref="A777">
    <cfRule type="expression" dxfId="18" priority="4211" stopIfTrue="1">
      <formula>OR($A777="calculate", $A777="calculate_here")</formula>
    </cfRule>
  </conditionalFormatting>
  <conditionalFormatting sqref="A777">
    <cfRule type="expression" dxfId="19" priority="4212" stopIfTrue="1">
      <formula>$A777="note"</formula>
    </cfRule>
  </conditionalFormatting>
  <conditionalFormatting sqref="A777">
    <cfRule type="expression" dxfId="20" priority="4213" stopIfTrue="1">
      <formula>$A777="barcode"</formula>
    </cfRule>
  </conditionalFormatting>
  <conditionalFormatting sqref="A777">
    <cfRule type="expression" dxfId="21" priority="4214" stopIfTrue="1">
      <formula>OR($A777="geopoint", $A777="geoshape", $A777="geotrace")</formula>
    </cfRule>
  </conditionalFormatting>
  <conditionalFormatting sqref="A777">
    <cfRule type="expression" dxfId="22" priority="4215" stopIfTrue="1">
      <formula>OR($A777="audio audit", $A777="text audit", $A777="speed violations count", $A777="speed violations list", $A777="speed violations audit")</formula>
    </cfRule>
  </conditionalFormatting>
  <conditionalFormatting sqref="A777">
    <cfRule type="expression" dxfId="23" priority="4216" stopIfTrue="1">
      <formula>OR($A777="username", $A777="phonenumber", $A777="start", $A777="end", $A777="deviceid", $A777="subscriberid", $A777="simserial", $A777="caseid")</formula>
    </cfRule>
  </conditionalFormatting>
  <conditionalFormatting sqref="A777">
    <cfRule type="expression" dxfId="24" priority="4217" stopIfTrue="1">
      <formula>OR(AND(LEFT($A777, 16)="select_multiple ", LEN($A777)&gt;16, NOT(ISNUMBER(SEARCH(" ", $A777, 17)))), AND(LEFT($A777, 11)="select_one ", LEN($A777)&gt;11, NOT(ISNUMBER(SEARCH(" ", $A777, 12)))))</formula>
    </cfRule>
  </conditionalFormatting>
  <conditionalFormatting sqref="A777">
    <cfRule type="expression" dxfId="25" priority="4218" stopIfTrue="1">
      <formula>$A777="decimal"</formula>
    </cfRule>
  </conditionalFormatting>
  <conditionalFormatting sqref="A777">
    <cfRule type="expression" dxfId="26" priority="4219" stopIfTrue="1">
      <formula>$A777="integer"</formula>
    </cfRule>
  </conditionalFormatting>
  <conditionalFormatting sqref="A777">
    <cfRule type="expression" dxfId="27" priority="4220" stopIfTrue="1">
      <formula>$A777="text"</formula>
    </cfRule>
  </conditionalFormatting>
  <conditionalFormatting sqref="A777">
    <cfRule type="expression" dxfId="28" priority="4221" stopIfTrue="1">
      <formula>$A777="end repeat"</formula>
    </cfRule>
  </conditionalFormatting>
  <conditionalFormatting sqref="A777">
    <cfRule type="expression" dxfId="28" priority="4222" stopIfTrue="1">
      <formula>$A777="begin repeat"</formula>
    </cfRule>
  </conditionalFormatting>
  <conditionalFormatting sqref="A777">
    <cfRule type="expression" dxfId="29" priority="4223" stopIfTrue="1">
      <formula>$A777="end group"</formula>
    </cfRule>
  </conditionalFormatting>
  <conditionalFormatting sqref="A777">
    <cfRule type="expression" dxfId="29" priority="4224" stopIfTrue="1">
      <formula>$A777="begin group"</formula>
    </cfRule>
  </conditionalFormatting>
  <conditionalFormatting sqref="A775">
    <cfRule type="expression" dxfId="33" priority="4225" stopIfTrue="1">
      <formula>$A775="file"</formula>
    </cfRule>
  </conditionalFormatting>
  <conditionalFormatting sqref="A775">
    <cfRule type="expression" dxfId="34" priority="4226" stopIfTrue="1">
      <formula>$A775="enumerator"</formula>
    </cfRule>
  </conditionalFormatting>
  <conditionalFormatting sqref="A775">
    <cfRule type="expression" dxfId="35" priority="4227" stopIfTrue="1">
      <formula>OR(AND(LEFT($A775, 14)="sensor_stream ", LEN($A775)&gt;14, NOT(ISNUMBER(SEARCH(" ", $A775, 15)))), AND(LEFT($A775, 17)="sensor_statistic ", LEN($A775)&gt;17, NOT(ISNUMBER(SEARCH(" ", $A775, 18)))))</formula>
    </cfRule>
  </conditionalFormatting>
  <conditionalFormatting sqref="A775">
    <cfRule type="expression" dxfId="14" priority="4228" stopIfTrue="1">
      <formula>$A775="comments"</formula>
    </cfRule>
  </conditionalFormatting>
  <conditionalFormatting sqref="A775">
    <cfRule type="expression" dxfId="15" priority="4229" stopIfTrue="1">
      <formula>OR($A775="audio", $A775="video")</formula>
    </cfRule>
  </conditionalFormatting>
  <conditionalFormatting sqref="A775">
    <cfRule type="expression" dxfId="16" priority="4230" stopIfTrue="1">
      <formula>$A775="image"</formula>
    </cfRule>
  </conditionalFormatting>
  <conditionalFormatting sqref="A775">
    <cfRule type="expression" dxfId="17" priority="4231" stopIfTrue="1">
      <formula>OR($A775="date", $A775="datetime", $A775="time")</formula>
    </cfRule>
  </conditionalFormatting>
  <conditionalFormatting sqref="A775">
    <cfRule type="expression" dxfId="18" priority="4232" stopIfTrue="1">
      <formula>OR($A775="calculate", $A775="calculate_here")</formula>
    </cfRule>
  </conditionalFormatting>
  <conditionalFormatting sqref="A775">
    <cfRule type="expression" dxfId="19" priority="4233" stopIfTrue="1">
      <formula>$A775="note"</formula>
    </cfRule>
  </conditionalFormatting>
  <conditionalFormatting sqref="A775">
    <cfRule type="expression" dxfId="20" priority="4234" stopIfTrue="1">
      <formula>$A775="barcode"</formula>
    </cfRule>
  </conditionalFormatting>
  <conditionalFormatting sqref="A775">
    <cfRule type="expression" dxfId="21" priority="4235" stopIfTrue="1">
      <formula>OR($A775="geopoint", $A775="geoshape", $A775="geotrace")</formula>
    </cfRule>
  </conditionalFormatting>
  <conditionalFormatting sqref="A775">
    <cfRule type="expression" dxfId="22" priority="4236" stopIfTrue="1">
      <formula>OR($A775="audio audit", $A775="text audit", $A775="speed violations count", $A775="speed violations list", $A775="speed violations audit")</formula>
    </cfRule>
  </conditionalFormatting>
  <conditionalFormatting sqref="A775">
    <cfRule type="expression" dxfId="23" priority="4237" stopIfTrue="1">
      <formula>OR($A775="username", $A775="phonenumber", $A775="start", $A775="end", $A775="deviceid", $A775="subscriberid", $A775="simserial", $A775="caseid")</formula>
    </cfRule>
  </conditionalFormatting>
  <conditionalFormatting sqref="A775">
    <cfRule type="expression" dxfId="24" priority="4238" stopIfTrue="1">
      <formula>OR(AND(LEFT($A775, 16)="select_multiple ", LEN($A775)&gt;16, NOT(ISNUMBER(SEARCH(" ", $A775, 17)))), AND(LEFT($A775, 11)="select_one ", LEN($A775)&gt;11, NOT(ISNUMBER(SEARCH(" ", $A775, 12)))))</formula>
    </cfRule>
  </conditionalFormatting>
  <conditionalFormatting sqref="A775">
    <cfRule type="expression" dxfId="25" priority="4239" stopIfTrue="1">
      <formula>$A775="decimal"</formula>
    </cfRule>
  </conditionalFormatting>
  <conditionalFormatting sqref="A775">
    <cfRule type="expression" dxfId="26" priority="4240" stopIfTrue="1">
      <formula>$A775="integer"</formula>
    </cfRule>
  </conditionalFormatting>
  <conditionalFormatting sqref="A775">
    <cfRule type="expression" dxfId="27" priority="4241" stopIfTrue="1">
      <formula>$A775="text"</formula>
    </cfRule>
  </conditionalFormatting>
  <conditionalFormatting sqref="A775">
    <cfRule type="expression" dxfId="28" priority="4242" stopIfTrue="1">
      <formula>$A775="end repeat"</formula>
    </cfRule>
  </conditionalFormatting>
  <conditionalFormatting sqref="A775">
    <cfRule type="expression" dxfId="28" priority="4243" stopIfTrue="1">
      <formula>$A775="begin repeat"</formula>
    </cfRule>
  </conditionalFormatting>
  <conditionalFormatting sqref="A775">
    <cfRule type="expression" dxfId="29" priority="4244" stopIfTrue="1">
      <formula>$A775="end group"</formula>
    </cfRule>
  </conditionalFormatting>
  <conditionalFormatting sqref="A775">
    <cfRule type="expression" dxfId="29" priority="4245" stopIfTrue="1">
      <formula>$A775="begin group"</formula>
    </cfRule>
  </conditionalFormatting>
  <conditionalFormatting sqref="A761:A773">
    <cfRule type="expression" dxfId="33" priority="4246" stopIfTrue="1">
      <formula>$A761="file"</formula>
    </cfRule>
  </conditionalFormatting>
  <conditionalFormatting sqref="A761:A773">
    <cfRule type="expression" dxfId="34" priority="4247" stopIfTrue="1">
      <formula>$A761="enumerator"</formula>
    </cfRule>
  </conditionalFormatting>
  <conditionalFormatting sqref="A761:A773">
    <cfRule type="expression" dxfId="35" priority="4248" stopIfTrue="1">
      <formula>OR(AND(LEFT($A761, 14)="sensor_stream ", LEN($A761)&gt;14, NOT(ISNUMBER(SEARCH(" ", $A761, 15)))), AND(LEFT($A761, 17)="sensor_statistic ", LEN($A761)&gt;17, NOT(ISNUMBER(SEARCH(" ", $A761, 18)))))</formula>
    </cfRule>
  </conditionalFormatting>
  <conditionalFormatting sqref="A761:A773">
    <cfRule type="expression" dxfId="14" priority="4249" stopIfTrue="1">
      <formula>$A761="comments"</formula>
    </cfRule>
  </conditionalFormatting>
  <conditionalFormatting sqref="A761:A773">
    <cfRule type="expression" dxfId="15" priority="4250" stopIfTrue="1">
      <formula>OR($A761="audio", $A761="video")</formula>
    </cfRule>
  </conditionalFormatting>
  <conditionalFormatting sqref="A761:A773">
    <cfRule type="expression" dxfId="16" priority="4251" stopIfTrue="1">
      <formula>$A761="image"</formula>
    </cfRule>
  </conditionalFormatting>
  <conditionalFormatting sqref="A761:A773">
    <cfRule type="expression" dxfId="17" priority="4252" stopIfTrue="1">
      <formula>OR($A761="date", $A761="datetime", $A761="time")</formula>
    </cfRule>
  </conditionalFormatting>
  <conditionalFormatting sqref="A761:A773">
    <cfRule type="expression" dxfId="18" priority="4253" stopIfTrue="1">
      <formula>OR($A761="calculate", $A761="calculate_here")</formula>
    </cfRule>
  </conditionalFormatting>
  <conditionalFormatting sqref="A761:A773">
    <cfRule type="expression" dxfId="19" priority="4254" stopIfTrue="1">
      <formula>$A761="note"</formula>
    </cfRule>
  </conditionalFormatting>
  <conditionalFormatting sqref="A761:A773">
    <cfRule type="expression" dxfId="20" priority="4255" stopIfTrue="1">
      <formula>$A761="barcode"</formula>
    </cfRule>
  </conditionalFormatting>
  <conditionalFormatting sqref="A761:A773">
    <cfRule type="expression" dxfId="21" priority="4256" stopIfTrue="1">
      <formula>OR($A761="geopoint", $A761="geoshape", $A761="geotrace")</formula>
    </cfRule>
  </conditionalFormatting>
  <conditionalFormatting sqref="A761:A773">
    <cfRule type="expression" dxfId="22" priority="4257" stopIfTrue="1">
      <formula>OR($A761="audio audit", $A761="text audit", $A761="speed violations count", $A761="speed violations list", $A761="speed violations audit")</formula>
    </cfRule>
  </conditionalFormatting>
  <conditionalFormatting sqref="A761:A773">
    <cfRule type="expression" dxfId="23" priority="4258" stopIfTrue="1">
      <formula>OR($A761="username", $A761="phonenumber", $A761="start", $A761="end", $A761="deviceid", $A761="subscriberid", $A761="simserial", $A761="caseid")</formula>
    </cfRule>
  </conditionalFormatting>
  <conditionalFormatting sqref="A761:A773">
    <cfRule type="expression" dxfId="24" priority="4259" stopIfTrue="1">
      <formula>OR(AND(LEFT($A761, 16)="select_multiple ", LEN($A761)&gt;16, NOT(ISNUMBER(SEARCH(" ", $A761, 17)))), AND(LEFT($A761, 11)="select_one ", LEN($A761)&gt;11, NOT(ISNUMBER(SEARCH(" ", $A761, 12)))))</formula>
    </cfRule>
  </conditionalFormatting>
  <conditionalFormatting sqref="A761:A773">
    <cfRule type="expression" dxfId="25" priority="4260" stopIfTrue="1">
      <formula>$A761="decimal"</formula>
    </cfRule>
  </conditionalFormatting>
  <conditionalFormatting sqref="A761:A773">
    <cfRule type="expression" dxfId="26" priority="4261" stopIfTrue="1">
      <formula>$A761="integer"</formula>
    </cfRule>
  </conditionalFormatting>
  <conditionalFormatting sqref="A761:A773">
    <cfRule type="expression" dxfId="27" priority="4262" stopIfTrue="1">
      <formula>$A761="text"</formula>
    </cfRule>
  </conditionalFormatting>
  <conditionalFormatting sqref="A761:A773">
    <cfRule type="expression" dxfId="28" priority="4263" stopIfTrue="1">
      <formula>$A761="end repeat"</formula>
    </cfRule>
  </conditionalFormatting>
  <conditionalFormatting sqref="A761:A773">
    <cfRule type="expression" dxfId="28" priority="4264" stopIfTrue="1">
      <formula>$A761="begin repeat"</formula>
    </cfRule>
  </conditionalFormatting>
  <conditionalFormatting sqref="A761:A773">
    <cfRule type="expression" dxfId="29" priority="4265" stopIfTrue="1">
      <formula>$A761="end group"</formula>
    </cfRule>
  </conditionalFormatting>
  <conditionalFormatting sqref="A761:A773">
    <cfRule type="expression" dxfId="29" priority="4266" stopIfTrue="1">
      <formula>$A761="begin group"</formula>
    </cfRule>
  </conditionalFormatting>
  <conditionalFormatting sqref="A742:A746">
    <cfRule type="expression" dxfId="33" priority="4267" stopIfTrue="1">
      <formula>$A742="file"</formula>
    </cfRule>
  </conditionalFormatting>
  <conditionalFormatting sqref="A742:A746">
    <cfRule type="expression" dxfId="34" priority="4268" stopIfTrue="1">
      <formula>$A742="enumerator"</formula>
    </cfRule>
  </conditionalFormatting>
  <conditionalFormatting sqref="A742:A746">
    <cfRule type="expression" dxfId="35" priority="4269" stopIfTrue="1">
      <formula>OR(AND(LEFT($A742, 14)="sensor_stream ", LEN($A742)&gt;14, NOT(ISNUMBER(SEARCH(" ", $A742, 15)))), AND(LEFT($A742, 17)="sensor_statistic ", LEN($A742)&gt;17, NOT(ISNUMBER(SEARCH(" ", $A742, 18)))))</formula>
    </cfRule>
  </conditionalFormatting>
  <conditionalFormatting sqref="A742:A746">
    <cfRule type="expression" dxfId="14" priority="4270" stopIfTrue="1">
      <formula>$A742="comments"</formula>
    </cfRule>
  </conditionalFormatting>
  <conditionalFormatting sqref="A742:A746">
    <cfRule type="expression" dxfId="15" priority="4271" stopIfTrue="1">
      <formula>OR($A742="audio", $A742="video")</formula>
    </cfRule>
  </conditionalFormatting>
  <conditionalFormatting sqref="A742:A746">
    <cfRule type="expression" dxfId="16" priority="4272" stopIfTrue="1">
      <formula>$A742="image"</formula>
    </cfRule>
  </conditionalFormatting>
  <conditionalFormatting sqref="A742:A746">
    <cfRule type="expression" dxfId="17" priority="4273" stopIfTrue="1">
      <formula>OR($A742="date", $A742="datetime", $A742="time")</formula>
    </cfRule>
  </conditionalFormatting>
  <conditionalFormatting sqref="A742:A746">
    <cfRule type="expression" dxfId="18" priority="4274" stopIfTrue="1">
      <formula>OR($A742="calculate", $A742="calculate_here")</formula>
    </cfRule>
  </conditionalFormatting>
  <conditionalFormatting sqref="A742:A746">
    <cfRule type="expression" dxfId="19" priority="4275" stopIfTrue="1">
      <formula>$A742="note"</formula>
    </cfRule>
  </conditionalFormatting>
  <conditionalFormatting sqref="A742:A746">
    <cfRule type="expression" dxfId="20" priority="4276" stopIfTrue="1">
      <formula>$A742="barcode"</formula>
    </cfRule>
  </conditionalFormatting>
  <conditionalFormatting sqref="A742:A746">
    <cfRule type="expression" dxfId="21" priority="4277" stopIfTrue="1">
      <formula>OR($A742="geopoint", $A742="geoshape", $A742="geotrace")</formula>
    </cfRule>
  </conditionalFormatting>
  <conditionalFormatting sqref="A742:A746">
    <cfRule type="expression" dxfId="22" priority="4278" stopIfTrue="1">
      <formula>OR($A742="audio audit", $A742="text audit", $A742="speed violations count", $A742="speed violations list", $A742="speed violations audit")</formula>
    </cfRule>
  </conditionalFormatting>
  <conditionalFormatting sqref="A742:A746">
    <cfRule type="expression" dxfId="23" priority="4279" stopIfTrue="1">
      <formula>OR($A742="username", $A742="phonenumber", $A742="start", $A742="end", $A742="deviceid", $A742="subscriberid", $A742="simserial", $A742="caseid")</formula>
    </cfRule>
  </conditionalFormatting>
  <conditionalFormatting sqref="A742:A746">
    <cfRule type="expression" dxfId="24" priority="4280" stopIfTrue="1">
      <formula>OR(AND(LEFT($A742, 16)="select_multiple ", LEN($A742)&gt;16, NOT(ISNUMBER(SEARCH(" ", $A742, 17)))), AND(LEFT($A742, 11)="select_one ", LEN($A742)&gt;11, NOT(ISNUMBER(SEARCH(" ", $A742, 12)))))</formula>
    </cfRule>
  </conditionalFormatting>
  <conditionalFormatting sqref="A742:A746">
    <cfRule type="expression" dxfId="25" priority="4281" stopIfTrue="1">
      <formula>$A742="decimal"</formula>
    </cfRule>
  </conditionalFormatting>
  <conditionalFormatting sqref="A742:A746">
    <cfRule type="expression" dxfId="26" priority="4282" stopIfTrue="1">
      <formula>$A742="integer"</formula>
    </cfRule>
  </conditionalFormatting>
  <conditionalFormatting sqref="A742:A746">
    <cfRule type="expression" dxfId="27" priority="4283" stopIfTrue="1">
      <formula>$A742="text"</formula>
    </cfRule>
  </conditionalFormatting>
  <conditionalFormatting sqref="A742:A746">
    <cfRule type="expression" dxfId="28" priority="4284" stopIfTrue="1">
      <formula>$A742="end repeat"</formula>
    </cfRule>
  </conditionalFormatting>
  <conditionalFormatting sqref="A742:A746">
    <cfRule type="expression" dxfId="28" priority="4285" stopIfTrue="1">
      <formula>$A742="begin repeat"</formula>
    </cfRule>
  </conditionalFormatting>
  <conditionalFormatting sqref="A742:A746">
    <cfRule type="expression" dxfId="29" priority="4286" stopIfTrue="1">
      <formula>$A742="end group"</formula>
    </cfRule>
  </conditionalFormatting>
  <conditionalFormatting sqref="A742:A746">
    <cfRule type="expression" dxfId="29" priority="4287" stopIfTrue="1">
      <formula>$A742="begin group"</formula>
    </cfRule>
  </conditionalFormatting>
  <conditionalFormatting sqref="A739">
    <cfRule type="expression" dxfId="33" priority="4288" stopIfTrue="1">
      <formula>$A739="file"</formula>
    </cfRule>
  </conditionalFormatting>
  <conditionalFormatting sqref="A739">
    <cfRule type="expression" dxfId="34" priority="4289" stopIfTrue="1">
      <formula>$A739="enumerator"</formula>
    </cfRule>
  </conditionalFormatting>
  <conditionalFormatting sqref="A739">
    <cfRule type="expression" dxfId="35" priority="4290" stopIfTrue="1">
      <formula>OR(AND(LEFT($A739, 14)="sensor_stream ", LEN($A739)&gt;14, NOT(ISNUMBER(SEARCH(" ", $A739, 15)))), AND(LEFT($A739, 17)="sensor_statistic ", LEN($A739)&gt;17, NOT(ISNUMBER(SEARCH(" ", $A739, 18)))))</formula>
    </cfRule>
  </conditionalFormatting>
  <conditionalFormatting sqref="A739">
    <cfRule type="expression" dxfId="14" priority="4291" stopIfTrue="1">
      <formula>$A739="comments"</formula>
    </cfRule>
  </conditionalFormatting>
  <conditionalFormatting sqref="A739">
    <cfRule type="expression" dxfId="15" priority="4292" stopIfTrue="1">
      <formula>OR($A739="audio", $A739="video")</formula>
    </cfRule>
  </conditionalFormatting>
  <conditionalFormatting sqref="A739">
    <cfRule type="expression" dxfId="16" priority="4293" stopIfTrue="1">
      <formula>$A739="image"</formula>
    </cfRule>
  </conditionalFormatting>
  <conditionalFormatting sqref="A739">
    <cfRule type="expression" dxfId="17" priority="4294" stopIfTrue="1">
      <formula>OR($A739="date", $A739="datetime", $A739="time")</formula>
    </cfRule>
  </conditionalFormatting>
  <conditionalFormatting sqref="A739">
    <cfRule type="expression" dxfId="18" priority="4295" stopIfTrue="1">
      <formula>OR($A739="calculate", $A739="calculate_here")</formula>
    </cfRule>
  </conditionalFormatting>
  <conditionalFormatting sqref="A739">
    <cfRule type="expression" dxfId="19" priority="4296" stopIfTrue="1">
      <formula>$A739="note"</formula>
    </cfRule>
  </conditionalFormatting>
  <conditionalFormatting sqref="A739">
    <cfRule type="expression" dxfId="20" priority="4297" stopIfTrue="1">
      <formula>$A739="barcode"</formula>
    </cfRule>
  </conditionalFormatting>
  <conditionalFormatting sqref="A739">
    <cfRule type="expression" dxfId="21" priority="4298" stopIfTrue="1">
      <formula>OR($A739="geopoint", $A739="geoshape", $A739="geotrace")</formula>
    </cfRule>
  </conditionalFormatting>
  <conditionalFormatting sqref="A739">
    <cfRule type="expression" dxfId="22" priority="4299" stopIfTrue="1">
      <formula>OR($A739="audio audit", $A739="text audit", $A739="speed violations count", $A739="speed violations list", $A739="speed violations audit")</formula>
    </cfRule>
  </conditionalFormatting>
  <conditionalFormatting sqref="A739">
    <cfRule type="expression" dxfId="23" priority="4300" stopIfTrue="1">
      <formula>OR($A739="username", $A739="phonenumber", $A739="start", $A739="end", $A739="deviceid", $A739="subscriberid", $A739="simserial", $A739="caseid")</formula>
    </cfRule>
  </conditionalFormatting>
  <conditionalFormatting sqref="A739">
    <cfRule type="expression" dxfId="24" priority="4301" stopIfTrue="1">
      <formula>OR(AND(LEFT($A739, 16)="select_multiple ", LEN($A739)&gt;16, NOT(ISNUMBER(SEARCH(" ", $A739, 17)))), AND(LEFT($A739, 11)="select_one ", LEN($A739)&gt;11, NOT(ISNUMBER(SEARCH(" ", $A739, 12)))))</formula>
    </cfRule>
  </conditionalFormatting>
  <conditionalFormatting sqref="A739">
    <cfRule type="expression" dxfId="25" priority="4302" stopIfTrue="1">
      <formula>$A739="decimal"</formula>
    </cfRule>
  </conditionalFormatting>
  <conditionalFormatting sqref="A739">
    <cfRule type="expression" dxfId="26" priority="4303" stopIfTrue="1">
      <formula>$A739="integer"</formula>
    </cfRule>
  </conditionalFormatting>
  <conditionalFormatting sqref="A739">
    <cfRule type="expression" dxfId="27" priority="4304" stopIfTrue="1">
      <formula>$A739="text"</formula>
    </cfRule>
  </conditionalFormatting>
  <conditionalFormatting sqref="A739">
    <cfRule type="expression" dxfId="28" priority="4305" stopIfTrue="1">
      <formula>$A739="end repeat"</formula>
    </cfRule>
  </conditionalFormatting>
  <conditionalFormatting sqref="A739">
    <cfRule type="expression" dxfId="28" priority="4306" stopIfTrue="1">
      <formula>$A739="begin repeat"</formula>
    </cfRule>
  </conditionalFormatting>
  <conditionalFormatting sqref="A739">
    <cfRule type="expression" dxfId="29" priority="4307" stopIfTrue="1">
      <formula>$A739="end group"</formula>
    </cfRule>
  </conditionalFormatting>
  <conditionalFormatting sqref="A739">
    <cfRule type="expression" dxfId="29" priority="4308" stopIfTrue="1">
      <formula>$A739="begin group"</formula>
    </cfRule>
  </conditionalFormatting>
  <conditionalFormatting sqref="A736">
    <cfRule type="expression" dxfId="33" priority="4309" stopIfTrue="1">
      <formula>$A736="file"</formula>
    </cfRule>
  </conditionalFormatting>
  <conditionalFormatting sqref="A736">
    <cfRule type="expression" dxfId="34" priority="4310" stopIfTrue="1">
      <formula>$A736="enumerator"</formula>
    </cfRule>
  </conditionalFormatting>
  <conditionalFormatting sqref="A736">
    <cfRule type="expression" dxfId="35" priority="4311" stopIfTrue="1">
      <formula>OR(AND(LEFT($A736, 14)="sensor_stream ", LEN($A736)&gt;14, NOT(ISNUMBER(SEARCH(" ", $A736, 15)))), AND(LEFT($A736, 17)="sensor_statistic ", LEN($A736)&gt;17, NOT(ISNUMBER(SEARCH(" ", $A736, 18)))))</formula>
    </cfRule>
  </conditionalFormatting>
  <conditionalFormatting sqref="A736">
    <cfRule type="expression" dxfId="14" priority="4312" stopIfTrue="1">
      <formula>$A736="comments"</formula>
    </cfRule>
  </conditionalFormatting>
  <conditionalFormatting sqref="A736">
    <cfRule type="expression" dxfId="15" priority="4313" stopIfTrue="1">
      <formula>OR($A736="audio", $A736="video")</formula>
    </cfRule>
  </conditionalFormatting>
  <conditionalFormatting sqref="A736">
    <cfRule type="expression" dxfId="16" priority="4314" stopIfTrue="1">
      <formula>$A736="image"</formula>
    </cfRule>
  </conditionalFormatting>
  <conditionalFormatting sqref="A736">
    <cfRule type="expression" dxfId="17" priority="4315" stopIfTrue="1">
      <formula>OR($A736="date", $A736="datetime", $A736="time")</formula>
    </cfRule>
  </conditionalFormatting>
  <conditionalFormatting sqref="A736">
    <cfRule type="expression" dxfId="18" priority="4316" stopIfTrue="1">
      <formula>OR($A736="calculate", $A736="calculate_here")</formula>
    </cfRule>
  </conditionalFormatting>
  <conditionalFormatting sqref="A736">
    <cfRule type="expression" dxfId="19" priority="4317" stopIfTrue="1">
      <formula>$A736="note"</formula>
    </cfRule>
  </conditionalFormatting>
  <conditionalFormatting sqref="A736">
    <cfRule type="expression" dxfId="20" priority="4318" stopIfTrue="1">
      <formula>$A736="barcode"</formula>
    </cfRule>
  </conditionalFormatting>
  <conditionalFormatting sqref="A736">
    <cfRule type="expression" dxfId="21" priority="4319" stopIfTrue="1">
      <formula>OR($A736="geopoint", $A736="geoshape", $A736="geotrace")</formula>
    </cfRule>
  </conditionalFormatting>
  <conditionalFormatting sqref="A736">
    <cfRule type="expression" dxfId="22" priority="4320" stopIfTrue="1">
      <formula>OR($A736="audio audit", $A736="text audit", $A736="speed violations count", $A736="speed violations list", $A736="speed violations audit")</formula>
    </cfRule>
  </conditionalFormatting>
  <conditionalFormatting sqref="A736">
    <cfRule type="expression" dxfId="23" priority="4321" stopIfTrue="1">
      <formula>OR($A736="username", $A736="phonenumber", $A736="start", $A736="end", $A736="deviceid", $A736="subscriberid", $A736="simserial", $A736="caseid")</formula>
    </cfRule>
  </conditionalFormatting>
  <conditionalFormatting sqref="A736">
    <cfRule type="expression" dxfId="24" priority="4322" stopIfTrue="1">
      <formula>OR(AND(LEFT($A736, 16)="select_multiple ", LEN($A736)&gt;16, NOT(ISNUMBER(SEARCH(" ", $A736, 17)))), AND(LEFT($A736, 11)="select_one ", LEN($A736)&gt;11, NOT(ISNUMBER(SEARCH(" ", $A736, 12)))))</formula>
    </cfRule>
  </conditionalFormatting>
  <conditionalFormatting sqref="A736">
    <cfRule type="expression" dxfId="25" priority="4323" stopIfTrue="1">
      <formula>$A736="decimal"</formula>
    </cfRule>
  </conditionalFormatting>
  <conditionalFormatting sqref="A736">
    <cfRule type="expression" dxfId="26" priority="4324" stopIfTrue="1">
      <formula>$A736="integer"</formula>
    </cfRule>
  </conditionalFormatting>
  <conditionalFormatting sqref="A736">
    <cfRule type="expression" dxfId="27" priority="4325" stopIfTrue="1">
      <formula>$A736="text"</formula>
    </cfRule>
  </conditionalFormatting>
  <conditionalFormatting sqref="A736">
    <cfRule type="expression" dxfId="28" priority="4326" stopIfTrue="1">
      <formula>$A736="end repeat"</formula>
    </cfRule>
  </conditionalFormatting>
  <conditionalFormatting sqref="A736">
    <cfRule type="expression" dxfId="28" priority="4327" stopIfTrue="1">
      <formula>$A736="begin repeat"</formula>
    </cfRule>
  </conditionalFormatting>
  <conditionalFormatting sqref="A736">
    <cfRule type="expression" dxfId="29" priority="4328" stopIfTrue="1">
      <formula>$A736="end group"</formula>
    </cfRule>
  </conditionalFormatting>
  <conditionalFormatting sqref="A736">
    <cfRule type="expression" dxfId="29" priority="4329" stopIfTrue="1">
      <formula>$A736="begin group"</formula>
    </cfRule>
  </conditionalFormatting>
  <conditionalFormatting sqref="A734">
    <cfRule type="expression" dxfId="33" priority="4330" stopIfTrue="1">
      <formula>$A734="file"</formula>
    </cfRule>
  </conditionalFormatting>
  <conditionalFormatting sqref="A734">
    <cfRule type="expression" dxfId="34" priority="4331" stopIfTrue="1">
      <formula>$A734="enumerator"</formula>
    </cfRule>
  </conditionalFormatting>
  <conditionalFormatting sqref="A734">
    <cfRule type="expression" dxfId="35" priority="4332" stopIfTrue="1">
      <formula>OR(AND(LEFT($A734, 14)="sensor_stream ", LEN($A734)&gt;14, NOT(ISNUMBER(SEARCH(" ", $A734, 15)))), AND(LEFT($A734, 17)="sensor_statistic ", LEN($A734)&gt;17, NOT(ISNUMBER(SEARCH(" ", $A734, 18)))))</formula>
    </cfRule>
  </conditionalFormatting>
  <conditionalFormatting sqref="A734">
    <cfRule type="expression" dxfId="14" priority="4333" stopIfTrue="1">
      <formula>$A734="comments"</formula>
    </cfRule>
  </conditionalFormatting>
  <conditionalFormatting sqref="A734">
    <cfRule type="expression" dxfId="15" priority="4334" stopIfTrue="1">
      <formula>OR($A734="audio", $A734="video")</formula>
    </cfRule>
  </conditionalFormatting>
  <conditionalFormatting sqref="A734">
    <cfRule type="expression" dxfId="16" priority="4335" stopIfTrue="1">
      <formula>$A734="image"</formula>
    </cfRule>
  </conditionalFormatting>
  <conditionalFormatting sqref="A734">
    <cfRule type="expression" dxfId="17" priority="4336" stopIfTrue="1">
      <formula>OR($A734="date", $A734="datetime", $A734="time")</formula>
    </cfRule>
  </conditionalFormatting>
  <conditionalFormatting sqref="A734">
    <cfRule type="expression" dxfId="18" priority="4337" stopIfTrue="1">
      <formula>OR($A734="calculate", $A734="calculate_here")</formula>
    </cfRule>
  </conditionalFormatting>
  <conditionalFormatting sqref="A734">
    <cfRule type="expression" dxfId="19" priority="4338" stopIfTrue="1">
      <formula>$A734="note"</formula>
    </cfRule>
  </conditionalFormatting>
  <conditionalFormatting sqref="A734">
    <cfRule type="expression" dxfId="20" priority="4339" stopIfTrue="1">
      <formula>$A734="barcode"</formula>
    </cfRule>
  </conditionalFormatting>
  <conditionalFormatting sqref="A734">
    <cfRule type="expression" dxfId="21" priority="4340" stopIfTrue="1">
      <formula>OR($A734="geopoint", $A734="geoshape", $A734="geotrace")</formula>
    </cfRule>
  </conditionalFormatting>
  <conditionalFormatting sqref="A734">
    <cfRule type="expression" dxfId="22" priority="4341" stopIfTrue="1">
      <formula>OR($A734="audio audit", $A734="text audit", $A734="speed violations count", $A734="speed violations list", $A734="speed violations audit")</formula>
    </cfRule>
  </conditionalFormatting>
  <conditionalFormatting sqref="A734">
    <cfRule type="expression" dxfId="23" priority="4342" stopIfTrue="1">
      <formula>OR($A734="username", $A734="phonenumber", $A734="start", $A734="end", $A734="deviceid", $A734="subscriberid", $A734="simserial", $A734="caseid")</formula>
    </cfRule>
  </conditionalFormatting>
  <conditionalFormatting sqref="A734">
    <cfRule type="expression" dxfId="24" priority="4343" stopIfTrue="1">
      <formula>OR(AND(LEFT($A734, 16)="select_multiple ", LEN($A734)&gt;16, NOT(ISNUMBER(SEARCH(" ", $A734, 17)))), AND(LEFT($A734, 11)="select_one ", LEN($A734)&gt;11, NOT(ISNUMBER(SEARCH(" ", $A734, 12)))))</formula>
    </cfRule>
  </conditionalFormatting>
  <conditionalFormatting sqref="A734">
    <cfRule type="expression" dxfId="25" priority="4344" stopIfTrue="1">
      <formula>$A734="decimal"</formula>
    </cfRule>
  </conditionalFormatting>
  <conditionalFormatting sqref="A734">
    <cfRule type="expression" dxfId="26" priority="4345" stopIfTrue="1">
      <formula>$A734="integer"</formula>
    </cfRule>
  </conditionalFormatting>
  <conditionalFormatting sqref="A734">
    <cfRule type="expression" dxfId="27" priority="4346" stopIfTrue="1">
      <formula>$A734="text"</formula>
    </cfRule>
  </conditionalFormatting>
  <conditionalFormatting sqref="A734">
    <cfRule type="expression" dxfId="28" priority="4347" stopIfTrue="1">
      <formula>$A734="end repeat"</formula>
    </cfRule>
  </conditionalFormatting>
  <conditionalFormatting sqref="A734">
    <cfRule type="expression" dxfId="28" priority="4348" stopIfTrue="1">
      <formula>$A734="begin repeat"</formula>
    </cfRule>
  </conditionalFormatting>
  <conditionalFormatting sqref="A734">
    <cfRule type="expression" dxfId="29" priority="4349" stopIfTrue="1">
      <formula>$A734="end group"</formula>
    </cfRule>
  </conditionalFormatting>
  <conditionalFormatting sqref="A734">
    <cfRule type="expression" dxfId="29" priority="4350" stopIfTrue="1">
      <formula>$A734="begin group"</formula>
    </cfRule>
  </conditionalFormatting>
  <conditionalFormatting sqref="A731">
    <cfRule type="expression" dxfId="33" priority="4351" stopIfTrue="1">
      <formula>$A731="file"</formula>
    </cfRule>
  </conditionalFormatting>
  <conditionalFormatting sqref="A731">
    <cfRule type="expression" dxfId="34" priority="4352" stopIfTrue="1">
      <formula>$A731="enumerator"</formula>
    </cfRule>
  </conditionalFormatting>
  <conditionalFormatting sqref="A731">
    <cfRule type="expression" dxfId="35" priority="4353" stopIfTrue="1">
      <formula>OR(AND(LEFT($A731, 14)="sensor_stream ", LEN($A731)&gt;14, NOT(ISNUMBER(SEARCH(" ", $A731, 15)))), AND(LEFT($A731, 17)="sensor_statistic ", LEN($A731)&gt;17, NOT(ISNUMBER(SEARCH(" ", $A731, 18)))))</formula>
    </cfRule>
  </conditionalFormatting>
  <conditionalFormatting sqref="A731">
    <cfRule type="expression" dxfId="14" priority="4354" stopIfTrue="1">
      <formula>$A731="comments"</formula>
    </cfRule>
  </conditionalFormatting>
  <conditionalFormatting sqref="A731">
    <cfRule type="expression" dxfId="15" priority="4355" stopIfTrue="1">
      <formula>OR($A731="audio", $A731="video")</formula>
    </cfRule>
  </conditionalFormatting>
  <conditionalFormatting sqref="A731">
    <cfRule type="expression" dxfId="16" priority="4356" stopIfTrue="1">
      <formula>$A731="image"</formula>
    </cfRule>
  </conditionalFormatting>
  <conditionalFormatting sqref="A731">
    <cfRule type="expression" dxfId="17" priority="4357" stopIfTrue="1">
      <formula>OR($A731="date", $A731="datetime", $A731="time")</formula>
    </cfRule>
  </conditionalFormatting>
  <conditionalFormatting sqref="A731">
    <cfRule type="expression" dxfId="18" priority="4358" stopIfTrue="1">
      <formula>OR($A731="calculate", $A731="calculate_here")</formula>
    </cfRule>
  </conditionalFormatting>
  <conditionalFormatting sqref="A731">
    <cfRule type="expression" dxfId="19" priority="4359" stopIfTrue="1">
      <formula>$A731="note"</formula>
    </cfRule>
  </conditionalFormatting>
  <conditionalFormatting sqref="A731">
    <cfRule type="expression" dxfId="20" priority="4360" stopIfTrue="1">
      <formula>$A731="barcode"</formula>
    </cfRule>
  </conditionalFormatting>
  <conditionalFormatting sqref="A731">
    <cfRule type="expression" dxfId="21" priority="4361" stopIfTrue="1">
      <formula>OR($A731="geopoint", $A731="geoshape", $A731="geotrace")</formula>
    </cfRule>
  </conditionalFormatting>
  <conditionalFormatting sqref="A731">
    <cfRule type="expression" dxfId="22" priority="4362" stopIfTrue="1">
      <formula>OR($A731="audio audit", $A731="text audit", $A731="speed violations count", $A731="speed violations list", $A731="speed violations audit")</formula>
    </cfRule>
  </conditionalFormatting>
  <conditionalFormatting sqref="A731">
    <cfRule type="expression" dxfId="23" priority="4363" stopIfTrue="1">
      <formula>OR($A731="username", $A731="phonenumber", $A731="start", $A731="end", $A731="deviceid", $A731="subscriberid", $A731="simserial", $A731="caseid")</formula>
    </cfRule>
  </conditionalFormatting>
  <conditionalFormatting sqref="A731">
    <cfRule type="expression" dxfId="24" priority="4364" stopIfTrue="1">
      <formula>OR(AND(LEFT($A731, 16)="select_multiple ", LEN($A731)&gt;16, NOT(ISNUMBER(SEARCH(" ", $A731, 17)))), AND(LEFT($A731, 11)="select_one ", LEN($A731)&gt;11, NOT(ISNUMBER(SEARCH(" ", $A731, 12)))))</formula>
    </cfRule>
  </conditionalFormatting>
  <conditionalFormatting sqref="A731">
    <cfRule type="expression" dxfId="25" priority="4365" stopIfTrue="1">
      <formula>$A731="decimal"</formula>
    </cfRule>
  </conditionalFormatting>
  <conditionalFormatting sqref="A731">
    <cfRule type="expression" dxfId="26" priority="4366" stopIfTrue="1">
      <formula>$A731="integer"</formula>
    </cfRule>
  </conditionalFormatting>
  <conditionalFormatting sqref="A731">
    <cfRule type="expression" dxfId="27" priority="4367" stopIfTrue="1">
      <formula>$A731="text"</formula>
    </cfRule>
  </conditionalFormatting>
  <conditionalFormatting sqref="A731">
    <cfRule type="expression" dxfId="28" priority="4368" stopIfTrue="1">
      <formula>$A731="end repeat"</formula>
    </cfRule>
  </conditionalFormatting>
  <conditionalFormatting sqref="A731">
    <cfRule type="expression" dxfId="28" priority="4369" stopIfTrue="1">
      <formula>$A731="begin repeat"</formula>
    </cfRule>
  </conditionalFormatting>
  <conditionalFormatting sqref="A731">
    <cfRule type="expression" dxfId="29" priority="4370" stopIfTrue="1">
      <formula>$A731="end group"</formula>
    </cfRule>
  </conditionalFormatting>
  <conditionalFormatting sqref="A731">
    <cfRule type="expression" dxfId="29" priority="4371" stopIfTrue="1">
      <formula>$A731="begin group"</formula>
    </cfRule>
  </conditionalFormatting>
  <conditionalFormatting sqref="A715:A725">
    <cfRule type="expression" dxfId="33" priority="4372" stopIfTrue="1">
      <formula>$A715="file"</formula>
    </cfRule>
  </conditionalFormatting>
  <conditionalFormatting sqref="A715:A725">
    <cfRule type="expression" dxfId="34" priority="4373" stopIfTrue="1">
      <formula>$A715="enumerator"</formula>
    </cfRule>
  </conditionalFormatting>
  <conditionalFormatting sqref="A715:A725">
    <cfRule type="expression" dxfId="35" priority="4374" stopIfTrue="1">
      <formula>OR(AND(LEFT($A715, 14)="sensor_stream ", LEN($A715)&gt;14, NOT(ISNUMBER(SEARCH(" ", $A715, 15)))), AND(LEFT($A715, 17)="sensor_statistic ", LEN($A715)&gt;17, NOT(ISNUMBER(SEARCH(" ", $A715, 18)))))</formula>
    </cfRule>
  </conditionalFormatting>
  <conditionalFormatting sqref="A715:A725">
    <cfRule type="expression" dxfId="14" priority="4375" stopIfTrue="1">
      <formula>$A715="comments"</formula>
    </cfRule>
  </conditionalFormatting>
  <conditionalFormatting sqref="A715:A725">
    <cfRule type="expression" dxfId="15" priority="4376" stopIfTrue="1">
      <formula>OR($A715="audio", $A715="video")</formula>
    </cfRule>
  </conditionalFormatting>
  <conditionalFormatting sqref="A715:A725">
    <cfRule type="expression" dxfId="16" priority="4377" stopIfTrue="1">
      <formula>$A715="image"</formula>
    </cfRule>
  </conditionalFormatting>
  <conditionalFormatting sqref="A715:A725">
    <cfRule type="expression" dxfId="17" priority="4378" stopIfTrue="1">
      <formula>OR($A715="date", $A715="datetime", $A715="time")</formula>
    </cfRule>
  </conditionalFormatting>
  <conditionalFormatting sqref="A715:A725">
    <cfRule type="expression" dxfId="18" priority="4379" stopIfTrue="1">
      <formula>OR($A715="calculate", $A715="calculate_here")</formula>
    </cfRule>
  </conditionalFormatting>
  <conditionalFormatting sqref="A715:A725">
    <cfRule type="expression" dxfId="19" priority="4380" stopIfTrue="1">
      <formula>$A715="note"</formula>
    </cfRule>
  </conditionalFormatting>
  <conditionalFormatting sqref="A715:A725">
    <cfRule type="expression" dxfId="20" priority="4381" stopIfTrue="1">
      <formula>$A715="barcode"</formula>
    </cfRule>
  </conditionalFormatting>
  <conditionalFormatting sqref="A715:A725">
    <cfRule type="expression" dxfId="21" priority="4382" stopIfTrue="1">
      <formula>OR($A715="geopoint", $A715="geoshape", $A715="geotrace")</formula>
    </cfRule>
  </conditionalFormatting>
  <conditionalFormatting sqref="A715:A725">
    <cfRule type="expression" dxfId="22" priority="4383" stopIfTrue="1">
      <formula>OR($A715="audio audit", $A715="text audit", $A715="speed violations count", $A715="speed violations list", $A715="speed violations audit")</formula>
    </cfRule>
  </conditionalFormatting>
  <conditionalFormatting sqref="A715:A725">
    <cfRule type="expression" dxfId="23" priority="4384" stopIfTrue="1">
      <formula>OR($A715="username", $A715="phonenumber", $A715="start", $A715="end", $A715="deviceid", $A715="subscriberid", $A715="simserial", $A715="caseid")</formula>
    </cfRule>
  </conditionalFormatting>
  <conditionalFormatting sqref="A715:A725">
    <cfRule type="expression" dxfId="24" priority="4385" stopIfTrue="1">
      <formula>OR(AND(LEFT($A715, 16)="select_multiple ", LEN($A715)&gt;16, NOT(ISNUMBER(SEARCH(" ", $A715, 17)))), AND(LEFT($A715, 11)="select_one ", LEN($A715)&gt;11, NOT(ISNUMBER(SEARCH(" ", $A715, 12)))))</formula>
    </cfRule>
  </conditionalFormatting>
  <conditionalFormatting sqref="A715:A725">
    <cfRule type="expression" dxfId="25" priority="4386" stopIfTrue="1">
      <formula>$A715="decimal"</formula>
    </cfRule>
  </conditionalFormatting>
  <conditionalFormatting sqref="A715:A725">
    <cfRule type="expression" dxfId="26" priority="4387" stopIfTrue="1">
      <formula>$A715="integer"</formula>
    </cfRule>
  </conditionalFormatting>
  <conditionalFormatting sqref="A715:A725">
    <cfRule type="expression" dxfId="27" priority="4388" stopIfTrue="1">
      <formula>$A715="text"</formula>
    </cfRule>
  </conditionalFormatting>
  <conditionalFormatting sqref="A715:A725">
    <cfRule type="expression" dxfId="28" priority="4389" stopIfTrue="1">
      <formula>$A715="end repeat"</formula>
    </cfRule>
  </conditionalFormatting>
  <conditionalFormatting sqref="A715:A725">
    <cfRule type="expression" dxfId="28" priority="4390" stopIfTrue="1">
      <formula>$A715="begin repeat"</formula>
    </cfRule>
  </conditionalFormatting>
  <conditionalFormatting sqref="A715:A725">
    <cfRule type="expression" dxfId="29" priority="4391" stopIfTrue="1">
      <formula>$A715="end group"</formula>
    </cfRule>
  </conditionalFormatting>
  <conditionalFormatting sqref="A715:A725">
    <cfRule type="expression" dxfId="29" priority="4392" stopIfTrue="1">
      <formula>$A715="begin group"</formula>
    </cfRule>
  </conditionalFormatting>
  <conditionalFormatting sqref="A705:A711">
    <cfRule type="expression" dxfId="33" priority="4393" stopIfTrue="1">
      <formula>$A705="file"</formula>
    </cfRule>
  </conditionalFormatting>
  <conditionalFormatting sqref="A705:A711">
    <cfRule type="expression" dxfId="34" priority="4394" stopIfTrue="1">
      <formula>$A705="enumerator"</formula>
    </cfRule>
  </conditionalFormatting>
  <conditionalFormatting sqref="A705:A711">
    <cfRule type="expression" dxfId="35" priority="4395" stopIfTrue="1">
      <formula>OR(AND(LEFT($A705, 14)="sensor_stream ", LEN($A705)&gt;14, NOT(ISNUMBER(SEARCH(" ", $A705, 15)))), AND(LEFT($A705, 17)="sensor_statistic ", LEN($A705)&gt;17, NOT(ISNUMBER(SEARCH(" ", $A705, 18)))))</formula>
    </cfRule>
  </conditionalFormatting>
  <conditionalFormatting sqref="A705:A711">
    <cfRule type="expression" dxfId="14" priority="4396" stopIfTrue="1">
      <formula>$A705="comments"</formula>
    </cfRule>
  </conditionalFormatting>
  <conditionalFormatting sqref="A705:A711">
    <cfRule type="expression" dxfId="15" priority="4397" stopIfTrue="1">
      <formula>OR($A705="audio", $A705="video")</formula>
    </cfRule>
  </conditionalFormatting>
  <conditionalFormatting sqref="A705:A711">
    <cfRule type="expression" dxfId="16" priority="4398" stopIfTrue="1">
      <formula>$A705="image"</formula>
    </cfRule>
  </conditionalFormatting>
  <conditionalFormatting sqref="A705:A711">
    <cfRule type="expression" dxfId="17" priority="4399" stopIfTrue="1">
      <formula>OR($A705="date", $A705="datetime", $A705="time")</formula>
    </cfRule>
  </conditionalFormatting>
  <conditionalFormatting sqref="A705:A711">
    <cfRule type="expression" dxfId="18" priority="4400" stopIfTrue="1">
      <formula>OR($A705="calculate", $A705="calculate_here")</formula>
    </cfRule>
  </conditionalFormatting>
  <conditionalFormatting sqref="A705:A711">
    <cfRule type="expression" dxfId="19" priority="4401" stopIfTrue="1">
      <formula>$A705="note"</formula>
    </cfRule>
  </conditionalFormatting>
  <conditionalFormatting sqref="A705:A711">
    <cfRule type="expression" dxfId="20" priority="4402" stopIfTrue="1">
      <formula>$A705="barcode"</formula>
    </cfRule>
  </conditionalFormatting>
  <conditionalFormatting sqref="A705:A711">
    <cfRule type="expression" dxfId="21" priority="4403" stopIfTrue="1">
      <formula>OR($A705="geopoint", $A705="geoshape", $A705="geotrace")</formula>
    </cfRule>
  </conditionalFormatting>
  <conditionalFormatting sqref="A705:A711">
    <cfRule type="expression" dxfId="22" priority="4404" stopIfTrue="1">
      <formula>OR($A705="audio audit", $A705="text audit", $A705="speed violations count", $A705="speed violations list", $A705="speed violations audit")</formula>
    </cfRule>
  </conditionalFormatting>
  <conditionalFormatting sqref="A705:A711">
    <cfRule type="expression" dxfId="23" priority="4405" stopIfTrue="1">
      <formula>OR($A705="username", $A705="phonenumber", $A705="start", $A705="end", $A705="deviceid", $A705="subscriberid", $A705="simserial", $A705="caseid")</formula>
    </cfRule>
  </conditionalFormatting>
  <conditionalFormatting sqref="A705:A711">
    <cfRule type="expression" dxfId="24" priority="4406" stopIfTrue="1">
      <formula>OR(AND(LEFT($A705, 16)="select_multiple ", LEN($A705)&gt;16, NOT(ISNUMBER(SEARCH(" ", $A705, 17)))), AND(LEFT($A705, 11)="select_one ", LEN($A705)&gt;11, NOT(ISNUMBER(SEARCH(" ", $A705, 12)))))</formula>
    </cfRule>
  </conditionalFormatting>
  <conditionalFormatting sqref="A705:A711">
    <cfRule type="expression" dxfId="25" priority="4407" stopIfTrue="1">
      <formula>$A705="decimal"</formula>
    </cfRule>
  </conditionalFormatting>
  <conditionalFormatting sqref="A705:A711">
    <cfRule type="expression" dxfId="26" priority="4408" stopIfTrue="1">
      <formula>$A705="integer"</formula>
    </cfRule>
  </conditionalFormatting>
  <conditionalFormatting sqref="A705:A711">
    <cfRule type="expression" dxfId="27" priority="4409" stopIfTrue="1">
      <formula>$A705="text"</formula>
    </cfRule>
  </conditionalFormatting>
  <conditionalFormatting sqref="A705:A711">
    <cfRule type="expression" dxfId="28" priority="4410" stopIfTrue="1">
      <formula>$A705="end repeat"</formula>
    </cfRule>
  </conditionalFormatting>
  <conditionalFormatting sqref="A705:A711">
    <cfRule type="expression" dxfId="28" priority="4411" stopIfTrue="1">
      <formula>$A705="begin repeat"</formula>
    </cfRule>
  </conditionalFormatting>
  <conditionalFormatting sqref="A705:A711">
    <cfRule type="expression" dxfId="29" priority="4412" stopIfTrue="1">
      <formula>$A705="end group"</formula>
    </cfRule>
  </conditionalFormatting>
  <conditionalFormatting sqref="A705:A711">
    <cfRule type="expression" dxfId="29" priority="4413" stopIfTrue="1">
      <formula>$A705="begin group"</formula>
    </cfRule>
  </conditionalFormatting>
  <conditionalFormatting sqref="A696:A699">
    <cfRule type="expression" dxfId="33" priority="4414" stopIfTrue="1">
      <formula>$A696="file"</formula>
    </cfRule>
  </conditionalFormatting>
  <conditionalFormatting sqref="A696:A699">
    <cfRule type="expression" dxfId="34" priority="4415" stopIfTrue="1">
      <formula>$A696="enumerator"</formula>
    </cfRule>
  </conditionalFormatting>
  <conditionalFormatting sqref="A696:A699">
    <cfRule type="expression" dxfId="35" priority="4416" stopIfTrue="1">
      <formula>OR(AND(LEFT($A696, 14)="sensor_stream ", LEN($A696)&gt;14, NOT(ISNUMBER(SEARCH(" ", $A696, 15)))), AND(LEFT($A696, 17)="sensor_statistic ", LEN($A696)&gt;17, NOT(ISNUMBER(SEARCH(" ", $A696, 18)))))</formula>
    </cfRule>
  </conditionalFormatting>
  <conditionalFormatting sqref="A696:A699">
    <cfRule type="expression" dxfId="14" priority="4417" stopIfTrue="1">
      <formula>$A696="comments"</formula>
    </cfRule>
  </conditionalFormatting>
  <conditionalFormatting sqref="A696:A699">
    <cfRule type="expression" dxfId="15" priority="4418" stopIfTrue="1">
      <formula>OR($A696="audio", $A696="video")</formula>
    </cfRule>
  </conditionalFormatting>
  <conditionalFormatting sqref="A696:A699">
    <cfRule type="expression" dxfId="16" priority="4419" stopIfTrue="1">
      <formula>$A696="image"</formula>
    </cfRule>
  </conditionalFormatting>
  <conditionalFormatting sqref="A696:A699">
    <cfRule type="expression" dxfId="17" priority="4420" stopIfTrue="1">
      <formula>OR($A696="date", $A696="datetime", $A696="time")</formula>
    </cfRule>
  </conditionalFormatting>
  <conditionalFormatting sqref="A696:A699">
    <cfRule type="expression" dxfId="18" priority="4421" stopIfTrue="1">
      <formula>OR($A696="calculate", $A696="calculate_here")</formula>
    </cfRule>
  </conditionalFormatting>
  <conditionalFormatting sqref="A696:A699">
    <cfRule type="expression" dxfId="19" priority="4422" stopIfTrue="1">
      <formula>$A696="note"</formula>
    </cfRule>
  </conditionalFormatting>
  <conditionalFormatting sqref="A696:A699">
    <cfRule type="expression" dxfId="20" priority="4423" stopIfTrue="1">
      <formula>$A696="barcode"</formula>
    </cfRule>
  </conditionalFormatting>
  <conditionalFormatting sqref="A696:A699">
    <cfRule type="expression" dxfId="21" priority="4424" stopIfTrue="1">
      <formula>OR($A696="geopoint", $A696="geoshape", $A696="geotrace")</formula>
    </cfRule>
  </conditionalFormatting>
  <conditionalFormatting sqref="A696:A699">
    <cfRule type="expression" dxfId="22" priority="4425" stopIfTrue="1">
      <formula>OR($A696="audio audit", $A696="text audit", $A696="speed violations count", $A696="speed violations list", $A696="speed violations audit")</formula>
    </cfRule>
  </conditionalFormatting>
  <conditionalFormatting sqref="A696:A699">
    <cfRule type="expression" dxfId="23" priority="4426" stopIfTrue="1">
      <formula>OR($A696="username", $A696="phonenumber", $A696="start", $A696="end", $A696="deviceid", $A696="subscriberid", $A696="simserial", $A696="caseid")</formula>
    </cfRule>
  </conditionalFormatting>
  <conditionalFormatting sqref="A696:A699">
    <cfRule type="expression" dxfId="24" priority="4427" stopIfTrue="1">
      <formula>OR(AND(LEFT($A696, 16)="select_multiple ", LEN($A696)&gt;16, NOT(ISNUMBER(SEARCH(" ", $A696, 17)))), AND(LEFT($A696, 11)="select_one ", LEN($A696)&gt;11, NOT(ISNUMBER(SEARCH(" ", $A696, 12)))))</formula>
    </cfRule>
  </conditionalFormatting>
  <conditionalFormatting sqref="A696:A699">
    <cfRule type="expression" dxfId="25" priority="4428" stopIfTrue="1">
      <formula>$A696="decimal"</formula>
    </cfRule>
  </conditionalFormatting>
  <conditionalFormatting sqref="A696:A699">
    <cfRule type="expression" dxfId="26" priority="4429" stopIfTrue="1">
      <formula>$A696="integer"</formula>
    </cfRule>
  </conditionalFormatting>
  <conditionalFormatting sqref="A696:A699">
    <cfRule type="expression" dxfId="27" priority="4430" stopIfTrue="1">
      <formula>$A696="text"</formula>
    </cfRule>
  </conditionalFormatting>
  <conditionalFormatting sqref="A696:A699">
    <cfRule type="expression" dxfId="28" priority="4431" stopIfTrue="1">
      <formula>$A696="end repeat"</formula>
    </cfRule>
  </conditionalFormatting>
  <conditionalFormatting sqref="A696:A699">
    <cfRule type="expression" dxfId="28" priority="4432" stopIfTrue="1">
      <formula>$A696="begin repeat"</formula>
    </cfRule>
  </conditionalFormatting>
  <conditionalFormatting sqref="A696:A699">
    <cfRule type="expression" dxfId="29" priority="4433" stopIfTrue="1">
      <formula>$A696="end group"</formula>
    </cfRule>
  </conditionalFormatting>
  <conditionalFormatting sqref="A696:A699">
    <cfRule type="expression" dxfId="29" priority="4434" stopIfTrue="1">
      <formula>$A696="begin group"</formula>
    </cfRule>
  </conditionalFormatting>
  <conditionalFormatting sqref="A689:A693">
    <cfRule type="expression" dxfId="33" priority="4435" stopIfTrue="1">
      <formula>$A689="file"</formula>
    </cfRule>
  </conditionalFormatting>
  <conditionalFormatting sqref="A689:A693">
    <cfRule type="expression" dxfId="34" priority="4436" stopIfTrue="1">
      <formula>$A689="enumerator"</formula>
    </cfRule>
  </conditionalFormatting>
  <conditionalFormatting sqref="A689:A693">
    <cfRule type="expression" dxfId="35" priority="4437" stopIfTrue="1">
      <formula>OR(AND(LEFT($A689, 14)="sensor_stream ", LEN($A689)&gt;14, NOT(ISNUMBER(SEARCH(" ", $A689, 15)))), AND(LEFT($A689, 17)="sensor_statistic ", LEN($A689)&gt;17, NOT(ISNUMBER(SEARCH(" ", $A689, 18)))))</formula>
    </cfRule>
  </conditionalFormatting>
  <conditionalFormatting sqref="A689:A693">
    <cfRule type="expression" dxfId="14" priority="4438" stopIfTrue="1">
      <formula>$A689="comments"</formula>
    </cfRule>
  </conditionalFormatting>
  <conditionalFormatting sqref="A689:A693">
    <cfRule type="expression" dxfId="15" priority="4439" stopIfTrue="1">
      <formula>OR($A689="audio", $A689="video")</formula>
    </cfRule>
  </conditionalFormatting>
  <conditionalFormatting sqref="A689:A693">
    <cfRule type="expression" dxfId="16" priority="4440" stopIfTrue="1">
      <formula>$A689="image"</formula>
    </cfRule>
  </conditionalFormatting>
  <conditionalFormatting sqref="A689:A693">
    <cfRule type="expression" dxfId="17" priority="4441" stopIfTrue="1">
      <formula>OR($A689="date", $A689="datetime", $A689="time")</formula>
    </cfRule>
  </conditionalFormatting>
  <conditionalFormatting sqref="A689:A693">
    <cfRule type="expression" dxfId="18" priority="4442" stopIfTrue="1">
      <formula>OR($A689="calculate", $A689="calculate_here")</formula>
    </cfRule>
  </conditionalFormatting>
  <conditionalFormatting sqref="A689:A693">
    <cfRule type="expression" dxfId="19" priority="4443" stopIfTrue="1">
      <formula>$A689="note"</formula>
    </cfRule>
  </conditionalFormatting>
  <conditionalFormatting sqref="A689:A693">
    <cfRule type="expression" dxfId="20" priority="4444" stopIfTrue="1">
      <formula>$A689="barcode"</formula>
    </cfRule>
  </conditionalFormatting>
  <conditionalFormatting sqref="A689:A693">
    <cfRule type="expression" dxfId="21" priority="4445" stopIfTrue="1">
      <formula>OR($A689="geopoint", $A689="geoshape", $A689="geotrace")</formula>
    </cfRule>
  </conditionalFormatting>
  <conditionalFormatting sqref="A689:A693">
    <cfRule type="expression" dxfId="22" priority="4446" stopIfTrue="1">
      <formula>OR($A689="audio audit", $A689="text audit", $A689="speed violations count", $A689="speed violations list", $A689="speed violations audit")</formula>
    </cfRule>
  </conditionalFormatting>
  <conditionalFormatting sqref="A689:A693">
    <cfRule type="expression" dxfId="23" priority="4447" stopIfTrue="1">
      <formula>OR($A689="username", $A689="phonenumber", $A689="start", $A689="end", $A689="deviceid", $A689="subscriberid", $A689="simserial", $A689="caseid")</formula>
    </cfRule>
  </conditionalFormatting>
  <conditionalFormatting sqref="A689:A693">
    <cfRule type="expression" dxfId="24" priority="4448" stopIfTrue="1">
      <formula>OR(AND(LEFT($A689, 16)="select_multiple ", LEN($A689)&gt;16, NOT(ISNUMBER(SEARCH(" ", $A689, 17)))), AND(LEFT($A689, 11)="select_one ", LEN($A689)&gt;11, NOT(ISNUMBER(SEARCH(" ", $A689, 12)))))</formula>
    </cfRule>
  </conditionalFormatting>
  <conditionalFormatting sqref="A689:A693">
    <cfRule type="expression" dxfId="25" priority="4449" stopIfTrue="1">
      <formula>$A689="decimal"</formula>
    </cfRule>
  </conditionalFormatting>
  <conditionalFormatting sqref="A689:A693">
    <cfRule type="expression" dxfId="26" priority="4450" stopIfTrue="1">
      <formula>$A689="integer"</formula>
    </cfRule>
  </conditionalFormatting>
  <conditionalFormatting sqref="A689:A693">
    <cfRule type="expression" dxfId="27" priority="4451" stopIfTrue="1">
      <formula>$A689="text"</formula>
    </cfRule>
  </conditionalFormatting>
  <conditionalFormatting sqref="A689:A693">
    <cfRule type="expression" dxfId="28" priority="4452" stopIfTrue="1">
      <formula>$A689="end repeat"</formula>
    </cfRule>
  </conditionalFormatting>
  <conditionalFormatting sqref="A689:A693">
    <cfRule type="expression" dxfId="28" priority="4453" stopIfTrue="1">
      <formula>$A689="begin repeat"</formula>
    </cfRule>
  </conditionalFormatting>
  <conditionalFormatting sqref="A689:A693">
    <cfRule type="expression" dxfId="29" priority="4454" stopIfTrue="1">
      <formula>$A689="end group"</formula>
    </cfRule>
  </conditionalFormatting>
  <conditionalFormatting sqref="A689:A693">
    <cfRule type="expression" dxfId="29" priority="4455" stopIfTrue="1">
      <formula>$A689="begin group"</formula>
    </cfRule>
  </conditionalFormatting>
  <conditionalFormatting sqref="A683:A684">
    <cfRule type="expression" dxfId="33" priority="4456" stopIfTrue="1">
      <formula>$A683="file"</formula>
    </cfRule>
  </conditionalFormatting>
  <conditionalFormatting sqref="A683:A684">
    <cfRule type="expression" dxfId="34" priority="4457" stopIfTrue="1">
      <formula>$A683="enumerator"</formula>
    </cfRule>
  </conditionalFormatting>
  <conditionalFormatting sqref="A683:A684">
    <cfRule type="expression" dxfId="35" priority="4458" stopIfTrue="1">
      <formula>OR(AND(LEFT($A683, 14)="sensor_stream ", LEN($A683)&gt;14, NOT(ISNUMBER(SEARCH(" ", $A683, 15)))), AND(LEFT($A683, 17)="sensor_statistic ", LEN($A683)&gt;17, NOT(ISNUMBER(SEARCH(" ", $A683, 18)))))</formula>
    </cfRule>
  </conditionalFormatting>
  <conditionalFormatting sqref="A683:A684">
    <cfRule type="expression" dxfId="14" priority="4459" stopIfTrue="1">
      <formula>$A683="comments"</formula>
    </cfRule>
  </conditionalFormatting>
  <conditionalFormatting sqref="A683:A684">
    <cfRule type="expression" dxfId="15" priority="4460" stopIfTrue="1">
      <formula>OR($A683="audio", $A683="video")</formula>
    </cfRule>
  </conditionalFormatting>
  <conditionalFormatting sqref="A683:A684">
    <cfRule type="expression" dxfId="16" priority="4461" stopIfTrue="1">
      <formula>$A683="image"</formula>
    </cfRule>
  </conditionalFormatting>
  <conditionalFormatting sqref="A683:A684">
    <cfRule type="expression" dxfId="17" priority="4462" stopIfTrue="1">
      <formula>OR($A683="date", $A683="datetime", $A683="time")</formula>
    </cfRule>
  </conditionalFormatting>
  <conditionalFormatting sqref="A683:A684">
    <cfRule type="expression" dxfId="18" priority="4463" stopIfTrue="1">
      <formula>OR($A683="calculate", $A683="calculate_here")</formula>
    </cfRule>
  </conditionalFormatting>
  <conditionalFormatting sqref="A683:A684">
    <cfRule type="expression" dxfId="19" priority="4464" stopIfTrue="1">
      <formula>$A683="note"</formula>
    </cfRule>
  </conditionalFormatting>
  <conditionalFormatting sqref="A683:A684">
    <cfRule type="expression" dxfId="20" priority="4465" stopIfTrue="1">
      <formula>$A683="barcode"</formula>
    </cfRule>
  </conditionalFormatting>
  <conditionalFormatting sqref="A683:A684">
    <cfRule type="expression" dxfId="21" priority="4466" stopIfTrue="1">
      <formula>OR($A683="geopoint", $A683="geoshape", $A683="geotrace")</formula>
    </cfRule>
  </conditionalFormatting>
  <conditionalFormatting sqref="A683:A684">
    <cfRule type="expression" dxfId="22" priority="4467" stopIfTrue="1">
      <formula>OR($A683="audio audit", $A683="text audit", $A683="speed violations count", $A683="speed violations list", $A683="speed violations audit")</formula>
    </cfRule>
  </conditionalFormatting>
  <conditionalFormatting sqref="A683:A684">
    <cfRule type="expression" dxfId="23" priority="4468" stopIfTrue="1">
      <formula>OR($A683="username", $A683="phonenumber", $A683="start", $A683="end", $A683="deviceid", $A683="subscriberid", $A683="simserial", $A683="caseid")</formula>
    </cfRule>
  </conditionalFormatting>
  <conditionalFormatting sqref="A683:A684">
    <cfRule type="expression" dxfId="24" priority="4469" stopIfTrue="1">
      <formula>OR(AND(LEFT($A683, 16)="select_multiple ", LEN($A683)&gt;16, NOT(ISNUMBER(SEARCH(" ", $A683, 17)))), AND(LEFT($A683, 11)="select_one ", LEN($A683)&gt;11, NOT(ISNUMBER(SEARCH(" ", $A683, 12)))))</formula>
    </cfRule>
  </conditionalFormatting>
  <conditionalFormatting sqref="A683:A684">
    <cfRule type="expression" dxfId="25" priority="4470" stopIfTrue="1">
      <formula>$A683="decimal"</formula>
    </cfRule>
  </conditionalFormatting>
  <conditionalFormatting sqref="A683:A684">
    <cfRule type="expression" dxfId="26" priority="4471" stopIfTrue="1">
      <formula>$A683="integer"</formula>
    </cfRule>
  </conditionalFormatting>
  <conditionalFormatting sqref="A683:A684">
    <cfRule type="expression" dxfId="27" priority="4472" stopIfTrue="1">
      <formula>$A683="text"</formula>
    </cfRule>
  </conditionalFormatting>
  <conditionalFormatting sqref="A683:A684">
    <cfRule type="expression" dxfId="28" priority="4473" stopIfTrue="1">
      <formula>$A683="end repeat"</formula>
    </cfRule>
  </conditionalFormatting>
  <conditionalFormatting sqref="A683:A684">
    <cfRule type="expression" dxfId="28" priority="4474" stopIfTrue="1">
      <formula>$A683="begin repeat"</formula>
    </cfRule>
  </conditionalFormatting>
  <conditionalFormatting sqref="A683:A684">
    <cfRule type="expression" dxfId="29" priority="4475" stopIfTrue="1">
      <formula>$A683="end group"</formula>
    </cfRule>
  </conditionalFormatting>
  <conditionalFormatting sqref="A683:A684">
    <cfRule type="expression" dxfId="29" priority="4476" stopIfTrue="1">
      <formula>$A683="begin group"</formula>
    </cfRule>
  </conditionalFormatting>
  <conditionalFormatting sqref="A681">
    <cfRule type="expression" dxfId="33" priority="4477" stopIfTrue="1">
      <formula>$A681="file"</formula>
    </cfRule>
  </conditionalFormatting>
  <conditionalFormatting sqref="A681">
    <cfRule type="expression" dxfId="34" priority="4478" stopIfTrue="1">
      <formula>$A681="enumerator"</formula>
    </cfRule>
  </conditionalFormatting>
  <conditionalFormatting sqref="A681">
    <cfRule type="expression" dxfId="35" priority="4479" stopIfTrue="1">
      <formula>OR(AND(LEFT($A681, 14)="sensor_stream ", LEN($A681)&gt;14, NOT(ISNUMBER(SEARCH(" ", $A681, 15)))), AND(LEFT($A681, 17)="sensor_statistic ", LEN($A681)&gt;17, NOT(ISNUMBER(SEARCH(" ", $A681, 18)))))</formula>
    </cfRule>
  </conditionalFormatting>
  <conditionalFormatting sqref="A681">
    <cfRule type="expression" dxfId="14" priority="4480" stopIfTrue="1">
      <formula>$A681="comments"</formula>
    </cfRule>
  </conditionalFormatting>
  <conditionalFormatting sqref="A681">
    <cfRule type="expression" dxfId="15" priority="4481" stopIfTrue="1">
      <formula>OR($A681="audio", $A681="video")</formula>
    </cfRule>
  </conditionalFormatting>
  <conditionalFormatting sqref="A681">
    <cfRule type="expression" dxfId="16" priority="4482" stopIfTrue="1">
      <formula>$A681="image"</formula>
    </cfRule>
  </conditionalFormatting>
  <conditionalFormatting sqref="A681">
    <cfRule type="expression" dxfId="17" priority="4483" stopIfTrue="1">
      <formula>OR($A681="date", $A681="datetime", $A681="time")</formula>
    </cfRule>
  </conditionalFormatting>
  <conditionalFormatting sqref="A681">
    <cfRule type="expression" dxfId="18" priority="4484" stopIfTrue="1">
      <formula>OR($A681="calculate", $A681="calculate_here")</formula>
    </cfRule>
  </conditionalFormatting>
  <conditionalFormatting sqref="A681">
    <cfRule type="expression" dxfId="19" priority="4485" stopIfTrue="1">
      <formula>$A681="note"</formula>
    </cfRule>
  </conditionalFormatting>
  <conditionalFormatting sqref="A681">
    <cfRule type="expression" dxfId="20" priority="4486" stopIfTrue="1">
      <formula>$A681="barcode"</formula>
    </cfRule>
  </conditionalFormatting>
  <conditionalFormatting sqref="A681">
    <cfRule type="expression" dxfId="21" priority="4487" stopIfTrue="1">
      <formula>OR($A681="geopoint", $A681="geoshape", $A681="geotrace")</formula>
    </cfRule>
  </conditionalFormatting>
  <conditionalFormatting sqref="A681">
    <cfRule type="expression" dxfId="22" priority="4488" stopIfTrue="1">
      <formula>OR($A681="audio audit", $A681="text audit", $A681="speed violations count", $A681="speed violations list", $A681="speed violations audit")</formula>
    </cfRule>
  </conditionalFormatting>
  <conditionalFormatting sqref="A681">
    <cfRule type="expression" dxfId="23" priority="4489" stopIfTrue="1">
      <formula>OR($A681="username", $A681="phonenumber", $A681="start", $A681="end", $A681="deviceid", $A681="subscriberid", $A681="simserial", $A681="caseid")</formula>
    </cfRule>
  </conditionalFormatting>
  <conditionalFormatting sqref="A681">
    <cfRule type="expression" dxfId="24" priority="4490" stopIfTrue="1">
      <formula>OR(AND(LEFT($A681, 16)="select_multiple ", LEN($A681)&gt;16, NOT(ISNUMBER(SEARCH(" ", $A681, 17)))), AND(LEFT($A681, 11)="select_one ", LEN($A681)&gt;11, NOT(ISNUMBER(SEARCH(" ", $A681, 12)))))</formula>
    </cfRule>
  </conditionalFormatting>
  <conditionalFormatting sqref="A681">
    <cfRule type="expression" dxfId="25" priority="4491" stopIfTrue="1">
      <formula>$A681="decimal"</formula>
    </cfRule>
  </conditionalFormatting>
  <conditionalFormatting sqref="A681">
    <cfRule type="expression" dxfId="26" priority="4492" stopIfTrue="1">
      <formula>$A681="integer"</formula>
    </cfRule>
  </conditionalFormatting>
  <conditionalFormatting sqref="A681">
    <cfRule type="expression" dxfId="27" priority="4493" stopIfTrue="1">
      <formula>$A681="text"</formula>
    </cfRule>
  </conditionalFormatting>
  <conditionalFormatting sqref="A681">
    <cfRule type="expression" dxfId="28" priority="4494" stopIfTrue="1">
      <formula>$A681="end repeat"</formula>
    </cfRule>
  </conditionalFormatting>
  <conditionalFormatting sqref="A681">
    <cfRule type="expression" dxfId="28" priority="4495" stopIfTrue="1">
      <formula>$A681="begin repeat"</formula>
    </cfRule>
  </conditionalFormatting>
  <conditionalFormatting sqref="A681">
    <cfRule type="expression" dxfId="29" priority="4496" stopIfTrue="1">
      <formula>$A681="end group"</formula>
    </cfRule>
  </conditionalFormatting>
  <conditionalFormatting sqref="A681">
    <cfRule type="expression" dxfId="29" priority="4497" stopIfTrue="1">
      <formula>$A681="begin group"</formula>
    </cfRule>
  </conditionalFormatting>
  <conditionalFormatting sqref="A675:A676">
    <cfRule type="expression" dxfId="33" priority="4498" stopIfTrue="1">
      <formula>$A675="file"</formula>
    </cfRule>
  </conditionalFormatting>
  <conditionalFormatting sqref="A675:A676">
    <cfRule type="expression" dxfId="34" priority="4499" stopIfTrue="1">
      <formula>$A675="enumerator"</formula>
    </cfRule>
  </conditionalFormatting>
  <conditionalFormatting sqref="A675:A676">
    <cfRule type="expression" dxfId="35" priority="4500" stopIfTrue="1">
      <formula>OR(AND(LEFT($A675, 14)="sensor_stream ", LEN($A675)&gt;14, NOT(ISNUMBER(SEARCH(" ", $A675, 15)))), AND(LEFT($A675, 17)="sensor_statistic ", LEN($A675)&gt;17, NOT(ISNUMBER(SEARCH(" ", $A675, 18)))))</formula>
    </cfRule>
  </conditionalFormatting>
  <conditionalFormatting sqref="A675:A676">
    <cfRule type="expression" dxfId="14" priority="4501" stopIfTrue="1">
      <formula>$A675="comments"</formula>
    </cfRule>
  </conditionalFormatting>
  <conditionalFormatting sqref="A675:A676">
    <cfRule type="expression" dxfId="15" priority="4502" stopIfTrue="1">
      <formula>OR($A675="audio", $A675="video")</formula>
    </cfRule>
  </conditionalFormatting>
  <conditionalFormatting sqref="A675:A676">
    <cfRule type="expression" dxfId="16" priority="4503" stopIfTrue="1">
      <formula>$A675="image"</formula>
    </cfRule>
  </conditionalFormatting>
  <conditionalFormatting sqref="A675:A676">
    <cfRule type="expression" dxfId="17" priority="4504" stopIfTrue="1">
      <formula>OR($A675="date", $A675="datetime", $A675="time")</formula>
    </cfRule>
  </conditionalFormatting>
  <conditionalFormatting sqref="A675:A676">
    <cfRule type="expression" dxfId="18" priority="4505" stopIfTrue="1">
      <formula>OR($A675="calculate", $A675="calculate_here")</formula>
    </cfRule>
  </conditionalFormatting>
  <conditionalFormatting sqref="A675:A676">
    <cfRule type="expression" dxfId="19" priority="4506" stopIfTrue="1">
      <formula>$A675="note"</formula>
    </cfRule>
  </conditionalFormatting>
  <conditionalFormatting sqref="A675:A676">
    <cfRule type="expression" dxfId="20" priority="4507" stopIfTrue="1">
      <formula>$A675="barcode"</formula>
    </cfRule>
  </conditionalFormatting>
  <conditionalFormatting sqref="A675:A676">
    <cfRule type="expression" dxfId="21" priority="4508" stopIfTrue="1">
      <formula>OR($A675="geopoint", $A675="geoshape", $A675="geotrace")</formula>
    </cfRule>
  </conditionalFormatting>
  <conditionalFormatting sqref="A675:A676">
    <cfRule type="expression" dxfId="22" priority="4509" stopIfTrue="1">
      <formula>OR($A675="audio audit", $A675="text audit", $A675="speed violations count", $A675="speed violations list", $A675="speed violations audit")</formula>
    </cfRule>
  </conditionalFormatting>
  <conditionalFormatting sqref="A675:A676">
    <cfRule type="expression" dxfId="23" priority="4510" stopIfTrue="1">
      <formula>OR($A675="username", $A675="phonenumber", $A675="start", $A675="end", $A675="deviceid", $A675="subscriberid", $A675="simserial", $A675="caseid")</formula>
    </cfRule>
  </conditionalFormatting>
  <conditionalFormatting sqref="A675:A676">
    <cfRule type="expression" dxfId="24" priority="4511" stopIfTrue="1">
      <formula>OR(AND(LEFT($A675, 16)="select_multiple ", LEN($A675)&gt;16, NOT(ISNUMBER(SEARCH(" ", $A675, 17)))), AND(LEFT($A675, 11)="select_one ", LEN($A675)&gt;11, NOT(ISNUMBER(SEARCH(" ", $A675, 12)))))</formula>
    </cfRule>
  </conditionalFormatting>
  <conditionalFormatting sqref="A675:A676">
    <cfRule type="expression" dxfId="25" priority="4512" stopIfTrue="1">
      <formula>$A675="decimal"</formula>
    </cfRule>
  </conditionalFormatting>
  <conditionalFormatting sqref="A675:A676">
    <cfRule type="expression" dxfId="26" priority="4513" stopIfTrue="1">
      <formula>$A675="integer"</formula>
    </cfRule>
  </conditionalFormatting>
  <conditionalFormatting sqref="A675:A676">
    <cfRule type="expression" dxfId="27" priority="4514" stopIfTrue="1">
      <formula>$A675="text"</formula>
    </cfRule>
  </conditionalFormatting>
  <conditionalFormatting sqref="A675:A676">
    <cfRule type="expression" dxfId="28" priority="4515" stopIfTrue="1">
      <formula>$A675="end repeat"</formula>
    </cfRule>
  </conditionalFormatting>
  <conditionalFormatting sqref="A675:A676">
    <cfRule type="expression" dxfId="28" priority="4516" stopIfTrue="1">
      <formula>$A675="begin repeat"</formula>
    </cfRule>
  </conditionalFormatting>
  <conditionalFormatting sqref="A675:A676">
    <cfRule type="expression" dxfId="29" priority="4517" stopIfTrue="1">
      <formula>$A675="end group"</formula>
    </cfRule>
  </conditionalFormatting>
  <conditionalFormatting sqref="A675:A676">
    <cfRule type="expression" dxfId="29" priority="4518" stopIfTrue="1">
      <formula>$A675="begin group"</formula>
    </cfRule>
  </conditionalFormatting>
  <conditionalFormatting sqref="A669:A671">
    <cfRule type="expression" dxfId="33" priority="4519" stopIfTrue="1">
      <formula>$A669="file"</formula>
    </cfRule>
  </conditionalFormatting>
  <conditionalFormatting sqref="A669:A671">
    <cfRule type="expression" dxfId="34" priority="4520" stopIfTrue="1">
      <formula>$A669="enumerator"</formula>
    </cfRule>
  </conditionalFormatting>
  <conditionalFormatting sqref="A669:A671">
    <cfRule type="expression" dxfId="35" priority="4521" stopIfTrue="1">
      <formula>OR(AND(LEFT($A669, 14)="sensor_stream ", LEN($A669)&gt;14, NOT(ISNUMBER(SEARCH(" ", $A669, 15)))), AND(LEFT($A669, 17)="sensor_statistic ", LEN($A669)&gt;17, NOT(ISNUMBER(SEARCH(" ", $A669, 18)))))</formula>
    </cfRule>
  </conditionalFormatting>
  <conditionalFormatting sqref="A669:A671">
    <cfRule type="expression" dxfId="14" priority="4522" stopIfTrue="1">
      <formula>$A669="comments"</formula>
    </cfRule>
  </conditionalFormatting>
  <conditionalFormatting sqref="A669:A671">
    <cfRule type="expression" dxfId="15" priority="4523" stopIfTrue="1">
      <formula>OR($A669="audio", $A669="video")</formula>
    </cfRule>
  </conditionalFormatting>
  <conditionalFormatting sqref="A669:A671">
    <cfRule type="expression" dxfId="16" priority="4524" stopIfTrue="1">
      <formula>$A669="image"</formula>
    </cfRule>
  </conditionalFormatting>
  <conditionalFormatting sqref="A669:A671">
    <cfRule type="expression" dxfId="17" priority="4525" stopIfTrue="1">
      <formula>OR($A669="date", $A669="datetime", $A669="time")</formula>
    </cfRule>
  </conditionalFormatting>
  <conditionalFormatting sqref="A669:A671">
    <cfRule type="expression" dxfId="18" priority="4526" stopIfTrue="1">
      <formula>OR($A669="calculate", $A669="calculate_here")</formula>
    </cfRule>
  </conditionalFormatting>
  <conditionalFormatting sqref="A669:A671">
    <cfRule type="expression" dxfId="19" priority="4527" stopIfTrue="1">
      <formula>$A669="note"</formula>
    </cfRule>
  </conditionalFormatting>
  <conditionalFormatting sqref="A669:A671">
    <cfRule type="expression" dxfId="20" priority="4528" stopIfTrue="1">
      <formula>$A669="barcode"</formula>
    </cfRule>
  </conditionalFormatting>
  <conditionalFormatting sqref="A669:A671">
    <cfRule type="expression" dxfId="21" priority="4529" stopIfTrue="1">
      <formula>OR($A669="geopoint", $A669="geoshape", $A669="geotrace")</formula>
    </cfRule>
  </conditionalFormatting>
  <conditionalFormatting sqref="A669:A671">
    <cfRule type="expression" dxfId="22" priority="4530" stopIfTrue="1">
      <formula>OR($A669="audio audit", $A669="text audit", $A669="speed violations count", $A669="speed violations list", $A669="speed violations audit")</formula>
    </cfRule>
  </conditionalFormatting>
  <conditionalFormatting sqref="A669:A671">
    <cfRule type="expression" dxfId="23" priority="4531" stopIfTrue="1">
      <formula>OR($A669="username", $A669="phonenumber", $A669="start", $A669="end", $A669="deviceid", $A669="subscriberid", $A669="simserial", $A669="caseid")</formula>
    </cfRule>
  </conditionalFormatting>
  <conditionalFormatting sqref="A669:A671">
    <cfRule type="expression" dxfId="24" priority="4532" stopIfTrue="1">
      <formula>OR(AND(LEFT($A669, 16)="select_multiple ", LEN($A669)&gt;16, NOT(ISNUMBER(SEARCH(" ", $A669, 17)))), AND(LEFT($A669, 11)="select_one ", LEN($A669)&gt;11, NOT(ISNUMBER(SEARCH(" ", $A669, 12)))))</formula>
    </cfRule>
  </conditionalFormatting>
  <conditionalFormatting sqref="A669:A671">
    <cfRule type="expression" dxfId="25" priority="4533" stopIfTrue="1">
      <formula>$A669="decimal"</formula>
    </cfRule>
  </conditionalFormatting>
  <conditionalFormatting sqref="A669:A671">
    <cfRule type="expression" dxfId="26" priority="4534" stopIfTrue="1">
      <formula>$A669="integer"</formula>
    </cfRule>
  </conditionalFormatting>
  <conditionalFormatting sqref="A669:A671">
    <cfRule type="expression" dxfId="27" priority="4535" stopIfTrue="1">
      <formula>$A669="text"</formula>
    </cfRule>
  </conditionalFormatting>
  <conditionalFormatting sqref="A669:A671">
    <cfRule type="expression" dxfId="28" priority="4536" stopIfTrue="1">
      <formula>$A669="end repeat"</formula>
    </cfRule>
  </conditionalFormatting>
  <conditionalFormatting sqref="A669:A671">
    <cfRule type="expression" dxfId="28" priority="4537" stopIfTrue="1">
      <formula>$A669="begin repeat"</formula>
    </cfRule>
  </conditionalFormatting>
  <conditionalFormatting sqref="A669:A671">
    <cfRule type="expression" dxfId="29" priority="4538" stopIfTrue="1">
      <formula>$A669="end group"</formula>
    </cfRule>
  </conditionalFormatting>
  <conditionalFormatting sqref="A669:A671">
    <cfRule type="expression" dxfId="29" priority="4539" stopIfTrue="1">
      <formula>$A669="begin group"</formula>
    </cfRule>
  </conditionalFormatting>
  <conditionalFormatting sqref="A660:A665">
    <cfRule type="expression" dxfId="33" priority="4540" stopIfTrue="1">
      <formula>$A660="file"</formula>
    </cfRule>
  </conditionalFormatting>
  <conditionalFormatting sqref="A660:A665">
    <cfRule type="expression" dxfId="34" priority="4541" stopIfTrue="1">
      <formula>$A660="enumerator"</formula>
    </cfRule>
  </conditionalFormatting>
  <conditionalFormatting sqref="A660:A665">
    <cfRule type="expression" dxfId="35" priority="4542" stopIfTrue="1">
      <formula>OR(AND(LEFT($A660, 14)="sensor_stream ", LEN($A660)&gt;14, NOT(ISNUMBER(SEARCH(" ", $A660, 15)))), AND(LEFT($A660, 17)="sensor_statistic ", LEN($A660)&gt;17, NOT(ISNUMBER(SEARCH(" ", $A660, 18)))))</formula>
    </cfRule>
  </conditionalFormatting>
  <conditionalFormatting sqref="A660:A665">
    <cfRule type="expression" dxfId="14" priority="4543" stopIfTrue="1">
      <formula>$A660="comments"</formula>
    </cfRule>
  </conditionalFormatting>
  <conditionalFormatting sqref="A660:A665">
    <cfRule type="expression" dxfId="15" priority="4544" stopIfTrue="1">
      <formula>OR($A660="audio", $A660="video")</formula>
    </cfRule>
  </conditionalFormatting>
  <conditionalFormatting sqref="A660:A665">
    <cfRule type="expression" dxfId="16" priority="4545" stopIfTrue="1">
      <formula>$A660="image"</formula>
    </cfRule>
  </conditionalFormatting>
  <conditionalFormatting sqref="A660:A665">
    <cfRule type="expression" dxfId="17" priority="4546" stopIfTrue="1">
      <formula>OR($A660="date", $A660="datetime", $A660="time")</formula>
    </cfRule>
  </conditionalFormatting>
  <conditionalFormatting sqref="A660:A665">
    <cfRule type="expression" dxfId="18" priority="4547" stopIfTrue="1">
      <formula>OR($A660="calculate", $A660="calculate_here")</formula>
    </cfRule>
  </conditionalFormatting>
  <conditionalFormatting sqref="A660:A665">
    <cfRule type="expression" dxfId="19" priority="4548" stopIfTrue="1">
      <formula>$A660="note"</formula>
    </cfRule>
  </conditionalFormatting>
  <conditionalFormatting sqref="A660:A665">
    <cfRule type="expression" dxfId="20" priority="4549" stopIfTrue="1">
      <formula>$A660="barcode"</formula>
    </cfRule>
  </conditionalFormatting>
  <conditionalFormatting sqref="A660:A665">
    <cfRule type="expression" dxfId="21" priority="4550" stopIfTrue="1">
      <formula>OR($A660="geopoint", $A660="geoshape", $A660="geotrace")</formula>
    </cfRule>
  </conditionalFormatting>
  <conditionalFormatting sqref="A660:A665">
    <cfRule type="expression" dxfId="22" priority="4551" stopIfTrue="1">
      <formula>OR($A660="audio audit", $A660="text audit", $A660="speed violations count", $A660="speed violations list", $A660="speed violations audit")</formula>
    </cfRule>
  </conditionalFormatting>
  <conditionalFormatting sqref="A660:A665">
    <cfRule type="expression" dxfId="23" priority="4552" stopIfTrue="1">
      <formula>OR($A660="username", $A660="phonenumber", $A660="start", $A660="end", $A660="deviceid", $A660="subscriberid", $A660="simserial", $A660="caseid")</formula>
    </cfRule>
  </conditionalFormatting>
  <conditionalFormatting sqref="A660:A665">
    <cfRule type="expression" dxfId="24" priority="4553" stopIfTrue="1">
      <formula>OR(AND(LEFT($A660, 16)="select_multiple ", LEN($A660)&gt;16, NOT(ISNUMBER(SEARCH(" ", $A660, 17)))), AND(LEFT($A660, 11)="select_one ", LEN($A660)&gt;11, NOT(ISNUMBER(SEARCH(" ", $A660, 12)))))</formula>
    </cfRule>
  </conditionalFormatting>
  <conditionalFormatting sqref="A660:A665">
    <cfRule type="expression" dxfId="25" priority="4554" stopIfTrue="1">
      <formula>$A660="decimal"</formula>
    </cfRule>
  </conditionalFormatting>
  <conditionalFormatting sqref="A660:A665">
    <cfRule type="expression" dxfId="26" priority="4555" stopIfTrue="1">
      <formula>$A660="integer"</formula>
    </cfRule>
  </conditionalFormatting>
  <conditionalFormatting sqref="A660:A665">
    <cfRule type="expression" dxfId="27" priority="4556" stopIfTrue="1">
      <formula>$A660="text"</formula>
    </cfRule>
  </conditionalFormatting>
  <conditionalFormatting sqref="A660:A665">
    <cfRule type="expression" dxfId="28" priority="4557" stopIfTrue="1">
      <formula>$A660="end repeat"</formula>
    </cfRule>
  </conditionalFormatting>
  <conditionalFormatting sqref="A660:A665">
    <cfRule type="expression" dxfId="28" priority="4558" stopIfTrue="1">
      <formula>$A660="begin repeat"</formula>
    </cfRule>
  </conditionalFormatting>
  <conditionalFormatting sqref="A660:A665">
    <cfRule type="expression" dxfId="29" priority="4559" stopIfTrue="1">
      <formula>$A660="end group"</formula>
    </cfRule>
  </conditionalFormatting>
  <conditionalFormatting sqref="A660:A665">
    <cfRule type="expression" dxfId="29" priority="4560" stopIfTrue="1">
      <formula>$A660="begin group"</formula>
    </cfRule>
  </conditionalFormatting>
  <conditionalFormatting sqref="A653:A658">
    <cfRule type="expression" dxfId="33" priority="4561" stopIfTrue="1">
      <formula>$A653="file"</formula>
    </cfRule>
  </conditionalFormatting>
  <conditionalFormatting sqref="A653:A658">
    <cfRule type="expression" dxfId="34" priority="4562" stopIfTrue="1">
      <formula>$A653="enumerator"</formula>
    </cfRule>
  </conditionalFormatting>
  <conditionalFormatting sqref="A653:A658">
    <cfRule type="expression" dxfId="35" priority="4563" stopIfTrue="1">
      <formula>OR(AND(LEFT($A653, 14)="sensor_stream ", LEN($A653)&gt;14, NOT(ISNUMBER(SEARCH(" ", $A653, 15)))), AND(LEFT($A653, 17)="sensor_statistic ", LEN($A653)&gt;17, NOT(ISNUMBER(SEARCH(" ", $A653, 18)))))</formula>
    </cfRule>
  </conditionalFormatting>
  <conditionalFormatting sqref="A653:A658">
    <cfRule type="expression" dxfId="14" priority="4564" stopIfTrue="1">
      <formula>$A653="comments"</formula>
    </cfRule>
  </conditionalFormatting>
  <conditionalFormatting sqref="A653:A658">
    <cfRule type="expression" dxfId="15" priority="4565" stopIfTrue="1">
      <formula>OR($A653="audio", $A653="video")</formula>
    </cfRule>
  </conditionalFormatting>
  <conditionalFormatting sqref="A653:A658">
    <cfRule type="expression" dxfId="16" priority="4566" stopIfTrue="1">
      <formula>$A653="image"</formula>
    </cfRule>
  </conditionalFormatting>
  <conditionalFormatting sqref="A653:A658">
    <cfRule type="expression" dxfId="17" priority="4567" stopIfTrue="1">
      <formula>OR($A653="date", $A653="datetime", $A653="time")</formula>
    </cfRule>
  </conditionalFormatting>
  <conditionalFormatting sqref="A653:A658">
    <cfRule type="expression" dxfId="18" priority="4568" stopIfTrue="1">
      <formula>OR($A653="calculate", $A653="calculate_here")</formula>
    </cfRule>
  </conditionalFormatting>
  <conditionalFormatting sqref="A653:A658">
    <cfRule type="expression" dxfId="19" priority="4569" stopIfTrue="1">
      <formula>$A653="note"</formula>
    </cfRule>
  </conditionalFormatting>
  <conditionalFormatting sqref="A653:A658">
    <cfRule type="expression" dxfId="20" priority="4570" stopIfTrue="1">
      <formula>$A653="barcode"</formula>
    </cfRule>
  </conditionalFormatting>
  <conditionalFormatting sqref="A653:A658">
    <cfRule type="expression" dxfId="21" priority="4571" stopIfTrue="1">
      <formula>OR($A653="geopoint", $A653="geoshape", $A653="geotrace")</formula>
    </cfRule>
  </conditionalFormatting>
  <conditionalFormatting sqref="A653:A658">
    <cfRule type="expression" dxfId="22" priority="4572" stopIfTrue="1">
      <formula>OR($A653="audio audit", $A653="text audit", $A653="speed violations count", $A653="speed violations list", $A653="speed violations audit")</formula>
    </cfRule>
  </conditionalFormatting>
  <conditionalFormatting sqref="A653:A658">
    <cfRule type="expression" dxfId="23" priority="4573" stopIfTrue="1">
      <formula>OR($A653="username", $A653="phonenumber", $A653="start", $A653="end", $A653="deviceid", $A653="subscriberid", $A653="simserial", $A653="caseid")</formula>
    </cfRule>
  </conditionalFormatting>
  <conditionalFormatting sqref="A653:A658">
    <cfRule type="expression" dxfId="24" priority="4574" stopIfTrue="1">
      <formula>OR(AND(LEFT($A653, 16)="select_multiple ", LEN($A653)&gt;16, NOT(ISNUMBER(SEARCH(" ", $A653, 17)))), AND(LEFT($A653, 11)="select_one ", LEN($A653)&gt;11, NOT(ISNUMBER(SEARCH(" ", $A653, 12)))))</formula>
    </cfRule>
  </conditionalFormatting>
  <conditionalFormatting sqref="A653:A658">
    <cfRule type="expression" dxfId="25" priority="4575" stopIfTrue="1">
      <formula>$A653="decimal"</formula>
    </cfRule>
  </conditionalFormatting>
  <conditionalFormatting sqref="A653:A658">
    <cfRule type="expression" dxfId="26" priority="4576" stopIfTrue="1">
      <formula>$A653="integer"</formula>
    </cfRule>
  </conditionalFormatting>
  <conditionalFormatting sqref="A653:A658">
    <cfRule type="expression" dxfId="27" priority="4577" stopIfTrue="1">
      <formula>$A653="text"</formula>
    </cfRule>
  </conditionalFormatting>
  <conditionalFormatting sqref="A653:A658">
    <cfRule type="expression" dxfId="28" priority="4578" stopIfTrue="1">
      <formula>$A653="end repeat"</formula>
    </cfRule>
  </conditionalFormatting>
  <conditionalFormatting sqref="A653:A658">
    <cfRule type="expression" dxfId="28" priority="4579" stopIfTrue="1">
      <formula>$A653="begin repeat"</formula>
    </cfRule>
  </conditionalFormatting>
  <conditionalFormatting sqref="A653:A658">
    <cfRule type="expression" dxfId="29" priority="4580" stopIfTrue="1">
      <formula>$A653="end group"</formula>
    </cfRule>
  </conditionalFormatting>
  <conditionalFormatting sqref="A653:A658">
    <cfRule type="expression" dxfId="29" priority="4581" stopIfTrue="1">
      <formula>$A653="begin group"</formula>
    </cfRule>
  </conditionalFormatting>
  <conditionalFormatting sqref="A613:A647">
    <cfRule type="expression" dxfId="33" priority="4582" stopIfTrue="1">
      <formula>$A613="file"</formula>
    </cfRule>
  </conditionalFormatting>
  <conditionalFormatting sqref="A613:A647">
    <cfRule type="expression" dxfId="34" priority="4583" stopIfTrue="1">
      <formula>$A613="enumerator"</formula>
    </cfRule>
  </conditionalFormatting>
  <conditionalFormatting sqref="A613:A647">
    <cfRule type="expression" dxfId="35" priority="4584" stopIfTrue="1">
      <formula>OR(AND(LEFT($A613, 14)="sensor_stream ", LEN($A613)&gt;14, NOT(ISNUMBER(SEARCH(" ", $A613, 15)))), AND(LEFT($A613, 17)="sensor_statistic ", LEN($A613)&gt;17, NOT(ISNUMBER(SEARCH(" ", $A613, 18)))))</formula>
    </cfRule>
  </conditionalFormatting>
  <conditionalFormatting sqref="A613:A647">
    <cfRule type="expression" dxfId="14" priority="4585" stopIfTrue="1">
      <formula>$A613="comments"</formula>
    </cfRule>
  </conditionalFormatting>
  <conditionalFormatting sqref="A613:A647">
    <cfRule type="expression" dxfId="15" priority="4586" stopIfTrue="1">
      <formula>OR($A613="audio", $A613="video")</formula>
    </cfRule>
  </conditionalFormatting>
  <conditionalFormatting sqref="A613:A647">
    <cfRule type="expression" dxfId="16" priority="4587" stopIfTrue="1">
      <formula>$A613="image"</formula>
    </cfRule>
  </conditionalFormatting>
  <conditionalFormatting sqref="A613:A647">
    <cfRule type="expression" dxfId="17" priority="4588" stopIfTrue="1">
      <formula>OR($A613="date", $A613="datetime", $A613="time")</formula>
    </cfRule>
  </conditionalFormatting>
  <conditionalFormatting sqref="A613:A647">
    <cfRule type="expression" dxfId="18" priority="4589" stopIfTrue="1">
      <formula>OR($A613="calculate", $A613="calculate_here")</formula>
    </cfRule>
  </conditionalFormatting>
  <conditionalFormatting sqref="A613:A647">
    <cfRule type="expression" dxfId="19" priority="4590" stopIfTrue="1">
      <formula>$A613="note"</formula>
    </cfRule>
  </conditionalFormatting>
  <conditionalFormatting sqref="A613:A647">
    <cfRule type="expression" dxfId="20" priority="4591" stopIfTrue="1">
      <formula>$A613="barcode"</formula>
    </cfRule>
  </conditionalFormatting>
  <conditionalFormatting sqref="A613:A647">
    <cfRule type="expression" dxfId="21" priority="4592" stopIfTrue="1">
      <formula>OR($A613="geopoint", $A613="geoshape", $A613="geotrace")</formula>
    </cfRule>
  </conditionalFormatting>
  <conditionalFormatting sqref="A613:A647">
    <cfRule type="expression" dxfId="22" priority="4593" stopIfTrue="1">
      <formula>OR($A613="audio audit", $A613="text audit", $A613="speed violations count", $A613="speed violations list", $A613="speed violations audit")</formula>
    </cfRule>
  </conditionalFormatting>
  <conditionalFormatting sqref="A613:A647">
    <cfRule type="expression" dxfId="23" priority="4594" stopIfTrue="1">
      <formula>OR($A613="username", $A613="phonenumber", $A613="start", $A613="end", $A613="deviceid", $A613="subscriberid", $A613="simserial", $A613="caseid")</formula>
    </cfRule>
  </conditionalFormatting>
  <conditionalFormatting sqref="A613:A647">
    <cfRule type="expression" dxfId="24" priority="4595" stopIfTrue="1">
      <formula>OR(AND(LEFT($A613, 16)="select_multiple ", LEN($A613)&gt;16, NOT(ISNUMBER(SEARCH(" ", $A613, 17)))), AND(LEFT($A613, 11)="select_one ", LEN($A613)&gt;11, NOT(ISNUMBER(SEARCH(" ", $A613, 12)))))</formula>
    </cfRule>
  </conditionalFormatting>
  <conditionalFormatting sqref="A613:A647">
    <cfRule type="expression" dxfId="25" priority="4596" stopIfTrue="1">
      <formula>$A613="decimal"</formula>
    </cfRule>
  </conditionalFormatting>
  <conditionalFormatting sqref="A613:A647">
    <cfRule type="expression" dxfId="26" priority="4597" stopIfTrue="1">
      <formula>$A613="integer"</formula>
    </cfRule>
  </conditionalFormatting>
  <conditionalFormatting sqref="A613:A647">
    <cfRule type="expression" dxfId="27" priority="4598" stopIfTrue="1">
      <formula>$A613="text"</formula>
    </cfRule>
  </conditionalFormatting>
  <conditionalFormatting sqref="A613:A647">
    <cfRule type="expression" dxfId="28" priority="4599" stopIfTrue="1">
      <formula>$A613="end repeat"</formula>
    </cfRule>
  </conditionalFormatting>
  <conditionalFormatting sqref="A613:A647">
    <cfRule type="expression" dxfId="28" priority="4600" stopIfTrue="1">
      <formula>$A613="begin repeat"</formula>
    </cfRule>
  </conditionalFormatting>
  <conditionalFormatting sqref="A613:A647">
    <cfRule type="expression" dxfId="29" priority="4601" stopIfTrue="1">
      <formula>$A613="end group"</formula>
    </cfRule>
  </conditionalFormatting>
  <conditionalFormatting sqref="A613:A647">
    <cfRule type="expression" dxfId="29" priority="4602" stopIfTrue="1">
      <formula>$A613="begin group"</formula>
    </cfRule>
  </conditionalFormatting>
  <conditionalFormatting sqref="A604:A606">
    <cfRule type="expression" dxfId="33" priority="4603" stopIfTrue="1">
      <formula>$A604="file"</formula>
    </cfRule>
  </conditionalFormatting>
  <conditionalFormatting sqref="A604:A606">
    <cfRule type="expression" dxfId="34" priority="4604" stopIfTrue="1">
      <formula>$A604="enumerator"</formula>
    </cfRule>
  </conditionalFormatting>
  <conditionalFormatting sqref="A604:A606">
    <cfRule type="expression" dxfId="35" priority="4605" stopIfTrue="1">
      <formula>OR(AND(LEFT($A604, 14)="sensor_stream ", LEN($A604)&gt;14, NOT(ISNUMBER(SEARCH(" ", $A604, 15)))), AND(LEFT($A604, 17)="sensor_statistic ", LEN($A604)&gt;17, NOT(ISNUMBER(SEARCH(" ", $A604, 18)))))</formula>
    </cfRule>
  </conditionalFormatting>
  <conditionalFormatting sqref="A604:A606">
    <cfRule type="expression" dxfId="14" priority="4606" stopIfTrue="1">
      <formula>$A604="comments"</formula>
    </cfRule>
  </conditionalFormatting>
  <conditionalFormatting sqref="A604:A606">
    <cfRule type="expression" dxfId="15" priority="4607" stopIfTrue="1">
      <formula>OR($A604="audio", $A604="video")</formula>
    </cfRule>
  </conditionalFormatting>
  <conditionalFormatting sqref="A604:A606">
    <cfRule type="expression" dxfId="16" priority="4608" stopIfTrue="1">
      <formula>$A604="image"</formula>
    </cfRule>
  </conditionalFormatting>
  <conditionalFormatting sqref="A604:A606">
    <cfRule type="expression" dxfId="17" priority="4609" stopIfTrue="1">
      <formula>OR($A604="date", $A604="datetime", $A604="time")</formula>
    </cfRule>
  </conditionalFormatting>
  <conditionalFormatting sqref="A604:A606">
    <cfRule type="expression" dxfId="18" priority="4610" stopIfTrue="1">
      <formula>OR($A604="calculate", $A604="calculate_here")</formula>
    </cfRule>
  </conditionalFormatting>
  <conditionalFormatting sqref="A604:A606">
    <cfRule type="expression" dxfId="19" priority="4611" stopIfTrue="1">
      <formula>$A604="note"</formula>
    </cfRule>
  </conditionalFormatting>
  <conditionalFormatting sqref="A604:A606">
    <cfRule type="expression" dxfId="20" priority="4612" stopIfTrue="1">
      <formula>$A604="barcode"</formula>
    </cfRule>
  </conditionalFormatting>
  <conditionalFormatting sqref="A604:A606">
    <cfRule type="expression" dxfId="21" priority="4613" stopIfTrue="1">
      <formula>OR($A604="geopoint", $A604="geoshape", $A604="geotrace")</formula>
    </cfRule>
  </conditionalFormatting>
  <conditionalFormatting sqref="A604:A606">
    <cfRule type="expression" dxfId="22" priority="4614" stopIfTrue="1">
      <formula>OR($A604="audio audit", $A604="text audit", $A604="speed violations count", $A604="speed violations list", $A604="speed violations audit")</formula>
    </cfRule>
  </conditionalFormatting>
  <conditionalFormatting sqref="A604:A606">
    <cfRule type="expression" dxfId="23" priority="4615" stopIfTrue="1">
      <formula>OR($A604="username", $A604="phonenumber", $A604="start", $A604="end", $A604="deviceid", $A604="subscriberid", $A604="simserial", $A604="caseid")</formula>
    </cfRule>
  </conditionalFormatting>
  <conditionalFormatting sqref="A604:A606">
    <cfRule type="expression" dxfId="24" priority="4616" stopIfTrue="1">
      <formula>OR(AND(LEFT($A604, 16)="select_multiple ", LEN($A604)&gt;16, NOT(ISNUMBER(SEARCH(" ", $A604, 17)))), AND(LEFT($A604, 11)="select_one ", LEN($A604)&gt;11, NOT(ISNUMBER(SEARCH(" ", $A604, 12)))))</formula>
    </cfRule>
  </conditionalFormatting>
  <conditionalFormatting sqref="A604:A606">
    <cfRule type="expression" dxfId="25" priority="4617" stopIfTrue="1">
      <formula>$A604="decimal"</formula>
    </cfRule>
  </conditionalFormatting>
  <conditionalFormatting sqref="A604:A606">
    <cfRule type="expression" dxfId="26" priority="4618" stopIfTrue="1">
      <formula>$A604="integer"</formula>
    </cfRule>
  </conditionalFormatting>
  <conditionalFormatting sqref="A604:A606">
    <cfRule type="expression" dxfId="27" priority="4619" stopIfTrue="1">
      <formula>$A604="text"</formula>
    </cfRule>
  </conditionalFormatting>
  <conditionalFormatting sqref="A604:A606">
    <cfRule type="expression" dxfId="28" priority="4620" stopIfTrue="1">
      <formula>$A604="end repeat"</formula>
    </cfRule>
  </conditionalFormatting>
  <conditionalFormatting sqref="A604:A606">
    <cfRule type="expression" dxfId="28" priority="4621" stopIfTrue="1">
      <formula>$A604="begin repeat"</formula>
    </cfRule>
  </conditionalFormatting>
  <conditionalFormatting sqref="A604:A606">
    <cfRule type="expression" dxfId="29" priority="4622" stopIfTrue="1">
      <formula>$A604="end group"</formula>
    </cfRule>
  </conditionalFormatting>
  <conditionalFormatting sqref="A604:A606">
    <cfRule type="expression" dxfId="29" priority="4623" stopIfTrue="1">
      <formula>$A604="begin group"</formula>
    </cfRule>
  </conditionalFormatting>
  <conditionalFormatting sqref="A600:A602">
    <cfRule type="expression" dxfId="33" priority="4624" stopIfTrue="1">
      <formula>$A600="file"</formula>
    </cfRule>
  </conditionalFormatting>
  <conditionalFormatting sqref="A600:A602">
    <cfRule type="expression" dxfId="34" priority="4625" stopIfTrue="1">
      <formula>$A600="enumerator"</formula>
    </cfRule>
  </conditionalFormatting>
  <conditionalFormatting sqref="A600:A602">
    <cfRule type="expression" dxfId="35" priority="4626" stopIfTrue="1">
      <formula>OR(AND(LEFT($A600, 14)="sensor_stream ", LEN($A600)&gt;14, NOT(ISNUMBER(SEARCH(" ", $A600, 15)))), AND(LEFT($A600, 17)="sensor_statistic ", LEN($A600)&gt;17, NOT(ISNUMBER(SEARCH(" ", $A600, 18)))))</formula>
    </cfRule>
  </conditionalFormatting>
  <conditionalFormatting sqref="A600:A602">
    <cfRule type="expression" dxfId="14" priority="4627" stopIfTrue="1">
      <formula>$A600="comments"</formula>
    </cfRule>
  </conditionalFormatting>
  <conditionalFormatting sqref="A600:A602">
    <cfRule type="expression" dxfId="15" priority="4628" stopIfTrue="1">
      <formula>OR($A600="audio", $A600="video")</formula>
    </cfRule>
  </conditionalFormatting>
  <conditionalFormatting sqref="A600:A602">
    <cfRule type="expression" dxfId="16" priority="4629" stopIfTrue="1">
      <formula>$A600="image"</formula>
    </cfRule>
  </conditionalFormatting>
  <conditionalFormatting sqref="A600:A602">
    <cfRule type="expression" dxfId="17" priority="4630" stopIfTrue="1">
      <formula>OR($A600="date", $A600="datetime", $A600="time")</formula>
    </cfRule>
  </conditionalFormatting>
  <conditionalFormatting sqref="A600:A602">
    <cfRule type="expression" dxfId="18" priority="4631" stopIfTrue="1">
      <formula>OR($A600="calculate", $A600="calculate_here")</formula>
    </cfRule>
  </conditionalFormatting>
  <conditionalFormatting sqref="A600:A602">
    <cfRule type="expression" dxfId="19" priority="4632" stopIfTrue="1">
      <formula>$A600="note"</formula>
    </cfRule>
  </conditionalFormatting>
  <conditionalFormatting sqref="A600:A602">
    <cfRule type="expression" dxfId="20" priority="4633" stopIfTrue="1">
      <formula>$A600="barcode"</formula>
    </cfRule>
  </conditionalFormatting>
  <conditionalFormatting sqref="A600:A602">
    <cfRule type="expression" dxfId="21" priority="4634" stopIfTrue="1">
      <formula>OR($A600="geopoint", $A600="geoshape", $A600="geotrace")</formula>
    </cfRule>
  </conditionalFormatting>
  <conditionalFormatting sqref="A600:A602">
    <cfRule type="expression" dxfId="22" priority="4635" stopIfTrue="1">
      <formula>OR($A600="audio audit", $A600="text audit", $A600="speed violations count", $A600="speed violations list", $A600="speed violations audit")</formula>
    </cfRule>
  </conditionalFormatting>
  <conditionalFormatting sqref="A600:A602">
    <cfRule type="expression" dxfId="23" priority="4636" stopIfTrue="1">
      <formula>OR($A600="username", $A600="phonenumber", $A600="start", $A600="end", $A600="deviceid", $A600="subscriberid", $A600="simserial", $A600="caseid")</formula>
    </cfRule>
  </conditionalFormatting>
  <conditionalFormatting sqref="A600:A602">
    <cfRule type="expression" dxfId="24" priority="4637" stopIfTrue="1">
      <formula>OR(AND(LEFT($A600, 16)="select_multiple ", LEN($A600)&gt;16, NOT(ISNUMBER(SEARCH(" ", $A600, 17)))), AND(LEFT($A600, 11)="select_one ", LEN($A600)&gt;11, NOT(ISNUMBER(SEARCH(" ", $A600, 12)))))</formula>
    </cfRule>
  </conditionalFormatting>
  <conditionalFormatting sqref="A600:A602">
    <cfRule type="expression" dxfId="25" priority="4638" stopIfTrue="1">
      <formula>$A600="decimal"</formula>
    </cfRule>
  </conditionalFormatting>
  <conditionalFormatting sqref="A600:A602">
    <cfRule type="expression" dxfId="26" priority="4639" stopIfTrue="1">
      <formula>$A600="integer"</formula>
    </cfRule>
  </conditionalFormatting>
  <conditionalFormatting sqref="A600:A602">
    <cfRule type="expression" dxfId="27" priority="4640" stopIfTrue="1">
      <formula>$A600="text"</formula>
    </cfRule>
  </conditionalFormatting>
  <conditionalFormatting sqref="A600:A602">
    <cfRule type="expression" dxfId="28" priority="4641" stopIfTrue="1">
      <formula>$A600="end repeat"</formula>
    </cfRule>
  </conditionalFormatting>
  <conditionalFormatting sqref="A600:A602">
    <cfRule type="expression" dxfId="28" priority="4642" stopIfTrue="1">
      <formula>$A600="begin repeat"</formula>
    </cfRule>
  </conditionalFormatting>
  <conditionalFormatting sqref="A600:A602">
    <cfRule type="expression" dxfId="29" priority="4643" stopIfTrue="1">
      <formula>$A600="end group"</formula>
    </cfRule>
  </conditionalFormatting>
  <conditionalFormatting sqref="A600:A602">
    <cfRule type="expression" dxfId="29" priority="4644" stopIfTrue="1">
      <formula>$A600="begin group"</formula>
    </cfRule>
  </conditionalFormatting>
  <conditionalFormatting sqref="A594:A595">
    <cfRule type="expression" dxfId="33" priority="4645" stopIfTrue="1">
      <formula>$A594="file"</formula>
    </cfRule>
  </conditionalFormatting>
  <conditionalFormatting sqref="A594:A595">
    <cfRule type="expression" dxfId="34" priority="4646" stopIfTrue="1">
      <formula>$A594="enumerator"</formula>
    </cfRule>
  </conditionalFormatting>
  <conditionalFormatting sqref="A594:A595">
    <cfRule type="expression" dxfId="35" priority="4647" stopIfTrue="1">
      <formula>OR(AND(LEFT($A594, 14)="sensor_stream ", LEN($A594)&gt;14, NOT(ISNUMBER(SEARCH(" ", $A594, 15)))), AND(LEFT($A594, 17)="sensor_statistic ", LEN($A594)&gt;17, NOT(ISNUMBER(SEARCH(" ", $A594, 18)))))</formula>
    </cfRule>
  </conditionalFormatting>
  <conditionalFormatting sqref="A594:A595">
    <cfRule type="expression" dxfId="14" priority="4648" stopIfTrue="1">
      <formula>$A594="comments"</formula>
    </cfRule>
  </conditionalFormatting>
  <conditionalFormatting sqref="A594:A595">
    <cfRule type="expression" dxfId="15" priority="4649" stopIfTrue="1">
      <formula>OR($A594="audio", $A594="video")</formula>
    </cfRule>
  </conditionalFormatting>
  <conditionalFormatting sqref="A594:A595">
    <cfRule type="expression" dxfId="16" priority="4650" stopIfTrue="1">
      <formula>$A594="image"</formula>
    </cfRule>
  </conditionalFormatting>
  <conditionalFormatting sqref="A594:A595">
    <cfRule type="expression" dxfId="17" priority="4651" stopIfTrue="1">
      <formula>OR($A594="date", $A594="datetime", $A594="time")</formula>
    </cfRule>
  </conditionalFormatting>
  <conditionalFormatting sqref="A594:A595">
    <cfRule type="expression" dxfId="18" priority="4652" stopIfTrue="1">
      <formula>OR($A594="calculate", $A594="calculate_here")</formula>
    </cfRule>
  </conditionalFormatting>
  <conditionalFormatting sqref="A594:A595">
    <cfRule type="expression" dxfId="19" priority="4653" stopIfTrue="1">
      <formula>$A594="note"</formula>
    </cfRule>
  </conditionalFormatting>
  <conditionalFormatting sqref="A594:A595">
    <cfRule type="expression" dxfId="20" priority="4654" stopIfTrue="1">
      <formula>$A594="barcode"</formula>
    </cfRule>
  </conditionalFormatting>
  <conditionalFormatting sqref="A594:A595">
    <cfRule type="expression" dxfId="21" priority="4655" stopIfTrue="1">
      <formula>OR($A594="geopoint", $A594="geoshape", $A594="geotrace")</formula>
    </cfRule>
  </conditionalFormatting>
  <conditionalFormatting sqref="A594:A595">
    <cfRule type="expression" dxfId="22" priority="4656" stopIfTrue="1">
      <formula>OR($A594="audio audit", $A594="text audit", $A594="speed violations count", $A594="speed violations list", $A594="speed violations audit")</formula>
    </cfRule>
  </conditionalFormatting>
  <conditionalFormatting sqref="A594:A595">
    <cfRule type="expression" dxfId="23" priority="4657" stopIfTrue="1">
      <formula>OR($A594="username", $A594="phonenumber", $A594="start", $A594="end", $A594="deviceid", $A594="subscriberid", $A594="simserial", $A594="caseid")</formula>
    </cfRule>
  </conditionalFormatting>
  <conditionalFormatting sqref="A594:A595">
    <cfRule type="expression" dxfId="24" priority="4658" stopIfTrue="1">
      <formula>OR(AND(LEFT($A594, 16)="select_multiple ", LEN($A594)&gt;16, NOT(ISNUMBER(SEARCH(" ", $A594, 17)))), AND(LEFT($A594, 11)="select_one ", LEN($A594)&gt;11, NOT(ISNUMBER(SEARCH(" ", $A594, 12)))))</formula>
    </cfRule>
  </conditionalFormatting>
  <conditionalFormatting sqref="A594:A595">
    <cfRule type="expression" dxfId="25" priority="4659" stopIfTrue="1">
      <formula>$A594="decimal"</formula>
    </cfRule>
  </conditionalFormatting>
  <conditionalFormatting sqref="A594:A595">
    <cfRule type="expression" dxfId="26" priority="4660" stopIfTrue="1">
      <formula>$A594="integer"</formula>
    </cfRule>
  </conditionalFormatting>
  <conditionalFormatting sqref="A594:A595">
    <cfRule type="expression" dxfId="27" priority="4661" stopIfTrue="1">
      <formula>$A594="text"</formula>
    </cfRule>
  </conditionalFormatting>
  <conditionalFormatting sqref="A594:A595">
    <cfRule type="expression" dxfId="28" priority="4662" stopIfTrue="1">
      <formula>$A594="end repeat"</formula>
    </cfRule>
  </conditionalFormatting>
  <conditionalFormatting sqref="A594:A595">
    <cfRule type="expression" dxfId="28" priority="4663" stopIfTrue="1">
      <formula>$A594="begin repeat"</formula>
    </cfRule>
  </conditionalFormatting>
  <conditionalFormatting sqref="A594:A595">
    <cfRule type="expression" dxfId="29" priority="4664" stopIfTrue="1">
      <formula>$A594="end group"</formula>
    </cfRule>
  </conditionalFormatting>
  <conditionalFormatting sqref="A594:A595">
    <cfRule type="expression" dxfId="29" priority="4665" stopIfTrue="1">
      <formula>$A594="begin group"</formula>
    </cfRule>
  </conditionalFormatting>
  <conditionalFormatting sqref="A591:A592">
    <cfRule type="expression" dxfId="33" priority="4666" stopIfTrue="1">
      <formula>$A591="file"</formula>
    </cfRule>
  </conditionalFormatting>
  <conditionalFormatting sqref="A591:A592">
    <cfRule type="expression" dxfId="34" priority="4667" stopIfTrue="1">
      <formula>$A591="enumerator"</formula>
    </cfRule>
  </conditionalFormatting>
  <conditionalFormatting sqref="A591:A592">
    <cfRule type="expression" dxfId="35" priority="4668" stopIfTrue="1">
      <formula>OR(AND(LEFT($A591, 14)="sensor_stream ", LEN($A591)&gt;14, NOT(ISNUMBER(SEARCH(" ", $A591, 15)))), AND(LEFT($A591, 17)="sensor_statistic ", LEN($A591)&gt;17, NOT(ISNUMBER(SEARCH(" ", $A591, 18)))))</formula>
    </cfRule>
  </conditionalFormatting>
  <conditionalFormatting sqref="A591:A592">
    <cfRule type="expression" dxfId="14" priority="4669" stopIfTrue="1">
      <formula>$A591="comments"</formula>
    </cfRule>
  </conditionalFormatting>
  <conditionalFormatting sqref="A591:A592">
    <cfRule type="expression" dxfId="15" priority="4670" stopIfTrue="1">
      <formula>OR($A591="audio", $A591="video")</formula>
    </cfRule>
  </conditionalFormatting>
  <conditionalFormatting sqref="A591:A592">
    <cfRule type="expression" dxfId="16" priority="4671" stopIfTrue="1">
      <formula>$A591="image"</formula>
    </cfRule>
  </conditionalFormatting>
  <conditionalFormatting sqref="A591:A592">
    <cfRule type="expression" dxfId="17" priority="4672" stopIfTrue="1">
      <formula>OR($A591="date", $A591="datetime", $A591="time")</formula>
    </cfRule>
  </conditionalFormatting>
  <conditionalFormatting sqref="A591:A592">
    <cfRule type="expression" dxfId="18" priority="4673" stopIfTrue="1">
      <formula>OR($A591="calculate", $A591="calculate_here")</formula>
    </cfRule>
  </conditionalFormatting>
  <conditionalFormatting sqref="A591:A592">
    <cfRule type="expression" dxfId="19" priority="4674" stopIfTrue="1">
      <formula>$A591="note"</formula>
    </cfRule>
  </conditionalFormatting>
  <conditionalFormatting sqref="A591:A592">
    <cfRule type="expression" dxfId="20" priority="4675" stopIfTrue="1">
      <formula>$A591="barcode"</formula>
    </cfRule>
  </conditionalFormatting>
  <conditionalFormatting sqref="A591:A592">
    <cfRule type="expression" dxfId="21" priority="4676" stopIfTrue="1">
      <formula>OR($A591="geopoint", $A591="geoshape", $A591="geotrace")</formula>
    </cfRule>
  </conditionalFormatting>
  <conditionalFormatting sqref="A591:A592">
    <cfRule type="expression" dxfId="22" priority="4677" stopIfTrue="1">
      <formula>OR($A591="audio audit", $A591="text audit", $A591="speed violations count", $A591="speed violations list", $A591="speed violations audit")</formula>
    </cfRule>
  </conditionalFormatting>
  <conditionalFormatting sqref="A591:A592">
    <cfRule type="expression" dxfId="23" priority="4678" stopIfTrue="1">
      <formula>OR($A591="username", $A591="phonenumber", $A591="start", $A591="end", $A591="deviceid", $A591="subscriberid", $A591="simserial", $A591="caseid")</formula>
    </cfRule>
  </conditionalFormatting>
  <conditionalFormatting sqref="A591:A592">
    <cfRule type="expression" dxfId="24" priority="4679" stopIfTrue="1">
      <formula>OR(AND(LEFT($A591, 16)="select_multiple ", LEN($A591)&gt;16, NOT(ISNUMBER(SEARCH(" ", $A591, 17)))), AND(LEFT($A591, 11)="select_one ", LEN($A591)&gt;11, NOT(ISNUMBER(SEARCH(" ", $A591, 12)))))</formula>
    </cfRule>
  </conditionalFormatting>
  <conditionalFormatting sqref="A591:A592">
    <cfRule type="expression" dxfId="25" priority="4680" stopIfTrue="1">
      <formula>$A591="decimal"</formula>
    </cfRule>
  </conditionalFormatting>
  <conditionalFormatting sqref="A591:A592">
    <cfRule type="expression" dxfId="26" priority="4681" stopIfTrue="1">
      <formula>$A591="integer"</formula>
    </cfRule>
  </conditionalFormatting>
  <conditionalFormatting sqref="A591:A592">
    <cfRule type="expression" dxfId="27" priority="4682" stopIfTrue="1">
      <formula>$A591="text"</formula>
    </cfRule>
  </conditionalFormatting>
  <conditionalFormatting sqref="A591:A592">
    <cfRule type="expression" dxfId="28" priority="4683" stopIfTrue="1">
      <formula>$A591="end repeat"</formula>
    </cfRule>
  </conditionalFormatting>
  <conditionalFormatting sqref="A591:A592">
    <cfRule type="expression" dxfId="28" priority="4684" stopIfTrue="1">
      <formula>$A591="begin repeat"</formula>
    </cfRule>
  </conditionalFormatting>
  <conditionalFormatting sqref="A591:A592">
    <cfRule type="expression" dxfId="29" priority="4685" stopIfTrue="1">
      <formula>$A591="end group"</formula>
    </cfRule>
  </conditionalFormatting>
  <conditionalFormatting sqref="A591:A592">
    <cfRule type="expression" dxfId="29" priority="4686" stopIfTrue="1">
      <formula>$A591="begin group"</formula>
    </cfRule>
  </conditionalFormatting>
  <conditionalFormatting sqref="A587">
    <cfRule type="expression" dxfId="33" priority="4687" stopIfTrue="1">
      <formula>$A587="file"</formula>
    </cfRule>
  </conditionalFormatting>
  <conditionalFormatting sqref="A587">
    <cfRule type="expression" dxfId="34" priority="4688" stopIfTrue="1">
      <formula>$A587="enumerator"</formula>
    </cfRule>
  </conditionalFormatting>
  <conditionalFormatting sqref="A587">
    <cfRule type="expression" dxfId="35" priority="4689" stopIfTrue="1">
      <formula>OR(AND(LEFT($A587, 14)="sensor_stream ", LEN($A587)&gt;14, NOT(ISNUMBER(SEARCH(" ", $A587, 15)))), AND(LEFT($A587, 17)="sensor_statistic ", LEN($A587)&gt;17, NOT(ISNUMBER(SEARCH(" ", $A587, 18)))))</formula>
    </cfRule>
  </conditionalFormatting>
  <conditionalFormatting sqref="A587">
    <cfRule type="expression" dxfId="14" priority="4690" stopIfTrue="1">
      <formula>$A587="comments"</formula>
    </cfRule>
  </conditionalFormatting>
  <conditionalFormatting sqref="A587">
    <cfRule type="expression" dxfId="15" priority="4691" stopIfTrue="1">
      <formula>OR($A587="audio", $A587="video")</formula>
    </cfRule>
  </conditionalFormatting>
  <conditionalFormatting sqref="A587">
    <cfRule type="expression" dxfId="16" priority="4692" stopIfTrue="1">
      <formula>$A587="image"</formula>
    </cfRule>
  </conditionalFormatting>
  <conditionalFormatting sqref="A587">
    <cfRule type="expression" dxfId="17" priority="4693" stopIfTrue="1">
      <formula>OR($A587="date", $A587="datetime", $A587="time")</formula>
    </cfRule>
  </conditionalFormatting>
  <conditionalFormatting sqref="A587">
    <cfRule type="expression" dxfId="18" priority="4694" stopIfTrue="1">
      <formula>OR($A587="calculate", $A587="calculate_here")</formula>
    </cfRule>
  </conditionalFormatting>
  <conditionalFormatting sqref="A587">
    <cfRule type="expression" dxfId="19" priority="4695" stopIfTrue="1">
      <formula>$A587="note"</formula>
    </cfRule>
  </conditionalFormatting>
  <conditionalFormatting sqref="A587">
    <cfRule type="expression" dxfId="20" priority="4696" stopIfTrue="1">
      <formula>$A587="barcode"</formula>
    </cfRule>
  </conditionalFormatting>
  <conditionalFormatting sqref="A587">
    <cfRule type="expression" dxfId="21" priority="4697" stopIfTrue="1">
      <formula>OR($A587="geopoint", $A587="geoshape", $A587="geotrace")</formula>
    </cfRule>
  </conditionalFormatting>
  <conditionalFormatting sqref="A587">
    <cfRule type="expression" dxfId="22" priority="4698" stopIfTrue="1">
      <formula>OR($A587="audio audit", $A587="text audit", $A587="speed violations count", $A587="speed violations list", $A587="speed violations audit")</formula>
    </cfRule>
  </conditionalFormatting>
  <conditionalFormatting sqref="A587">
    <cfRule type="expression" dxfId="23" priority="4699" stopIfTrue="1">
      <formula>OR($A587="username", $A587="phonenumber", $A587="start", $A587="end", $A587="deviceid", $A587="subscriberid", $A587="simserial", $A587="caseid")</formula>
    </cfRule>
  </conditionalFormatting>
  <conditionalFormatting sqref="A587">
    <cfRule type="expression" dxfId="24" priority="4700" stopIfTrue="1">
      <formula>OR(AND(LEFT($A587, 16)="select_multiple ", LEN($A587)&gt;16, NOT(ISNUMBER(SEARCH(" ", $A587, 17)))), AND(LEFT($A587, 11)="select_one ", LEN($A587)&gt;11, NOT(ISNUMBER(SEARCH(" ", $A587, 12)))))</formula>
    </cfRule>
  </conditionalFormatting>
  <conditionalFormatting sqref="A587">
    <cfRule type="expression" dxfId="25" priority="4701" stopIfTrue="1">
      <formula>$A587="decimal"</formula>
    </cfRule>
  </conditionalFormatting>
  <conditionalFormatting sqref="A587">
    <cfRule type="expression" dxfId="26" priority="4702" stopIfTrue="1">
      <formula>$A587="integer"</formula>
    </cfRule>
  </conditionalFormatting>
  <conditionalFormatting sqref="A587">
    <cfRule type="expression" dxfId="27" priority="4703" stopIfTrue="1">
      <formula>$A587="text"</formula>
    </cfRule>
  </conditionalFormatting>
  <conditionalFormatting sqref="A587">
    <cfRule type="expression" dxfId="28" priority="4704" stopIfTrue="1">
      <formula>$A587="end repeat"</formula>
    </cfRule>
  </conditionalFormatting>
  <conditionalFormatting sqref="A587">
    <cfRule type="expression" dxfId="28" priority="4705" stopIfTrue="1">
      <formula>$A587="begin repeat"</formula>
    </cfRule>
  </conditionalFormatting>
  <conditionalFormatting sqref="A587">
    <cfRule type="expression" dxfId="29" priority="4706" stopIfTrue="1">
      <formula>$A587="end group"</formula>
    </cfRule>
  </conditionalFormatting>
  <conditionalFormatting sqref="A587">
    <cfRule type="expression" dxfId="29" priority="4707" stopIfTrue="1">
      <formula>$A587="begin group"</formula>
    </cfRule>
  </conditionalFormatting>
  <conditionalFormatting sqref="A579:A581">
    <cfRule type="expression" dxfId="33" priority="4708" stopIfTrue="1">
      <formula>$A579="file"</formula>
    </cfRule>
  </conditionalFormatting>
  <conditionalFormatting sqref="A579:A581">
    <cfRule type="expression" dxfId="34" priority="4709" stopIfTrue="1">
      <formula>$A579="enumerator"</formula>
    </cfRule>
  </conditionalFormatting>
  <conditionalFormatting sqref="A579:A581">
    <cfRule type="expression" dxfId="35" priority="4710" stopIfTrue="1">
      <formula>OR(AND(LEFT($A579, 14)="sensor_stream ", LEN($A579)&gt;14, NOT(ISNUMBER(SEARCH(" ", $A579, 15)))), AND(LEFT($A579, 17)="sensor_statistic ", LEN($A579)&gt;17, NOT(ISNUMBER(SEARCH(" ", $A579, 18)))))</formula>
    </cfRule>
  </conditionalFormatting>
  <conditionalFormatting sqref="A579:A581">
    <cfRule type="expression" dxfId="14" priority="4711" stopIfTrue="1">
      <formula>$A579="comments"</formula>
    </cfRule>
  </conditionalFormatting>
  <conditionalFormatting sqref="A579:A581">
    <cfRule type="expression" dxfId="15" priority="4712" stopIfTrue="1">
      <formula>OR($A579="audio", $A579="video")</formula>
    </cfRule>
  </conditionalFormatting>
  <conditionalFormatting sqref="A579:A581">
    <cfRule type="expression" dxfId="16" priority="4713" stopIfTrue="1">
      <formula>$A579="image"</formula>
    </cfRule>
  </conditionalFormatting>
  <conditionalFormatting sqref="A579:A581">
    <cfRule type="expression" dxfId="17" priority="4714" stopIfTrue="1">
      <formula>OR($A579="date", $A579="datetime", $A579="time")</formula>
    </cfRule>
  </conditionalFormatting>
  <conditionalFormatting sqref="A579:A581">
    <cfRule type="expression" dxfId="18" priority="4715" stopIfTrue="1">
      <formula>OR($A579="calculate", $A579="calculate_here")</formula>
    </cfRule>
  </conditionalFormatting>
  <conditionalFormatting sqref="A579:A581">
    <cfRule type="expression" dxfId="19" priority="4716" stopIfTrue="1">
      <formula>$A579="note"</formula>
    </cfRule>
  </conditionalFormatting>
  <conditionalFormatting sqref="A579:A581">
    <cfRule type="expression" dxfId="20" priority="4717" stopIfTrue="1">
      <formula>$A579="barcode"</formula>
    </cfRule>
  </conditionalFormatting>
  <conditionalFormatting sqref="A579:A581">
    <cfRule type="expression" dxfId="21" priority="4718" stopIfTrue="1">
      <formula>OR($A579="geopoint", $A579="geoshape", $A579="geotrace")</formula>
    </cfRule>
  </conditionalFormatting>
  <conditionalFormatting sqref="A579:A581">
    <cfRule type="expression" dxfId="22" priority="4719" stopIfTrue="1">
      <formula>OR($A579="audio audit", $A579="text audit", $A579="speed violations count", $A579="speed violations list", $A579="speed violations audit")</formula>
    </cfRule>
  </conditionalFormatting>
  <conditionalFormatting sqref="A579:A581">
    <cfRule type="expression" dxfId="23" priority="4720" stopIfTrue="1">
      <formula>OR($A579="username", $A579="phonenumber", $A579="start", $A579="end", $A579="deviceid", $A579="subscriberid", $A579="simserial", $A579="caseid")</formula>
    </cfRule>
  </conditionalFormatting>
  <conditionalFormatting sqref="A579:A581">
    <cfRule type="expression" dxfId="24" priority="4721" stopIfTrue="1">
      <formula>OR(AND(LEFT($A579, 16)="select_multiple ", LEN($A579)&gt;16, NOT(ISNUMBER(SEARCH(" ", $A579, 17)))), AND(LEFT($A579, 11)="select_one ", LEN($A579)&gt;11, NOT(ISNUMBER(SEARCH(" ", $A579, 12)))))</formula>
    </cfRule>
  </conditionalFormatting>
  <conditionalFormatting sqref="A579:A581">
    <cfRule type="expression" dxfId="25" priority="4722" stopIfTrue="1">
      <formula>$A579="decimal"</formula>
    </cfRule>
  </conditionalFormatting>
  <conditionalFormatting sqref="A579:A581">
    <cfRule type="expression" dxfId="26" priority="4723" stopIfTrue="1">
      <formula>$A579="integer"</formula>
    </cfRule>
  </conditionalFormatting>
  <conditionalFormatting sqref="A579:A581">
    <cfRule type="expression" dxfId="27" priority="4724" stopIfTrue="1">
      <formula>$A579="text"</formula>
    </cfRule>
  </conditionalFormatting>
  <conditionalFormatting sqref="A579:A581">
    <cfRule type="expression" dxfId="28" priority="4725" stopIfTrue="1">
      <formula>$A579="end repeat"</formula>
    </cfRule>
  </conditionalFormatting>
  <conditionalFormatting sqref="A579:A581">
    <cfRule type="expression" dxfId="28" priority="4726" stopIfTrue="1">
      <formula>$A579="begin repeat"</formula>
    </cfRule>
  </conditionalFormatting>
  <conditionalFormatting sqref="A579:A581">
    <cfRule type="expression" dxfId="29" priority="4727" stopIfTrue="1">
      <formula>$A579="end group"</formula>
    </cfRule>
  </conditionalFormatting>
  <conditionalFormatting sqref="A579:A581">
    <cfRule type="expression" dxfId="29" priority="4728" stopIfTrue="1">
      <formula>$A579="begin group"</formula>
    </cfRule>
  </conditionalFormatting>
  <conditionalFormatting sqref="A575:A577">
    <cfRule type="expression" dxfId="33" priority="4729" stopIfTrue="1">
      <formula>$A575="file"</formula>
    </cfRule>
  </conditionalFormatting>
  <conditionalFormatting sqref="A575:A577">
    <cfRule type="expression" dxfId="34" priority="4730" stopIfTrue="1">
      <formula>$A575="enumerator"</formula>
    </cfRule>
  </conditionalFormatting>
  <conditionalFormatting sqref="A575:A577">
    <cfRule type="expression" dxfId="35" priority="4731" stopIfTrue="1">
      <formula>OR(AND(LEFT($A575, 14)="sensor_stream ", LEN($A575)&gt;14, NOT(ISNUMBER(SEARCH(" ", $A575, 15)))), AND(LEFT($A575, 17)="sensor_statistic ", LEN($A575)&gt;17, NOT(ISNUMBER(SEARCH(" ", $A575, 18)))))</formula>
    </cfRule>
  </conditionalFormatting>
  <conditionalFormatting sqref="A575:A577">
    <cfRule type="expression" dxfId="14" priority="4732" stopIfTrue="1">
      <formula>$A575="comments"</formula>
    </cfRule>
  </conditionalFormatting>
  <conditionalFormatting sqref="A575:A577">
    <cfRule type="expression" dxfId="15" priority="4733" stopIfTrue="1">
      <formula>OR($A575="audio", $A575="video")</formula>
    </cfRule>
  </conditionalFormatting>
  <conditionalFormatting sqref="A575:A577">
    <cfRule type="expression" dxfId="16" priority="4734" stopIfTrue="1">
      <formula>$A575="image"</formula>
    </cfRule>
  </conditionalFormatting>
  <conditionalFormatting sqref="A575:A577">
    <cfRule type="expression" dxfId="17" priority="4735" stopIfTrue="1">
      <formula>OR($A575="date", $A575="datetime", $A575="time")</formula>
    </cfRule>
  </conditionalFormatting>
  <conditionalFormatting sqref="A575:A577">
    <cfRule type="expression" dxfId="18" priority="4736" stopIfTrue="1">
      <formula>OR($A575="calculate", $A575="calculate_here")</formula>
    </cfRule>
  </conditionalFormatting>
  <conditionalFormatting sqref="A575:A577">
    <cfRule type="expression" dxfId="19" priority="4737" stopIfTrue="1">
      <formula>$A575="note"</formula>
    </cfRule>
  </conditionalFormatting>
  <conditionalFormatting sqref="A575:A577">
    <cfRule type="expression" dxfId="20" priority="4738" stopIfTrue="1">
      <formula>$A575="barcode"</formula>
    </cfRule>
  </conditionalFormatting>
  <conditionalFormatting sqref="A575:A577">
    <cfRule type="expression" dxfId="21" priority="4739" stopIfTrue="1">
      <formula>OR($A575="geopoint", $A575="geoshape", $A575="geotrace")</formula>
    </cfRule>
  </conditionalFormatting>
  <conditionalFormatting sqref="A575:A577">
    <cfRule type="expression" dxfId="22" priority="4740" stopIfTrue="1">
      <formula>OR($A575="audio audit", $A575="text audit", $A575="speed violations count", $A575="speed violations list", $A575="speed violations audit")</formula>
    </cfRule>
  </conditionalFormatting>
  <conditionalFormatting sqref="A575:A577">
    <cfRule type="expression" dxfId="23" priority="4741" stopIfTrue="1">
      <formula>OR($A575="username", $A575="phonenumber", $A575="start", $A575="end", $A575="deviceid", $A575="subscriberid", $A575="simserial", $A575="caseid")</formula>
    </cfRule>
  </conditionalFormatting>
  <conditionalFormatting sqref="A575:A577">
    <cfRule type="expression" dxfId="24" priority="4742" stopIfTrue="1">
      <formula>OR(AND(LEFT($A575, 16)="select_multiple ", LEN($A575)&gt;16, NOT(ISNUMBER(SEARCH(" ", $A575, 17)))), AND(LEFT($A575, 11)="select_one ", LEN($A575)&gt;11, NOT(ISNUMBER(SEARCH(" ", $A575, 12)))))</formula>
    </cfRule>
  </conditionalFormatting>
  <conditionalFormatting sqref="A575:A577">
    <cfRule type="expression" dxfId="25" priority="4743" stopIfTrue="1">
      <formula>$A575="decimal"</formula>
    </cfRule>
  </conditionalFormatting>
  <conditionalFormatting sqref="A575:A577">
    <cfRule type="expression" dxfId="26" priority="4744" stopIfTrue="1">
      <formula>$A575="integer"</formula>
    </cfRule>
  </conditionalFormatting>
  <conditionalFormatting sqref="A575:A577">
    <cfRule type="expression" dxfId="27" priority="4745" stopIfTrue="1">
      <formula>$A575="text"</formula>
    </cfRule>
  </conditionalFormatting>
  <conditionalFormatting sqref="A575:A577">
    <cfRule type="expression" dxfId="28" priority="4746" stopIfTrue="1">
      <formula>$A575="end repeat"</formula>
    </cfRule>
  </conditionalFormatting>
  <conditionalFormatting sqref="A575:A577">
    <cfRule type="expression" dxfId="28" priority="4747" stopIfTrue="1">
      <formula>$A575="begin repeat"</formula>
    </cfRule>
  </conditionalFormatting>
  <conditionalFormatting sqref="A575:A577">
    <cfRule type="expression" dxfId="29" priority="4748" stopIfTrue="1">
      <formula>$A575="end group"</formula>
    </cfRule>
  </conditionalFormatting>
  <conditionalFormatting sqref="A575:A577">
    <cfRule type="expression" dxfId="29" priority="4749" stopIfTrue="1">
      <formula>$A575="begin group"</formula>
    </cfRule>
  </conditionalFormatting>
  <conditionalFormatting sqref="A563:A570">
    <cfRule type="expression" dxfId="33" priority="4750" stopIfTrue="1">
      <formula>$A563="file"</formula>
    </cfRule>
  </conditionalFormatting>
  <conditionalFormatting sqref="A563:A570">
    <cfRule type="expression" dxfId="34" priority="4751" stopIfTrue="1">
      <formula>$A563="enumerator"</formula>
    </cfRule>
  </conditionalFormatting>
  <conditionalFormatting sqref="A563:A570">
    <cfRule type="expression" dxfId="35" priority="4752" stopIfTrue="1">
      <formula>OR(AND(LEFT($A563, 14)="sensor_stream ", LEN($A563)&gt;14, NOT(ISNUMBER(SEARCH(" ", $A563, 15)))), AND(LEFT($A563, 17)="sensor_statistic ", LEN($A563)&gt;17, NOT(ISNUMBER(SEARCH(" ", $A563, 18)))))</formula>
    </cfRule>
  </conditionalFormatting>
  <conditionalFormatting sqref="A563:A570">
    <cfRule type="expression" dxfId="14" priority="4753" stopIfTrue="1">
      <formula>$A563="comments"</formula>
    </cfRule>
  </conditionalFormatting>
  <conditionalFormatting sqref="A563:A570">
    <cfRule type="expression" dxfId="15" priority="4754" stopIfTrue="1">
      <formula>OR($A563="audio", $A563="video")</formula>
    </cfRule>
  </conditionalFormatting>
  <conditionalFormatting sqref="A563:A570">
    <cfRule type="expression" dxfId="16" priority="4755" stopIfTrue="1">
      <formula>$A563="image"</formula>
    </cfRule>
  </conditionalFormatting>
  <conditionalFormatting sqref="A563:A570">
    <cfRule type="expression" dxfId="17" priority="4756" stopIfTrue="1">
      <formula>OR($A563="date", $A563="datetime", $A563="time")</formula>
    </cfRule>
  </conditionalFormatting>
  <conditionalFormatting sqref="A563:A570">
    <cfRule type="expression" dxfId="18" priority="4757" stopIfTrue="1">
      <formula>OR($A563="calculate", $A563="calculate_here")</formula>
    </cfRule>
  </conditionalFormatting>
  <conditionalFormatting sqref="A563:A570">
    <cfRule type="expression" dxfId="19" priority="4758" stopIfTrue="1">
      <formula>$A563="note"</formula>
    </cfRule>
  </conditionalFormatting>
  <conditionalFormatting sqref="A563:A570">
    <cfRule type="expression" dxfId="20" priority="4759" stopIfTrue="1">
      <formula>$A563="barcode"</formula>
    </cfRule>
  </conditionalFormatting>
  <conditionalFormatting sqref="A563:A570">
    <cfRule type="expression" dxfId="21" priority="4760" stopIfTrue="1">
      <formula>OR($A563="geopoint", $A563="geoshape", $A563="geotrace")</formula>
    </cfRule>
  </conditionalFormatting>
  <conditionalFormatting sqref="A563:A570">
    <cfRule type="expression" dxfId="22" priority="4761" stopIfTrue="1">
      <formula>OR($A563="audio audit", $A563="text audit", $A563="speed violations count", $A563="speed violations list", $A563="speed violations audit")</formula>
    </cfRule>
  </conditionalFormatting>
  <conditionalFormatting sqref="A563:A570">
    <cfRule type="expression" dxfId="23" priority="4762" stopIfTrue="1">
      <formula>OR($A563="username", $A563="phonenumber", $A563="start", $A563="end", $A563="deviceid", $A563="subscriberid", $A563="simserial", $A563="caseid")</formula>
    </cfRule>
  </conditionalFormatting>
  <conditionalFormatting sqref="A563:A570">
    <cfRule type="expression" dxfId="24" priority="4763" stopIfTrue="1">
      <formula>OR(AND(LEFT($A563, 16)="select_multiple ", LEN($A563)&gt;16, NOT(ISNUMBER(SEARCH(" ", $A563, 17)))), AND(LEFT($A563, 11)="select_one ", LEN($A563)&gt;11, NOT(ISNUMBER(SEARCH(" ", $A563, 12)))))</formula>
    </cfRule>
  </conditionalFormatting>
  <conditionalFormatting sqref="A563:A570">
    <cfRule type="expression" dxfId="25" priority="4764" stopIfTrue="1">
      <formula>$A563="decimal"</formula>
    </cfRule>
  </conditionalFormatting>
  <conditionalFormatting sqref="A563:A570">
    <cfRule type="expression" dxfId="26" priority="4765" stopIfTrue="1">
      <formula>$A563="integer"</formula>
    </cfRule>
  </conditionalFormatting>
  <conditionalFormatting sqref="A563:A570">
    <cfRule type="expression" dxfId="27" priority="4766" stopIfTrue="1">
      <formula>$A563="text"</formula>
    </cfRule>
  </conditionalFormatting>
  <conditionalFormatting sqref="A563:A570">
    <cfRule type="expression" dxfId="28" priority="4767" stopIfTrue="1">
      <formula>$A563="end repeat"</formula>
    </cfRule>
  </conditionalFormatting>
  <conditionalFormatting sqref="A563:A570">
    <cfRule type="expression" dxfId="28" priority="4768" stopIfTrue="1">
      <formula>$A563="begin repeat"</formula>
    </cfRule>
  </conditionalFormatting>
  <conditionalFormatting sqref="A563:A570">
    <cfRule type="expression" dxfId="29" priority="4769" stopIfTrue="1">
      <formula>$A563="end group"</formula>
    </cfRule>
  </conditionalFormatting>
  <conditionalFormatting sqref="A563:A570">
    <cfRule type="expression" dxfId="29" priority="4770" stopIfTrue="1">
      <formula>$A563="begin group"</formula>
    </cfRule>
  </conditionalFormatting>
  <conditionalFormatting sqref="A556:A561">
    <cfRule type="expression" dxfId="33" priority="4771" stopIfTrue="1">
      <formula>$A556="file"</formula>
    </cfRule>
  </conditionalFormatting>
  <conditionalFormatting sqref="A556:A561">
    <cfRule type="expression" dxfId="34" priority="4772" stopIfTrue="1">
      <formula>$A556="enumerator"</formula>
    </cfRule>
  </conditionalFormatting>
  <conditionalFormatting sqref="A556:A561">
    <cfRule type="expression" dxfId="35" priority="4773" stopIfTrue="1">
      <formula>OR(AND(LEFT($A556, 14)="sensor_stream ", LEN($A556)&gt;14, NOT(ISNUMBER(SEARCH(" ", $A556, 15)))), AND(LEFT($A556, 17)="sensor_statistic ", LEN($A556)&gt;17, NOT(ISNUMBER(SEARCH(" ", $A556, 18)))))</formula>
    </cfRule>
  </conditionalFormatting>
  <conditionalFormatting sqref="A556:A561">
    <cfRule type="expression" dxfId="14" priority="4774" stopIfTrue="1">
      <formula>$A556="comments"</formula>
    </cfRule>
  </conditionalFormatting>
  <conditionalFormatting sqref="A556:A561">
    <cfRule type="expression" dxfId="15" priority="4775" stopIfTrue="1">
      <formula>OR($A556="audio", $A556="video")</formula>
    </cfRule>
  </conditionalFormatting>
  <conditionalFormatting sqref="A556:A561">
    <cfRule type="expression" dxfId="16" priority="4776" stopIfTrue="1">
      <formula>$A556="image"</formula>
    </cfRule>
  </conditionalFormatting>
  <conditionalFormatting sqref="A556:A561">
    <cfRule type="expression" dxfId="17" priority="4777" stopIfTrue="1">
      <formula>OR($A556="date", $A556="datetime", $A556="time")</formula>
    </cfRule>
  </conditionalFormatting>
  <conditionalFormatting sqref="A556:A561">
    <cfRule type="expression" dxfId="18" priority="4778" stopIfTrue="1">
      <formula>OR($A556="calculate", $A556="calculate_here")</formula>
    </cfRule>
  </conditionalFormatting>
  <conditionalFormatting sqref="A556:A561">
    <cfRule type="expression" dxfId="19" priority="4779" stopIfTrue="1">
      <formula>$A556="note"</formula>
    </cfRule>
  </conditionalFormatting>
  <conditionalFormatting sqref="A556:A561">
    <cfRule type="expression" dxfId="20" priority="4780" stopIfTrue="1">
      <formula>$A556="barcode"</formula>
    </cfRule>
  </conditionalFormatting>
  <conditionalFormatting sqref="A556:A561">
    <cfRule type="expression" dxfId="21" priority="4781" stopIfTrue="1">
      <formula>OR($A556="geopoint", $A556="geoshape", $A556="geotrace")</formula>
    </cfRule>
  </conditionalFormatting>
  <conditionalFormatting sqref="A556:A561">
    <cfRule type="expression" dxfId="22" priority="4782" stopIfTrue="1">
      <formula>OR($A556="audio audit", $A556="text audit", $A556="speed violations count", $A556="speed violations list", $A556="speed violations audit")</formula>
    </cfRule>
  </conditionalFormatting>
  <conditionalFormatting sqref="A556:A561">
    <cfRule type="expression" dxfId="23" priority="4783" stopIfTrue="1">
      <formula>OR($A556="username", $A556="phonenumber", $A556="start", $A556="end", $A556="deviceid", $A556="subscriberid", $A556="simserial", $A556="caseid")</formula>
    </cfRule>
  </conditionalFormatting>
  <conditionalFormatting sqref="A556:A561">
    <cfRule type="expression" dxfId="24" priority="4784" stopIfTrue="1">
      <formula>OR(AND(LEFT($A556, 16)="select_multiple ", LEN($A556)&gt;16, NOT(ISNUMBER(SEARCH(" ", $A556, 17)))), AND(LEFT($A556, 11)="select_one ", LEN($A556)&gt;11, NOT(ISNUMBER(SEARCH(" ", $A556, 12)))))</formula>
    </cfRule>
  </conditionalFormatting>
  <conditionalFormatting sqref="A556:A561">
    <cfRule type="expression" dxfId="25" priority="4785" stopIfTrue="1">
      <formula>$A556="decimal"</formula>
    </cfRule>
  </conditionalFormatting>
  <conditionalFormatting sqref="A556:A561">
    <cfRule type="expression" dxfId="26" priority="4786" stopIfTrue="1">
      <formula>$A556="integer"</formula>
    </cfRule>
  </conditionalFormatting>
  <conditionalFormatting sqref="A556:A561">
    <cfRule type="expression" dxfId="27" priority="4787" stopIfTrue="1">
      <formula>$A556="text"</formula>
    </cfRule>
  </conditionalFormatting>
  <conditionalFormatting sqref="A556:A561">
    <cfRule type="expression" dxfId="28" priority="4788" stopIfTrue="1">
      <formula>$A556="end repeat"</formula>
    </cfRule>
  </conditionalFormatting>
  <conditionalFormatting sqref="A556:A561">
    <cfRule type="expression" dxfId="28" priority="4789" stopIfTrue="1">
      <formula>$A556="begin repeat"</formula>
    </cfRule>
  </conditionalFormatting>
  <conditionalFormatting sqref="A556:A561">
    <cfRule type="expression" dxfId="29" priority="4790" stopIfTrue="1">
      <formula>$A556="end group"</formula>
    </cfRule>
  </conditionalFormatting>
  <conditionalFormatting sqref="A556:A561">
    <cfRule type="expression" dxfId="29" priority="4791" stopIfTrue="1">
      <formula>$A556="begin group"</formula>
    </cfRule>
  </conditionalFormatting>
  <conditionalFormatting sqref="A550:A552">
    <cfRule type="expression" dxfId="33" priority="4792" stopIfTrue="1">
      <formula>$A550="file"</formula>
    </cfRule>
  </conditionalFormatting>
  <conditionalFormatting sqref="A550:A552">
    <cfRule type="expression" dxfId="34" priority="4793" stopIfTrue="1">
      <formula>$A550="enumerator"</formula>
    </cfRule>
  </conditionalFormatting>
  <conditionalFormatting sqref="A550:A552">
    <cfRule type="expression" dxfId="35" priority="4794" stopIfTrue="1">
      <formula>OR(AND(LEFT($A550, 14)="sensor_stream ", LEN($A550)&gt;14, NOT(ISNUMBER(SEARCH(" ", $A550, 15)))), AND(LEFT($A550, 17)="sensor_statistic ", LEN($A550)&gt;17, NOT(ISNUMBER(SEARCH(" ", $A550, 18)))))</formula>
    </cfRule>
  </conditionalFormatting>
  <conditionalFormatting sqref="A550:A552">
    <cfRule type="expression" dxfId="14" priority="4795" stopIfTrue="1">
      <formula>$A550="comments"</formula>
    </cfRule>
  </conditionalFormatting>
  <conditionalFormatting sqref="A550:A552">
    <cfRule type="expression" dxfId="15" priority="4796" stopIfTrue="1">
      <formula>OR($A550="audio", $A550="video")</formula>
    </cfRule>
  </conditionalFormatting>
  <conditionalFormatting sqref="A550:A552">
    <cfRule type="expression" dxfId="16" priority="4797" stopIfTrue="1">
      <formula>$A550="image"</formula>
    </cfRule>
  </conditionalFormatting>
  <conditionalFormatting sqref="A550:A552">
    <cfRule type="expression" dxfId="17" priority="4798" stopIfTrue="1">
      <formula>OR($A550="date", $A550="datetime", $A550="time")</formula>
    </cfRule>
  </conditionalFormatting>
  <conditionalFormatting sqref="A550:A552">
    <cfRule type="expression" dxfId="18" priority="4799" stopIfTrue="1">
      <formula>OR($A550="calculate", $A550="calculate_here")</formula>
    </cfRule>
  </conditionalFormatting>
  <conditionalFormatting sqref="A550:A552">
    <cfRule type="expression" dxfId="19" priority="4800" stopIfTrue="1">
      <formula>$A550="note"</formula>
    </cfRule>
  </conditionalFormatting>
  <conditionalFormatting sqref="A550:A552">
    <cfRule type="expression" dxfId="20" priority="4801" stopIfTrue="1">
      <formula>$A550="barcode"</formula>
    </cfRule>
  </conditionalFormatting>
  <conditionalFormatting sqref="A550:A552">
    <cfRule type="expression" dxfId="21" priority="4802" stopIfTrue="1">
      <formula>OR($A550="geopoint", $A550="geoshape", $A550="geotrace")</formula>
    </cfRule>
  </conditionalFormatting>
  <conditionalFormatting sqref="A550:A552">
    <cfRule type="expression" dxfId="22" priority="4803" stopIfTrue="1">
      <formula>OR($A550="audio audit", $A550="text audit", $A550="speed violations count", $A550="speed violations list", $A550="speed violations audit")</formula>
    </cfRule>
  </conditionalFormatting>
  <conditionalFormatting sqref="A550:A552">
    <cfRule type="expression" dxfId="23" priority="4804" stopIfTrue="1">
      <formula>OR($A550="username", $A550="phonenumber", $A550="start", $A550="end", $A550="deviceid", $A550="subscriberid", $A550="simserial", $A550="caseid")</formula>
    </cfRule>
  </conditionalFormatting>
  <conditionalFormatting sqref="A550:A552">
    <cfRule type="expression" dxfId="24" priority="4805" stopIfTrue="1">
      <formula>OR(AND(LEFT($A550, 16)="select_multiple ", LEN($A550)&gt;16, NOT(ISNUMBER(SEARCH(" ", $A550, 17)))), AND(LEFT($A550, 11)="select_one ", LEN($A550)&gt;11, NOT(ISNUMBER(SEARCH(" ", $A550, 12)))))</formula>
    </cfRule>
  </conditionalFormatting>
  <conditionalFormatting sqref="A550:A552">
    <cfRule type="expression" dxfId="25" priority="4806" stopIfTrue="1">
      <formula>$A550="decimal"</formula>
    </cfRule>
  </conditionalFormatting>
  <conditionalFormatting sqref="A550:A552">
    <cfRule type="expression" dxfId="26" priority="4807" stopIfTrue="1">
      <formula>$A550="integer"</formula>
    </cfRule>
  </conditionalFormatting>
  <conditionalFormatting sqref="A550:A552">
    <cfRule type="expression" dxfId="27" priority="4808" stopIfTrue="1">
      <formula>$A550="text"</formula>
    </cfRule>
  </conditionalFormatting>
  <conditionalFormatting sqref="A550:A552">
    <cfRule type="expression" dxfId="28" priority="4809" stopIfTrue="1">
      <formula>$A550="end repeat"</formula>
    </cfRule>
  </conditionalFormatting>
  <conditionalFormatting sqref="A550:A552">
    <cfRule type="expression" dxfId="28" priority="4810" stopIfTrue="1">
      <formula>$A550="begin repeat"</formula>
    </cfRule>
  </conditionalFormatting>
  <conditionalFormatting sqref="A550:A552">
    <cfRule type="expression" dxfId="29" priority="4811" stopIfTrue="1">
      <formula>$A550="end group"</formula>
    </cfRule>
  </conditionalFormatting>
  <conditionalFormatting sqref="A550:A552">
    <cfRule type="expression" dxfId="29" priority="4812" stopIfTrue="1">
      <formula>$A550="begin group"</formula>
    </cfRule>
  </conditionalFormatting>
  <conditionalFormatting sqref="A545:A546">
    <cfRule type="expression" dxfId="33" priority="4813" stopIfTrue="1">
      <formula>$A545="file"</formula>
    </cfRule>
  </conditionalFormatting>
  <conditionalFormatting sqref="A545:A546">
    <cfRule type="expression" dxfId="34" priority="4814" stopIfTrue="1">
      <formula>$A545="enumerator"</formula>
    </cfRule>
  </conditionalFormatting>
  <conditionalFormatting sqref="A545:A546">
    <cfRule type="expression" dxfId="35" priority="4815" stopIfTrue="1">
      <formula>OR(AND(LEFT($A545, 14)="sensor_stream ", LEN($A545)&gt;14, NOT(ISNUMBER(SEARCH(" ", $A545, 15)))), AND(LEFT($A545, 17)="sensor_statistic ", LEN($A545)&gt;17, NOT(ISNUMBER(SEARCH(" ", $A545, 18)))))</formula>
    </cfRule>
  </conditionalFormatting>
  <conditionalFormatting sqref="A545:A546">
    <cfRule type="expression" dxfId="14" priority="4816" stopIfTrue="1">
      <formula>$A545="comments"</formula>
    </cfRule>
  </conditionalFormatting>
  <conditionalFormatting sqref="A545:A546">
    <cfRule type="expression" dxfId="15" priority="4817" stopIfTrue="1">
      <formula>OR($A545="audio", $A545="video")</formula>
    </cfRule>
  </conditionalFormatting>
  <conditionalFormatting sqref="A545:A546">
    <cfRule type="expression" dxfId="16" priority="4818" stopIfTrue="1">
      <formula>$A545="image"</formula>
    </cfRule>
  </conditionalFormatting>
  <conditionalFormatting sqref="A545:A546">
    <cfRule type="expression" dxfId="17" priority="4819" stopIfTrue="1">
      <formula>OR($A545="date", $A545="datetime", $A545="time")</formula>
    </cfRule>
  </conditionalFormatting>
  <conditionalFormatting sqref="A545:A546">
    <cfRule type="expression" dxfId="18" priority="4820" stopIfTrue="1">
      <formula>OR($A545="calculate", $A545="calculate_here")</formula>
    </cfRule>
  </conditionalFormatting>
  <conditionalFormatting sqref="A545:A546">
    <cfRule type="expression" dxfId="19" priority="4821" stopIfTrue="1">
      <formula>$A545="note"</formula>
    </cfRule>
  </conditionalFormatting>
  <conditionalFormatting sqref="A545:A546">
    <cfRule type="expression" dxfId="20" priority="4822" stopIfTrue="1">
      <formula>$A545="barcode"</formula>
    </cfRule>
  </conditionalFormatting>
  <conditionalFormatting sqref="A545:A546">
    <cfRule type="expression" dxfId="21" priority="4823" stopIfTrue="1">
      <formula>OR($A545="geopoint", $A545="geoshape", $A545="geotrace")</formula>
    </cfRule>
  </conditionalFormatting>
  <conditionalFormatting sqref="A545:A546">
    <cfRule type="expression" dxfId="22" priority="4824" stopIfTrue="1">
      <formula>OR($A545="audio audit", $A545="text audit", $A545="speed violations count", $A545="speed violations list", $A545="speed violations audit")</formula>
    </cfRule>
  </conditionalFormatting>
  <conditionalFormatting sqref="A545:A546">
    <cfRule type="expression" dxfId="23" priority="4825" stopIfTrue="1">
      <formula>OR($A545="username", $A545="phonenumber", $A545="start", $A545="end", $A545="deviceid", $A545="subscriberid", $A545="simserial", $A545="caseid")</formula>
    </cfRule>
  </conditionalFormatting>
  <conditionalFormatting sqref="A545:A546">
    <cfRule type="expression" dxfId="24" priority="4826" stopIfTrue="1">
      <formula>OR(AND(LEFT($A545, 16)="select_multiple ", LEN($A545)&gt;16, NOT(ISNUMBER(SEARCH(" ", $A545, 17)))), AND(LEFT($A545, 11)="select_one ", LEN($A545)&gt;11, NOT(ISNUMBER(SEARCH(" ", $A545, 12)))))</formula>
    </cfRule>
  </conditionalFormatting>
  <conditionalFormatting sqref="A545:A546">
    <cfRule type="expression" dxfId="25" priority="4827" stopIfTrue="1">
      <formula>$A545="decimal"</formula>
    </cfRule>
  </conditionalFormatting>
  <conditionalFormatting sqref="A545:A546">
    <cfRule type="expression" dxfId="26" priority="4828" stopIfTrue="1">
      <formula>$A545="integer"</formula>
    </cfRule>
  </conditionalFormatting>
  <conditionalFormatting sqref="A545:A546">
    <cfRule type="expression" dxfId="27" priority="4829" stopIfTrue="1">
      <formula>$A545="text"</formula>
    </cfRule>
  </conditionalFormatting>
  <conditionalFormatting sqref="A545:A546">
    <cfRule type="expression" dxfId="28" priority="4830" stopIfTrue="1">
      <formula>$A545="end repeat"</formula>
    </cfRule>
  </conditionalFormatting>
  <conditionalFormatting sqref="A545:A546">
    <cfRule type="expression" dxfId="28" priority="4831" stopIfTrue="1">
      <formula>$A545="begin repeat"</formula>
    </cfRule>
  </conditionalFormatting>
  <conditionalFormatting sqref="A545:A546">
    <cfRule type="expression" dxfId="29" priority="4832" stopIfTrue="1">
      <formula>$A545="end group"</formula>
    </cfRule>
  </conditionalFormatting>
  <conditionalFormatting sqref="A545:A546">
    <cfRule type="expression" dxfId="29" priority="4833" stopIfTrue="1">
      <formula>$A545="begin group"</formula>
    </cfRule>
  </conditionalFormatting>
  <conditionalFormatting sqref="A533:A535">
    <cfRule type="expression" dxfId="33" priority="4834" stopIfTrue="1">
      <formula>$A533="file"</formula>
    </cfRule>
  </conditionalFormatting>
  <conditionalFormatting sqref="A533:A535">
    <cfRule type="expression" dxfId="34" priority="4835" stopIfTrue="1">
      <formula>$A533="enumerator"</formula>
    </cfRule>
  </conditionalFormatting>
  <conditionalFormatting sqref="A533:A535">
    <cfRule type="expression" dxfId="35" priority="4836" stopIfTrue="1">
      <formula>OR(AND(LEFT($A533, 14)="sensor_stream ", LEN($A533)&gt;14, NOT(ISNUMBER(SEARCH(" ", $A533, 15)))), AND(LEFT($A533, 17)="sensor_statistic ", LEN($A533)&gt;17, NOT(ISNUMBER(SEARCH(" ", $A533, 18)))))</formula>
    </cfRule>
  </conditionalFormatting>
  <conditionalFormatting sqref="A533:A535">
    <cfRule type="expression" dxfId="14" priority="4837" stopIfTrue="1">
      <formula>$A533="comments"</formula>
    </cfRule>
  </conditionalFormatting>
  <conditionalFormatting sqref="A533:A535">
    <cfRule type="expression" dxfId="15" priority="4838" stopIfTrue="1">
      <formula>OR($A533="audio", $A533="video")</formula>
    </cfRule>
  </conditionalFormatting>
  <conditionalFormatting sqref="A533:A535">
    <cfRule type="expression" dxfId="16" priority="4839" stopIfTrue="1">
      <formula>$A533="image"</formula>
    </cfRule>
  </conditionalFormatting>
  <conditionalFormatting sqref="A533:A535">
    <cfRule type="expression" dxfId="17" priority="4840" stopIfTrue="1">
      <formula>OR($A533="date", $A533="datetime", $A533="time")</formula>
    </cfRule>
  </conditionalFormatting>
  <conditionalFormatting sqref="A533:A535">
    <cfRule type="expression" dxfId="18" priority="4841" stopIfTrue="1">
      <formula>OR($A533="calculate", $A533="calculate_here")</formula>
    </cfRule>
  </conditionalFormatting>
  <conditionalFormatting sqref="A533:A535">
    <cfRule type="expression" dxfId="19" priority="4842" stopIfTrue="1">
      <formula>$A533="note"</formula>
    </cfRule>
  </conditionalFormatting>
  <conditionalFormatting sqref="A533:A535">
    <cfRule type="expression" dxfId="20" priority="4843" stopIfTrue="1">
      <formula>$A533="barcode"</formula>
    </cfRule>
  </conditionalFormatting>
  <conditionalFormatting sqref="A533:A535">
    <cfRule type="expression" dxfId="21" priority="4844" stopIfTrue="1">
      <formula>OR($A533="geopoint", $A533="geoshape", $A533="geotrace")</formula>
    </cfRule>
  </conditionalFormatting>
  <conditionalFormatting sqref="A533:A535">
    <cfRule type="expression" dxfId="22" priority="4845" stopIfTrue="1">
      <formula>OR($A533="audio audit", $A533="text audit", $A533="speed violations count", $A533="speed violations list", $A533="speed violations audit")</formula>
    </cfRule>
  </conditionalFormatting>
  <conditionalFormatting sqref="A533:A535">
    <cfRule type="expression" dxfId="23" priority="4846" stopIfTrue="1">
      <formula>OR($A533="username", $A533="phonenumber", $A533="start", $A533="end", $A533="deviceid", $A533="subscriberid", $A533="simserial", $A533="caseid")</formula>
    </cfRule>
  </conditionalFormatting>
  <conditionalFormatting sqref="A533:A535">
    <cfRule type="expression" dxfId="24" priority="4847" stopIfTrue="1">
      <formula>OR(AND(LEFT($A533, 16)="select_multiple ", LEN($A533)&gt;16, NOT(ISNUMBER(SEARCH(" ", $A533, 17)))), AND(LEFT($A533, 11)="select_one ", LEN($A533)&gt;11, NOT(ISNUMBER(SEARCH(" ", $A533, 12)))))</formula>
    </cfRule>
  </conditionalFormatting>
  <conditionalFormatting sqref="A533:A535">
    <cfRule type="expression" dxfId="25" priority="4848" stopIfTrue="1">
      <formula>$A533="decimal"</formula>
    </cfRule>
  </conditionalFormatting>
  <conditionalFormatting sqref="A533:A535">
    <cfRule type="expression" dxfId="26" priority="4849" stopIfTrue="1">
      <formula>$A533="integer"</formula>
    </cfRule>
  </conditionalFormatting>
  <conditionalFormatting sqref="A533:A535">
    <cfRule type="expression" dxfId="27" priority="4850" stopIfTrue="1">
      <formula>$A533="text"</formula>
    </cfRule>
  </conditionalFormatting>
  <conditionalFormatting sqref="A533:A535">
    <cfRule type="expression" dxfId="28" priority="4851" stopIfTrue="1">
      <formula>$A533="end repeat"</formula>
    </cfRule>
  </conditionalFormatting>
  <conditionalFormatting sqref="A533:A535">
    <cfRule type="expression" dxfId="28" priority="4852" stopIfTrue="1">
      <formula>$A533="begin repeat"</formula>
    </cfRule>
  </conditionalFormatting>
  <conditionalFormatting sqref="A533:A535">
    <cfRule type="expression" dxfId="29" priority="4853" stopIfTrue="1">
      <formula>$A533="end group"</formula>
    </cfRule>
  </conditionalFormatting>
  <conditionalFormatting sqref="A533:A535">
    <cfRule type="expression" dxfId="29" priority="4854" stopIfTrue="1">
      <formula>$A533="begin group"</formula>
    </cfRule>
  </conditionalFormatting>
  <conditionalFormatting sqref="A527:A528">
    <cfRule type="expression" dxfId="33" priority="4855" stopIfTrue="1">
      <formula>$A527="file"</formula>
    </cfRule>
  </conditionalFormatting>
  <conditionalFormatting sqref="A527:A528">
    <cfRule type="expression" dxfId="34" priority="4856" stopIfTrue="1">
      <formula>$A527="enumerator"</formula>
    </cfRule>
  </conditionalFormatting>
  <conditionalFormatting sqref="A527:A528">
    <cfRule type="expression" dxfId="35" priority="4857" stopIfTrue="1">
      <formula>OR(AND(LEFT($A527, 14)="sensor_stream ", LEN($A527)&gt;14, NOT(ISNUMBER(SEARCH(" ", $A527, 15)))), AND(LEFT($A527, 17)="sensor_statistic ", LEN($A527)&gt;17, NOT(ISNUMBER(SEARCH(" ", $A527, 18)))))</formula>
    </cfRule>
  </conditionalFormatting>
  <conditionalFormatting sqref="A527:A528">
    <cfRule type="expression" dxfId="14" priority="4858" stopIfTrue="1">
      <formula>$A527="comments"</formula>
    </cfRule>
  </conditionalFormatting>
  <conditionalFormatting sqref="A527:A528">
    <cfRule type="expression" dxfId="15" priority="4859" stopIfTrue="1">
      <formula>OR($A527="audio", $A527="video")</formula>
    </cfRule>
  </conditionalFormatting>
  <conditionalFormatting sqref="A527:A528">
    <cfRule type="expression" dxfId="16" priority="4860" stopIfTrue="1">
      <formula>$A527="image"</formula>
    </cfRule>
  </conditionalFormatting>
  <conditionalFormatting sqref="A527:A528">
    <cfRule type="expression" dxfId="17" priority="4861" stopIfTrue="1">
      <formula>OR($A527="date", $A527="datetime", $A527="time")</formula>
    </cfRule>
  </conditionalFormatting>
  <conditionalFormatting sqref="A527:A528">
    <cfRule type="expression" dxfId="18" priority="4862" stopIfTrue="1">
      <formula>OR($A527="calculate", $A527="calculate_here")</formula>
    </cfRule>
  </conditionalFormatting>
  <conditionalFormatting sqref="A527:A528">
    <cfRule type="expression" dxfId="19" priority="4863" stopIfTrue="1">
      <formula>$A527="note"</formula>
    </cfRule>
  </conditionalFormatting>
  <conditionalFormatting sqref="A527:A528">
    <cfRule type="expression" dxfId="20" priority="4864" stopIfTrue="1">
      <formula>$A527="barcode"</formula>
    </cfRule>
  </conditionalFormatting>
  <conditionalFormatting sqref="A527:A528">
    <cfRule type="expression" dxfId="21" priority="4865" stopIfTrue="1">
      <formula>OR($A527="geopoint", $A527="geoshape", $A527="geotrace")</formula>
    </cfRule>
  </conditionalFormatting>
  <conditionalFormatting sqref="A527:A528">
    <cfRule type="expression" dxfId="22" priority="4866" stopIfTrue="1">
      <formula>OR($A527="audio audit", $A527="text audit", $A527="speed violations count", $A527="speed violations list", $A527="speed violations audit")</formula>
    </cfRule>
  </conditionalFormatting>
  <conditionalFormatting sqref="A527:A528">
    <cfRule type="expression" dxfId="23" priority="4867" stopIfTrue="1">
      <formula>OR($A527="username", $A527="phonenumber", $A527="start", $A527="end", $A527="deviceid", $A527="subscriberid", $A527="simserial", $A527="caseid")</formula>
    </cfRule>
  </conditionalFormatting>
  <conditionalFormatting sqref="A527:A528">
    <cfRule type="expression" dxfId="24" priority="4868" stopIfTrue="1">
      <formula>OR(AND(LEFT($A527, 16)="select_multiple ", LEN($A527)&gt;16, NOT(ISNUMBER(SEARCH(" ", $A527, 17)))), AND(LEFT($A527, 11)="select_one ", LEN($A527)&gt;11, NOT(ISNUMBER(SEARCH(" ", $A527, 12)))))</formula>
    </cfRule>
  </conditionalFormatting>
  <conditionalFormatting sqref="A527:A528">
    <cfRule type="expression" dxfId="25" priority="4869" stopIfTrue="1">
      <formula>$A527="decimal"</formula>
    </cfRule>
  </conditionalFormatting>
  <conditionalFormatting sqref="A527:A528">
    <cfRule type="expression" dxfId="26" priority="4870" stopIfTrue="1">
      <formula>$A527="integer"</formula>
    </cfRule>
  </conditionalFormatting>
  <conditionalFormatting sqref="A527:A528">
    <cfRule type="expression" dxfId="27" priority="4871" stopIfTrue="1">
      <formula>$A527="text"</formula>
    </cfRule>
  </conditionalFormatting>
  <conditionalFormatting sqref="A527:A528">
    <cfRule type="expression" dxfId="28" priority="4872" stopIfTrue="1">
      <formula>$A527="end repeat"</formula>
    </cfRule>
  </conditionalFormatting>
  <conditionalFormatting sqref="A527:A528">
    <cfRule type="expression" dxfId="28" priority="4873" stopIfTrue="1">
      <formula>$A527="begin repeat"</formula>
    </cfRule>
  </conditionalFormatting>
  <conditionalFormatting sqref="A527:A528">
    <cfRule type="expression" dxfId="29" priority="4874" stopIfTrue="1">
      <formula>$A527="end group"</formula>
    </cfRule>
  </conditionalFormatting>
  <conditionalFormatting sqref="A527:A528">
    <cfRule type="expression" dxfId="29" priority="4875" stopIfTrue="1">
      <formula>$A527="begin group"</formula>
    </cfRule>
  </conditionalFormatting>
  <conditionalFormatting sqref="A518:A520">
    <cfRule type="expression" dxfId="33" priority="4876" stopIfTrue="1">
      <formula>$A518="file"</formula>
    </cfRule>
  </conditionalFormatting>
  <conditionalFormatting sqref="A518:A520">
    <cfRule type="expression" dxfId="34" priority="4877" stopIfTrue="1">
      <formula>$A518="enumerator"</formula>
    </cfRule>
  </conditionalFormatting>
  <conditionalFormatting sqref="A518:A520">
    <cfRule type="expression" dxfId="35" priority="4878" stopIfTrue="1">
      <formula>OR(AND(LEFT($A518, 14)="sensor_stream ", LEN($A518)&gt;14, NOT(ISNUMBER(SEARCH(" ", $A518, 15)))), AND(LEFT($A518, 17)="sensor_statistic ", LEN($A518)&gt;17, NOT(ISNUMBER(SEARCH(" ", $A518, 18)))))</formula>
    </cfRule>
  </conditionalFormatting>
  <conditionalFormatting sqref="A518:A520">
    <cfRule type="expression" dxfId="14" priority="4879" stopIfTrue="1">
      <formula>$A518="comments"</formula>
    </cfRule>
  </conditionalFormatting>
  <conditionalFormatting sqref="A518:A520">
    <cfRule type="expression" dxfId="15" priority="4880" stopIfTrue="1">
      <formula>OR($A518="audio", $A518="video")</formula>
    </cfRule>
  </conditionalFormatting>
  <conditionalFormatting sqref="A518:A520">
    <cfRule type="expression" dxfId="16" priority="4881" stopIfTrue="1">
      <formula>$A518="image"</formula>
    </cfRule>
  </conditionalFormatting>
  <conditionalFormatting sqref="A518:A520">
    <cfRule type="expression" dxfId="17" priority="4882" stopIfTrue="1">
      <formula>OR($A518="date", $A518="datetime", $A518="time")</formula>
    </cfRule>
  </conditionalFormatting>
  <conditionalFormatting sqref="A518:A520">
    <cfRule type="expression" dxfId="18" priority="4883" stopIfTrue="1">
      <formula>OR($A518="calculate", $A518="calculate_here")</formula>
    </cfRule>
  </conditionalFormatting>
  <conditionalFormatting sqref="A518:A520">
    <cfRule type="expression" dxfId="19" priority="4884" stopIfTrue="1">
      <formula>$A518="note"</formula>
    </cfRule>
  </conditionalFormatting>
  <conditionalFormatting sqref="A518:A520">
    <cfRule type="expression" dxfId="20" priority="4885" stopIfTrue="1">
      <formula>$A518="barcode"</formula>
    </cfRule>
  </conditionalFormatting>
  <conditionalFormatting sqref="A518:A520">
    <cfRule type="expression" dxfId="21" priority="4886" stopIfTrue="1">
      <formula>OR($A518="geopoint", $A518="geoshape", $A518="geotrace")</formula>
    </cfRule>
  </conditionalFormatting>
  <conditionalFormatting sqref="A518:A520">
    <cfRule type="expression" dxfId="22" priority="4887" stopIfTrue="1">
      <formula>OR($A518="audio audit", $A518="text audit", $A518="speed violations count", $A518="speed violations list", $A518="speed violations audit")</formula>
    </cfRule>
  </conditionalFormatting>
  <conditionalFormatting sqref="A518:A520">
    <cfRule type="expression" dxfId="23" priority="4888" stopIfTrue="1">
      <formula>OR($A518="username", $A518="phonenumber", $A518="start", $A518="end", $A518="deviceid", $A518="subscriberid", $A518="simserial", $A518="caseid")</formula>
    </cfRule>
  </conditionalFormatting>
  <conditionalFormatting sqref="A518:A520">
    <cfRule type="expression" dxfId="24" priority="4889" stopIfTrue="1">
      <formula>OR(AND(LEFT($A518, 16)="select_multiple ", LEN($A518)&gt;16, NOT(ISNUMBER(SEARCH(" ", $A518, 17)))), AND(LEFT($A518, 11)="select_one ", LEN($A518)&gt;11, NOT(ISNUMBER(SEARCH(" ", $A518, 12)))))</formula>
    </cfRule>
  </conditionalFormatting>
  <conditionalFormatting sqref="A518:A520">
    <cfRule type="expression" dxfId="25" priority="4890" stopIfTrue="1">
      <formula>$A518="decimal"</formula>
    </cfRule>
  </conditionalFormatting>
  <conditionalFormatting sqref="A518:A520">
    <cfRule type="expression" dxfId="26" priority="4891" stopIfTrue="1">
      <formula>$A518="integer"</formula>
    </cfRule>
  </conditionalFormatting>
  <conditionalFormatting sqref="A518:A520">
    <cfRule type="expression" dxfId="27" priority="4892" stopIfTrue="1">
      <formula>$A518="text"</formula>
    </cfRule>
  </conditionalFormatting>
  <conditionalFormatting sqref="A518:A520">
    <cfRule type="expression" dxfId="28" priority="4893" stopIfTrue="1">
      <formula>$A518="end repeat"</formula>
    </cfRule>
  </conditionalFormatting>
  <conditionalFormatting sqref="A518:A520">
    <cfRule type="expression" dxfId="28" priority="4894" stopIfTrue="1">
      <formula>$A518="begin repeat"</formula>
    </cfRule>
  </conditionalFormatting>
  <conditionalFormatting sqref="A518:A520">
    <cfRule type="expression" dxfId="29" priority="4895" stopIfTrue="1">
      <formula>$A518="end group"</formula>
    </cfRule>
  </conditionalFormatting>
  <conditionalFormatting sqref="A518:A520">
    <cfRule type="expression" dxfId="29" priority="4896" stopIfTrue="1">
      <formula>$A518="begin group"</formula>
    </cfRule>
  </conditionalFormatting>
  <conditionalFormatting sqref="A512:A516">
    <cfRule type="expression" dxfId="33" priority="4897" stopIfTrue="1">
      <formula>$A512="file"</formula>
    </cfRule>
  </conditionalFormatting>
  <conditionalFormatting sqref="A512:A516">
    <cfRule type="expression" dxfId="34" priority="4898" stopIfTrue="1">
      <formula>$A512="enumerator"</formula>
    </cfRule>
  </conditionalFormatting>
  <conditionalFormatting sqref="A512:A516">
    <cfRule type="expression" dxfId="35" priority="4899" stopIfTrue="1">
      <formula>OR(AND(LEFT($A512, 14)="sensor_stream ", LEN($A512)&gt;14, NOT(ISNUMBER(SEARCH(" ", $A512, 15)))), AND(LEFT($A512, 17)="sensor_statistic ", LEN($A512)&gt;17, NOT(ISNUMBER(SEARCH(" ", $A512, 18)))))</formula>
    </cfRule>
  </conditionalFormatting>
  <conditionalFormatting sqref="A512:A516">
    <cfRule type="expression" dxfId="14" priority="4900" stopIfTrue="1">
      <formula>$A512="comments"</formula>
    </cfRule>
  </conditionalFormatting>
  <conditionalFormatting sqref="A512:A516">
    <cfRule type="expression" dxfId="15" priority="4901" stopIfTrue="1">
      <formula>OR($A512="audio", $A512="video")</formula>
    </cfRule>
  </conditionalFormatting>
  <conditionalFormatting sqref="A512:A516">
    <cfRule type="expression" dxfId="16" priority="4902" stopIfTrue="1">
      <formula>$A512="image"</formula>
    </cfRule>
  </conditionalFormatting>
  <conditionalFormatting sqref="A512:A516">
    <cfRule type="expression" dxfId="17" priority="4903" stopIfTrue="1">
      <formula>OR($A512="date", $A512="datetime", $A512="time")</formula>
    </cfRule>
  </conditionalFormatting>
  <conditionalFormatting sqref="A512:A516">
    <cfRule type="expression" dxfId="18" priority="4904" stopIfTrue="1">
      <formula>OR($A512="calculate", $A512="calculate_here")</formula>
    </cfRule>
  </conditionalFormatting>
  <conditionalFormatting sqref="A512:A516">
    <cfRule type="expression" dxfId="19" priority="4905" stopIfTrue="1">
      <formula>$A512="note"</formula>
    </cfRule>
  </conditionalFormatting>
  <conditionalFormatting sqref="A512:A516">
    <cfRule type="expression" dxfId="20" priority="4906" stopIfTrue="1">
      <formula>$A512="barcode"</formula>
    </cfRule>
  </conditionalFormatting>
  <conditionalFormatting sqref="A512:A516">
    <cfRule type="expression" dxfId="21" priority="4907" stopIfTrue="1">
      <formula>OR($A512="geopoint", $A512="geoshape", $A512="geotrace")</formula>
    </cfRule>
  </conditionalFormatting>
  <conditionalFormatting sqref="A512:A516">
    <cfRule type="expression" dxfId="22" priority="4908" stopIfTrue="1">
      <formula>OR($A512="audio audit", $A512="text audit", $A512="speed violations count", $A512="speed violations list", $A512="speed violations audit")</formula>
    </cfRule>
  </conditionalFormatting>
  <conditionalFormatting sqref="A512:A516">
    <cfRule type="expression" dxfId="23" priority="4909" stopIfTrue="1">
      <formula>OR($A512="username", $A512="phonenumber", $A512="start", $A512="end", $A512="deviceid", $A512="subscriberid", $A512="simserial", $A512="caseid")</formula>
    </cfRule>
  </conditionalFormatting>
  <conditionalFormatting sqref="A512:A516">
    <cfRule type="expression" dxfId="24" priority="4910" stopIfTrue="1">
      <formula>OR(AND(LEFT($A512, 16)="select_multiple ", LEN($A512)&gt;16, NOT(ISNUMBER(SEARCH(" ", $A512, 17)))), AND(LEFT($A512, 11)="select_one ", LEN($A512)&gt;11, NOT(ISNUMBER(SEARCH(" ", $A512, 12)))))</formula>
    </cfRule>
  </conditionalFormatting>
  <conditionalFormatting sqref="A512:A516">
    <cfRule type="expression" dxfId="25" priority="4911" stopIfTrue="1">
      <formula>$A512="decimal"</formula>
    </cfRule>
  </conditionalFormatting>
  <conditionalFormatting sqref="A512:A516">
    <cfRule type="expression" dxfId="26" priority="4912" stopIfTrue="1">
      <formula>$A512="integer"</formula>
    </cfRule>
  </conditionalFormatting>
  <conditionalFormatting sqref="A512:A516">
    <cfRule type="expression" dxfId="27" priority="4913" stopIfTrue="1">
      <formula>$A512="text"</formula>
    </cfRule>
  </conditionalFormatting>
  <conditionalFormatting sqref="A512:A516">
    <cfRule type="expression" dxfId="28" priority="4914" stopIfTrue="1">
      <formula>$A512="end repeat"</formula>
    </cfRule>
  </conditionalFormatting>
  <conditionalFormatting sqref="A512:A516">
    <cfRule type="expression" dxfId="28" priority="4915" stopIfTrue="1">
      <formula>$A512="begin repeat"</formula>
    </cfRule>
  </conditionalFormatting>
  <conditionalFormatting sqref="A512:A516">
    <cfRule type="expression" dxfId="29" priority="4916" stopIfTrue="1">
      <formula>$A512="end group"</formula>
    </cfRule>
  </conditionalFormatting>
  <conditionalFormatting sqref="A512:A516">
    <cfRule type="expression" dxfId="29" priority="4917" stopIfTrue="1">
      <formula>$A512="begin group"</formula>
    </cfRule>
  </conditionalFormatting>
  <conditionalFormatting sqref="A510">
    <cfRule type="expression" dxfId="33" priority="4918" stopIfTrue="1">
      <formula>$A510="file"</formula>
    </cfRule>
  </conditionalFormatting>
  <conditionalFormatting sqref="A510">
    <cfRule type="expression" dxfId="34" priority="4919" stopIfTrue="1">
      <formula>$A510="enumerator"</formula>
    </cfRule>
  </conditionalFormatting>
  <conditionalFormatting sqref="A510">
    <cfRule type="expression" dxfId="35" priority="4920" stopIfTrue="1">
      <formula>OR(AND(LEFT($A510, 14)="sensor_stream ", LEN($A510)&gt;14, NOT(ISNUMBER(SEARCH(" ", $A510, 15)))), AND(LEFT($A510, 17)="sensor_statistic ", LEN($A510)&gt;17, NOT(ISNUMBER(SEARCH(" ", $A510, 18)))))</formula>
    </cfRule>
  </conditionalFormatting>
  <conditionalFormatting sqref="A510">
    <cfRule type="expression" dxfId="14" priority="4921" stopIfTrue="1">
      <formula>$A510="comments"</formula>
    </cfRule>
  </conditionalFormatting>
  <conditionalFormatting sqref="A510">
    <cfRule type="expression" dxfId="15" priority="4922" stopIfTrue="1">
      <formula>OR($A510="audio", $A510="video")</formula>
    </cfRule>
  </conditionalFormatting>
  <conditionalFormatting sqref="A510">
    <cfRule type="expression" dxfId="16" priority="4923" stopIfTrue="1">
      <formula>$A510="image"</formula>
    </cfRule>
  </conditionalFormatting>
  <conditionalFormatting sqref="A510">
    <cfRule type="expression" dxfId="17" priority="4924" stopIfTrue="1">
      <formula>OR($A510="date", $A510="datetime", $A510="time")</formula>
    </cfRule>
  </conditionalFormatting>
  <conditionalFormatting sqref="A510">
    <cfRule type="expression" dxfId="18" priority="4925" stopIfTrue="1">
      <formula>OR($A510="calculate", $A510="calculate_here")</formula>
    </cfRule>
  </conditionalFormatting>
  <conditionalFormatting sqref="A510">
    <cfRule type="expression" dxfId="19" priority="4926" stopIfTrue="1">
      <formula>$A510="note"</formula>
    </cfRule>
  </conditionalFormatting>
  <conditionalFormatting sqref="A510">
    <cfRule type="expression" dxfId="20" priority="4927" stopIfTrue="1">
      <formula>$A510="barcode"</formula>
    </cfRule>
  </conditionalFormatting>
  <conditionalFormatting sqref="A510">
    <cfRule type="expression" dxfId="21" priority="4928" stopIfTrue="1">
      <formula>OR($A510="geopoint", $A510="geoshape", $A510="geotrace")</formula>
    </cfRule>
  </conditionalFormatting>
  <conditionalFormatting sqref="A510">
    <cfRule type="expression" dxfId="22" priority="4929" stopIfTrue="1">
      <formula>OR($A510="audio audit", $A510="text audit", $A510="speed violations count", $A510="speed violations list", $A510="speed violations audit")</formula>
    </cfRule>
  </conditionalFormatting>
  <conditionalFormatting sqref="A510">
    <cfRule type="expression" dxfId="23" priority="4930" stopIfTrue="1">
      <formula>OR($A510="username", $A510="phonenumber", $A510="start", $A510="end", $A510="deviceid", $A510="subscriberid", $A510="simserial", $A510="caseid")</formula>
    </cfRule>
  </conditionalFormatting>
  <conditionalFormatting sqref="A510">
    <cfRule type="expression" dxfId="24" priority="4931" stopIfTrue="1">
      <formula>OR(AND(LEFT($A510, 16)="select_multiple ", LEN($A510)&gt;16, NOT(ISNUMBER(SEARCH(" ", $A510, 17)))), AND(LEFT($A510, 11)="select_one ", LEN($A510)&gt;11, NOT(ISNUMBER(SEARCH(" ", $A510, 12)))))</formula>
    </cfRule>
  </conditionalFormatting>
  <conditionalFormatting sqref="A510">
    <cfRule type="expression" dxfId="25" priority="4932" stopIfTrue="1">
      <formula>$A510="decimal"</formula>
    </cfRule>
  </conditionalFormatting>
  <conditionalFormatting sqref="A510">
    <cfRule type="expression" dxfId="26" priority="4933" stopIfTrue="1">
      <formula>$A510="integer"</formula>
    </cfRule>
  </conditionalFormatting>
  <conditionalFormatting sqref="A510">
    <cfRule type="expression" dxfId="27" priority="4934" stopIfTrue="1">
      <formula>$A510="text"</formula>
    </cfRule>
  </conditionalFormatting>
  <conditionalFormatting sqref="A510">
    <cfRule type="expression" dxfId="28" priority="4935" stopIfTrue="1">
      <formula>$A510="end repeat"</formula>
    </cfRule>
  </conditionalFormatting>
  <conditionalFormatting sqref="A510">
    <cfRule type="expression" dxfId="28" priority="4936" stopIfTrue="1">
      <formula>$A510="begin repeat"</formula>
    </cfRule>
  </conditionalFormatting>
  <conditionalFormatting sqref="A510">
    <cfRule type="expression" dxfId="29" priority="4937" stopIfTrue="1">
      <formula>$A510="end group"</formula>
    </cfRule>
  </conditionalFormatting>
  <conditionalFormatting sqref="A510">
    <cfRule type="expression" dxfId="29" priority="4938" stopIfTrue="1">
      <formula>$A510="begin group"</formula>
    </cfRule>
  </conditionalFormatting>
  <conditionalFormatting sqref="A503:A505">
    <cfRule type="expression" dxfId="33" priority="4939" stopIfTrue="1">
      <formula>$A503="file"</formula>
    </cfRule>
  </conditionalFormatting>
  <conditionalFormatting sqref="A503:A505">
    <cfRule type="expression" dxfId="34" priority="4940" stopIfTrue="1">
      <formula>$A503="enumerator"</formula>
    </cfRule>
  </conditionalFormatting>
  <conditionalFormatting sqref="A503:A505">
    <cfRule type="expression" dxfId="35" priority="4941" stopIfTrue="1">
      <formula>OR(AND(LEFT($A503, 14)="sensor_stream ", LEN($A503)&gt;14, NOT(ISNUMBER(SEARCH(" ", $A503, 15)))), AND(LEFT($A503, 17)="sensor_statistic ", LEN($A503)&gt;17, NOT(ISNUMBER(SEARCH(" ", $A503, 18)))))</formula>
    </cfRule>
  </conditionalFormatting>
  <conditionalFormatting sqref="A503:A505">
    <cfRule type="expression" dxfId="14" priority="4942" stopIfTrue="1">
      <formula>$A503="comments"</formula>
    </cfRule>
  </conditionalFormatting>
  <conditionalFormatting sqref="A503:A505">
    <cfRule type="expression" dxfId="15" priority="4943" stopIfTrue="1">
      <formula>OR($A503="audio", $A503="video")</formula>
    </cfRule>
  </conditionalFormatting>
  <conditionalFormatting sqref="A503:A505">
    <cfRule type="expression" dxfId="16" priority="4944" stopIfTrue="1">
      <formula>$A503="image"</formula>
    </cfRule>
  </conditionalFormatting>
  <conditionalFormatting sqref="A503:A505">
    <cfRule type="expression" dxfId="17" priority="4945" stopIfTrue="1">
      <formula>OR($A503="date", $A503="datetime", $A503="time")</formula>
    </cfRule>
  </conditionalFormatting>
  <conditionalFormatting sqref="A503:A505">
    <cfRule type="expression" dxfId="18" priority="4946" stopIfTrue="1">
      <formula>OR($A503="calculate", $A503="calculate_here")</formula>
    </cfRule>
  </conditionalFormatting>
  <conditionalFormatting sqref="A503:A505">
    <cfRule type="expression" dxfId="19" priority="4947" stopIfTrue="1">
      <formula>$A503="note"</formula>
    </cfRule>
  </conditionalFormatting>
  <conditionalFormatting sqref="A503:A505">
    <cfRule type="expression" dxfId="20" priority="4948" stopIfTrue="1">
      <formula>$A503="barcode"</formula>
    </cfRule>
  </conditionalFormatting>
  <conditionalFormatting sqref="A503:A505">
    <cfRule type="expression" dxfId="21" priority="4949" stopIfTrue="1">
      <formula>OR($A503="geopoint", $A503="geoshape", $A503="geotrace")</formula>
    </cfRule>
  </conditionalFormatting>
  <conditionalFormatting sqref="A503:A505">
    <cfRule type="expression" dxfId="22" priority="4950" stopIfTrue="1">
      <formula>OR($A503="audio audit", $A503="text audit", $A503="speed violations count", $A503="speed violations list", $A503="speed violations audit")</formula>
    </cfRule>
  </conditionalFormatting>
  <conditionalFormatting sqref="A503:A505">
    <cfRule type="expression" dxfId="23" priority="4951" stopIfTrue="1">
      <formula>OR($A503="username", $A503="phonenumber", $A503="start", $A503="end", $A503="deviceid", $A503="subscriberid", $A503="simserial", $A503="caseid")</formula>
    </cfRule>
  </conditionalFormatting>
  <conditionalFormatting sqref="A503:A505">
    <cfRule type="expression" dxfId="24" priority="4952" stopIfTrue="1">
      <formula>OR(AND(LEFT($A503, 16)="select_multiple ", LEN($A503)&gt;16, NOT(ISNUMBER(SEARCH(" ", $A503, 17)))), AND(LEFT($A503, 11)="select_one ", LEN($A503)&gt;11, NOT(ISNUMBER(SEARCH(" ", $A503, 12)))))</formula>
    </cfRule>
  </conditionalFormatting>
  <conditionalFormatting sqref="A503:A505">
    <cfRule type="expression" dxfId="25" priority="4953" stopIfTrue="1">
      <formula>$A503="decimal"</formula>
    </cfRule>
  </conditionalFormatting>
  <conditionalFormatting sqref="A503:A505">
    <cfRule type="expression" dxfId="26" priority="4954" stopIfTrue="1">
      <formula>$A503="integer"</formula>
    </cfRule>
  </conditionalFormatting>
  <conditionalFormatting sqref="A503:A505">
    <cfRule type="expression" dxfId="27" priority="4955" stopIfTrue="1">
      <formula>$A503="text"</formula>
    </cfRule>
  </conditionalFormatting>
  <conditionalFormatting sqref="A503:A505">
    <cfRule type="expression" dxfId="28" priority="4956" stopIfTrue="1">
      <formula>$A503="end repeat"</formula>
    </cfRule>
  </conditionalFormatting>
  <conditionalFormatting sqref="A503:A505">
    <cfRule type="expression" dxfId="28" priority="4957" stopIfTrue="1">
      <formula>$A503="begin repeat"</formula>
    </cfRule>
  </conditionalFormatting>
  <conditionalFormatting sqref="A503:A505">
    <cfRule type="expression" dxfId="29" priority="4958" stopIfTrue="1">
      <formula>$A503="end group"</formula>
    </cfRule>
  </conditionalFormatting>
  <conditionalFormatting sqref="A503:A505">
    <cfRule type="expression" dxfId="29" priority="4959" stopIfTrue="1">
      <formula>$A503="begin group"</formula>
    </cfRule>
  </conditionalFormatting>
  <conditionalFormatting sqref="A493:A497">
    <cfRule type="expression" dxfId="33" priority="4960" stopIfTrue="1">
      <formula>$A493="file"</formula>
    </cfRule>
  </conditionalFormatting>
  <conditionalFormatting sqref="A493:A497">
    <cfRule type="expression" dxfId="34" priority="4961" stopIfTrue="1">
      <formula>$A493="enumerator"</formula>
    </cfRule>
  </conditionalFormatting>
  <conditionalFormatting sqref="A493:A497">
    <cfRule type="expression" dxfId="35" priority="4962" stopIfTrue="1">
      <formula>OR(AND(LEFT($A493, 14)="sensor_stream ", LEN($A493)&gt;14, NOT(ISNUMBER(SEARCH(" ", $A493, 15)))), AND(LEFT($A493, 17)="sensor_statistic ", LEN($A493)&gt;17, NOT(ISNUMBER(SEARCH(" ", $A493, 18)))))</formula>
    </cfRule>
  </conditionalFormatting>
  <conditionalFormatting sqref="A493:A497">
    <cfRule type="expression" dxfId="14" priority="4963" stopIfTrue="1">
      <formula>$A493="comments"</formula>
    </cfRule>
  </conditionalFormatting>
  <conditionalFormatting sqref="A493:A497">
    <cfRule type="expression" dxfId="15" priority="4964" stopIfTrue="1">
      <formula>OR($A493="audio", $A493="video")</formula>
    </cfRule>
  </conditionalFormatting>
  <conditionalFormatting sqref="A493:A497">
    <cfRule type="expression" dxfId="16" priority="4965" stopIfTrue="1">
      <formula>$A493="image"</formula>
    </cfRule>
  </conditionalFormatting>
  <conditionalFormatting sqref="A493:A497">
    <cfRule type="expression" dxfId="17" priority="4966" stopIfTrue="1">
      <formula>OR($A493="date", $A493="datetime", $A493="time")</formula>
    </cfRule>
  </conditionalFormatting>
  <conditionalFormatting sqref="A493:A497">
    <cfRule type="expression" dxfId="18" priority="4967" stopIfTrue="1">
      <formula>OR($A493="calculate", $A493="calculate_here")</formula>
    </cfRule>
  </conditionalFormatting>
  <conditionalFormatting sqref="A493:A497">
    <cfRule type="expression" dxfId="19" priority="4968" stopIfTrue="1">
      <formula>$A493="note"</formula>
    </cfRule>
  </conditionalFormatting>
  <conditionalFormatting sqref="A493:A497">
    <cfRule type="expression" dxfId="20" priority="4969" stopIfTrue="1">
      <formula>$A493="barcode"</formula>
    </cfRule>
  </conditionalFormatting>
  <conditionalFormatting sqref="A493:A497">
    <cfRule type="expression" dxfId="21" priority="4970" stopIfTrue="1">
      <formula>OR($A493="geopoint", $A493="geoshape", $A493="geotrace")</formula>
    </cfRule>
  </conditionalFormatting>
  <conditionalFormatting sqref="A493:A497">
    <cfRule type="expression" dxfId="22" priority="4971" stopIfTrue="1">
      <formula>OR($A493="audio audit", $A493="text audit", $A493="speed violations count", $A493="speed violations list", $A493="speed violations audit")</formula>
    </cfRule>
  </conditionalFormatting>
  <conditionalFormatting sqref="A493:A497">
    <cfRule type="expression" dxfId="23" priority="4972" stopIfTrue="1">
      <formula>OR($A493="username", $A493="phonenumber", $A493="start", $A493="end", $A493="deviceid", $A493="subscriberid", $A493="simserial", $A493="caseid")</formula>
    </cfRule>
  </conditionalFormatting>
  <conditionalFormatting sqref="A493:A497">
    <cfRule type="expression" dxfId="24" priority="4973" stopIfTrue="1">
      <formula>OR(AND(LEFT($A493, 16)="select_multiple ", LEN($A493)&gt;16, NOT(ISNUMBER(SEARCH(" ", $A493, 17)))), AND(LEFT($A493, 11)="select_one ", LEN($A493)&gt;11, NOT(ISNUMBER(SEARCH(" ", $A493, 12)))))</formula>
    </cfRule>
  </conditionalFormatting>
  <conditionalFormatting sqref="A493:A497">
    <cfRule type="expression" dxfId="25" priority="4974" stopIfTrue="1">
      <formula>$A493="decimal"</formula>
    </cfRule>
  </conditionalFormatting>
  <conditionalFormatting sqref="A493:A497">
    <cfRule type="expression" dxfId="26" priority="4975" stopIfTrue="1">
      <formula>$A493="integer"</formula>
    </cfRule>
  </conditionalFormatting>
  <conditionalFormatting sqref="A493:A497">
    <cfRule type="expression" dxfId="27" priority="4976" stopIfTrue="1">
      <formula>$A493="text"</formula>
    </cfRule>
  </conditionalFormatting>
  <conditionalFormatting sqref="A493:A497">
    <cfRule type="expression" dxfId="28" priority="4977" stopIfTrue="1">
      <formula>$A493="end repeat"</formula>
    </cfRule>
  </conditionalFormatting>
  <conditionalFormatting sqref="A493:A497">
    <cfRule type="expression" dxfId="28" priority="4978" stopIfTrue="1">
      <formula>$A493="begin repeat"</formula>
    </cfRule>
  </conditionalFormatting>
  <conditionalFormatting sqref="A493:A497">
    <cfRule type="expression" dxfId="29" priority="4979" stopIfTrue="1">
      <formula>$A493="end group"</formula>
    </cfRule>
  </conditionalFormatting>
  <conditionalFormatting sqref="A493:A497">
    <cfRule type="expression" dxfId="29" priority="4980" stopIfTrue="1">
      <formula>$A493="begin group"</formula>
    </cfRule>
  </conditionalFormatting>
  <conditionalFormatting sqref="A487:A488">
    <cfRule type="expression" dxfId="33" priority="4981" stopIfTrue="1">
      <formula>$A487="file"</formula>
    </cfRule>
  </conditionalFormatting>
  <conditionalFormatting sqref="A487:A488">
    <cfRule type="expression" dxfId="34" priority="4982" stopIfTrue="1">
      <formula>$A487="enumerator"</formula>
    </cfRule>
  </conditionalFormatting>
  <conditionalFormatting sqref="A487:A488">
    <cfRule type="expression" dxfId="35" priority="4983" stopIfTrue="1">
      <formula>OR(AND(LEFT($A487, 14)="sensor_stream ", LEN($A487)&gt;14, NOT(ISNUMBER(SEARCH(" ", $A487, 15)))), AND(LEFT($A487, 17)="sensor_statistic ", LEN($A487)&gt;17, NOT(ISNUMBER(SEARCH(" ", $A487, 18)))))</formula>
    </cfRule>
  </conditionalFormatting>
  <conditionalFormatting sqref="A487:A488">
    <cfRule type="expression" dxfId="14" priority="4984" stopIfTrue="1">
      <formula>$A487="comments"</formula>
    </cfRule>
  </conditionalFormatting>
  <conditionalFormatting sqref="A487:A488">
    <cfRule type="expression" dxfId="15" priority="4985" stopIfTrue="1">
      <formula>OR($A487="audio", $A487="video")</formula>
    </cfRule>
  </conditionalFormatting>
  <conditionalFormatting sqref="A487:A488">
    <cfRule type="expression" dxfId="16" priority="4986" stopIfTrue="1">
      <formula>$A487="image"</formula>
    </cfRule>
  </conditionalFormatting>
  <conditionalFormatting sqref="A487:A488">
    <cfRule type="expression" dxfId="17" priority="4987" stopIfTrue="1">
      <formula>OR($A487="date", $A487="datetime", $A487="time")</formula>
    </cfRule>
  </conditionalFormatting>
  <conditionalFormatting sqref="A487:A488">
    <cfRule type="expression" dxfId="18" priority="4988" stopIfTrue="1">
      <formula>OR($A487="calculate", $A487="calculate_here")</formula>
    </cfRule>
  </conditionalFormatting>
  <conditionalFormatting sqref="A487:A488">
    <cfRule type="expression" dxfId="19" priority="4989" stopIfTrue="1">
      <formula>$A487="note"</formula>
    </cfRule>
  </conditionalFormatting>
  <conditionalFormatting sqref="A487:A488">
    <cfRule type="expression" dxfId="20" priority="4990" stopIfTrue="1">
      <formula>$A487="barcode"</formula>
    </cfRule>
  </conditionalFormatting>
  <conditionalFormatting sqref="A487:A488">
    <cfRule type="expression" dxfId="21" priority="4991" stopIfTrue="1">
      <formula>OR($A487="geopoint", $A487="geoshape", $A487="geotrace")</formula>
    </cfRule>
  </conditionalFormatting>
  <conditionalFormatting sqref="A487:A488">
    <cfRule type="expression" dxfId="22" priority="4992" stopIfTrue="1">
      <formula>OR($A487="audio audit", $A487="text audit", $A487="speed violations count", $A487="speed violations list", $A487="speed violations audit")</formula>
    </cfRule>
  </conditionalFormatting>
  <conditionalFormatting sqref="A487:A488">
    <cfRule type="expression" dxfId="23" priority="4993" stopIfTrue="1">
      <formula>OR($A487="username", $A487="phonenumber", $A487="start", $A487="end", $A487="deviceid", $A487="subscriberid", $A487="simserial", $A487="caseid")</formula>
    </cfRule>
  </conditionalFormatting>
  <conditionalFormatting sqref="A487:A488">
    <cfRule type="expression" dxfId="24" priority="4994" stopIfTrue="1">
      <formula>OR(AND(LEFT($A487, 16)="select_multiple ", LEN($A487)&gt;16, NOT(ISNUMBER(SEARCH(" ", $A487, 17)))), AND(LEFT($A487, 11)="select_one ", LEN($A487)&gt;11, NOT(ISNUMBER(SEARCH(" ", $A487, 12)))))</formula>
    </cfRule>
  </conditionalFormatting>
  <conditionalFormatting sqref="A487:A488">
    <cfRule type="expression" dxfId="25" priority="4995" stopIfTrue="1">
      <formula>$A487="decimal"</formula>
    </cfRule>
  </conditionalFormatting>
  <conditionalFormatting sqref="A487:A488">
    <cfRule type="expression" dxfId="26" priority="4996" stopIfTrue="1">
      <formula>$A487="integer"</formula>
    </cfRule>
  </conditionalFormatting>
  <conditionalFormatting sqref="A487:A488">
    <cfRule type="expression" dxfId="27" priority="4997" stopIfTrue="1">
      <formula>$A487="text"</formula>
    </cfRule>
  </conditionalFormatting>
  <conditionalFormatting sqref="A487:A488">
    <cfRule type="expression" dxfId="28" priority="4998" stopIfTrue="1">
      <formula>$A487="end repeat"</formula>
    </cfRule>
  </conditionalFormatting>
  <conditionalFormatting sqref="A487:A488">
    <cfRule type="expression" dxfId="28" priority="4999" stopIfTrue="1">
      <formula>$A487="begin repeat"</formula>
    </cfRule>
  </conditionalFormatting>
  <conditionalFormatting sqref="A487:A488">
    <cfRule type="expression" dxfId="29" priority="5000" stopIfTrue="1">
      <formula>$A487="end group"</formula>
    </cfRule>
  </conditionalFormatting>
  <conditionalFormatting sqref="A487:A488">
    <cfRule type="expression" dxfId="29" priority="5001" stopIfTrue="1">
      <formula>$A487="begin group"</formula>
    </cfRule>
  </conditionalFormatting>
  <conditionalFormatting sqref="A483:A485">
    <cfRule type="expression" dxfId="33" priority="5002" stopIfTrue="1">
      <formula>$A483="file"</formula>
    </cfRule>
  </conditionalFormatting>
  <conditionalFormatting sqref="A483:A485">
    <cfRule type="expression" dxfId="34" priority="5003" stopIfTrue="1">
      <formula>$A483="enumerator"</formula>
    </cfRule>
  </conditionalFormatting>
  <conditionalFormatting sqref="A483:A485">
    <cfRule type="expression" dxfId="35" priority="5004" stopIfTrue="1">
      <formula>OR(AND(LEFT($A483, 14)="sensor_stream ", LEN($A483)&gt;14, NOT(ISNUMBER(SEARCH(" ", $A483, 15)))), AND(LEFT($A483, 17)="sensor_statistic ", LEN($A483)&gt;17, NOT(ISNUMBER(SEARCH(" ", $A483, 18)))))</formula>
    </cfRule>
  </conditionalFormatting>
  <conditionalFormatting sqref="A483:A485">
    <cfRule type="expression" dxfId="14" priority="5005" stopIfTrue="1">
      <formula>$A483="comments"</formula>
    </cfRule>
  </conditionalFormatting>
  <conditionalFormatting sqref="A483:A485">
    <cfRule type="expression" dxfId="15" priority="5006" stopIfTrue="1">
      <formula>OR($A483="audio", $A483="video")</formula>
    </cfRule>
  </conditionalFormatting>
  <conditionalFormatting sqref="A483:A485">
    <cfRule type="expression" dxfId="16" priority="5007" stopIfTrue="1">
      <formula>$A483="image"</formula>
    </cfRule>
  </conditionalFormatting>
  <conditionalFormatting sqref="A483:A485">
    <cfRule type="expression" dxfId="17" priority="5008" stopIfTrue="1">
      <formula>OR($A483="date", $A483="datetime", $A483="time")</formula>
    </cfRule>
  </conditionalFormatting>
  <conditionalFormatting sqref="A483:A485">
    <cfRule type="expression" dxfId="18" priority="5009" stopIfTrue="1">
      <formula>OR($A483="calculate", $A483="calculate_here")</formula>
    </cfRule>
  </conditionalFormatting>
  <conditionalFormatting sqref="A483:A485">
    <cfRule type="expression" dxfId="19" priority="5010" stopIfTrue="1">
      <formula>$A483="note"</formula>
    </cfRule>
  </conditionalFormatting>
  <conditionalFormatting sqref="A483:A485">
    <cfRule type="expression" dxfId="20" priority="5011" stopIfTrue="1">
      <formula>$A483="barcode"</formula>
    </cfRule>
  </conditionalFormatting>
  <conditionalFormatting sqref="A483:A485">
    <cfRule type="expression" dxfId="21" priority="5012" stopIfTrue="1">
      <formula>OR($A483="geopoint", $A483="geoshape", $A483="geotrace")</formula>
    </cfRule>
  </conditionalFormatting>
  <conditionalFormatting sqref="A483:A485">
    <cfRule type="expression" dxfId="22" priority="5013" stopIfTrue="1">
      <formula>OR($A483="audio audit", $A483="text audit", $A483="speed violations count", $A483="speed violations list", $A483="speed violations audit")</formula>
    </cfRule>
  </conditionalFormatting>
  <conditionalFormatting sqref="A483:A485">
    <cfRule type="expression" dxfId="23" priority="5014" stopIfTrue="1">
      <formula>OR($A483="username", $A483="phonenumber", $A483="start", $A483="end", $A483="deviceid", $A483="subscriberid", $A483="simserial", $A483="caseid")</formula>
    </cfRule>
  </conditionalFormatting>
  <conditionalFormatting sqref="A483:A485">
    <cfRule type="expression" dxfId="24" priority="5015" stopIfTrue="1">
      <formula>OR(AND(LEFT($A483, 16)="select_multiple ", LEN($A483)&gt;16, NOT(ISNUMBER(SEARCH(" ", $A483, 17)))), AND(LEFT($A483, 11)="select_one ", LEN($A483)&gt;11, NOT(ISNUMBER(SEARCH(" ", $A483, 12)))))</formula>
    </cfRule>
  </conditionalFormatting>
  <conditionalFormatting sqref="A483:A485">
    <cfRule type="expression" dxfId="25" priority="5016" stopIfTrue="1">
      <formula>$A483="decimal"</formula>
    </cfRule>
  </conditionalFormatting>
  <conditionalFormatting sqref="A483:A485">
    <cfRule type="expression" dxfId="26" priority="5017" stopIfTrue="1">
      <formula>$A483="integer"</formula>
    </cfRule>
  </conditionalFormatting>
  <conditionalFormatting sqref="A483:A485">
    <cfRule type="expression" dxfId="27" priority="5018" stopIfTrue="1">
      <formula>$A483="text"</formula>
    </cfRule>
  </conditionalFormatting>
  <conditionalFormatting sqref="A483:A485">
    <cfRule type="expression" dxfId="28" priority="5019" stopIfTrue="1">
      <formula>$A483="end repeat"</formula>
    </cfRule>
  </conditionalFormatting>
  <conditionalFormatting sqref="A483:A485">
    <cfRule type="expression" dxfId="28" priority="5020" stopIfTrue="1">
      <formula>$A483="begin repeat"</formula>
    </cfRule>
  </conditionalFormatting>
  <conditionalFormatting sqref="A483:A485">
    <cfRule type="expression" dxfId="29" priority="5021" stopIfTrue="1">
      <formula>$A483="end group"</formula>
    </cfRule>
  </conditionalFormatting>
  <conditionalFormatting sqref="A483:A485">
    <cfRule type="expression" dxfId="29" priority="5022" stopIfTrue="1">
      <formula>$A483="begin group"</formula>
    </cfRule>
  </conditionalFormatting>
  <conditionalFormatting sqref="A481">
    <cfRule type="expression" dxfId="33" priority="5023" stopIfTrue="1">
      <formula>$A481="file"</formula>
    </cfRule>
  </conditionalFormatting>
  <conditionalFormatting sqref="A481">
    <cfRule type="expression" dxfId="34" priority="5024" stopIfTrue="1">
      <formula>$A481="enumerator"</formula>
    </cfRule>
  </conditionalFormatting>
  <conditionalFormatting sqref="A481">
    <cfRule type="expression" dxfId="35" priority="5025" stopIfTrue="1">
      <formula>OR(AND(LEFT($A481, 14)="sensor_stream ", LEN($A481)&gt;14, NOT(ISNUMBER(SEARCH(" ", $A481, 15)))), AND(LEFT($A481, 17)="sensor_statistic ", LEN($A481)&gt;17, NOT(ISNUMBER(SEARCH(" ", $A481, 18)))))</formula>
    </cfRule>
  </conditionalFormatting>
  <conditionalFormatting sqref="A481">
    <cfRule type="expression" dxfId="14" priority="5026" stopIfTrue="1">
      <formula>$A481="comments"</formula>
    </cfRule>
  </conditionalFormatting>
  <conditionalFormatting sqref="A481">
    <cfRule type="expression" dxfId="15" priority="5027" stopIfTrue="1">
      <formula>OR($A481="audio", $A481="video")</formula>
    </cfRule>
  </conditionalFormatting>
  <conditionalFormatting sqref="A481">
    <cfRule type="expression" dxfId="16" priority="5028" stopIfTrue="1">
      <formula>$A481="image"</formula>
    </cfRule>
  </conditionalFormatting>
  <conditionalFormatting sqref="A481">
    <cfRule type="expression" dxfId="17" priority="5029" stopIfTrue="1">
      <formula>OR($A481="date", $A481="datetime", $A481="time")</formula>
    </cfRule>
  </conditionalFormatting>
  <conditionalFormatting sqref="A481">
    <cfRule type="expression" dxfId="18" priority="5030" stopIfTrue="1">
      <formula>OR($A481="calculate", $A481="calculate_here")</formula>
    </cfRule>
  </conditionalFormatting>
  <conditionalFormatting sqref="A481">
    <cfRule type="expression" dxfId="19" priority="5031" stopIfTrue="1">
      <formula>$A481="note"</formula>
    </cfRule>
  </conditionalFormatting>
  <conditionalFormatting sqref="A481">
    <cfRule type="expression" dxfId="20" priority="5032" stopIfTrue="1">
      <formula>$A481="barcode"</formula>
    </cfRule>
  </conditionalFormatting>
  <conditionalFormatting sqref="A481">
    <cfRule type="expression" dxfId="21" priority="5033" stopIfTrue="1">
      <formula>OR($A481="geopoint", $A481="geoshape", $A481="geotrace")</formula>
    </cfRule>
  </conditionalFormatting>
  <conditionalFormatting sqref="A481">
    <cfRule type="expression" dxfId="22" priority="5034" stopIfTrue="1">
      <formula>OR($A481="audio audit", $A481="text audit", $A481="speed violations count", $A481="speed violations list", $A481="speed violations audit")</formula>
    </cfRule>
  </conditionalFormatting>
  <conditionalFormatting sqref="A481">
    <cfRule type="expression" dxfId="23" priority="5035" stopIfTrue="1">
      <formula>OR($A481="username", $A481="phonenumber", $A481="start", $A481="end", $A481="deviceid", $A481="subscriberid", $A481="simserial", $A481="caseid")</formula>
    </cfRule>
  </conditionalFormatting>
  <conditionalFormatting sqref="A481">
    <cfRule type="expression" dxfId="24" priority="5036" stopIfTrue="1">
      <formula>OR(AND(LEFT($A481, 16)="select_multiple ", LEN($A481)&gt;16, NOT(ISNUMBER(SEARCH(" ", $A481, 17)))), AND(LEFT($A481, 11)="select_one ", LEN($A481)&gt;11, NOT(ISNUMBER(SEARCH(" ", $A481, 12)))))</formula>
    </cfRule>
  </conditionalFormatting>
  <conditionalFormatting sqref="A481">
    <cfRule type="expression" dxfId="25" priority="5037" stopIfTrue="1">
      <formula>$A481="decimal"</formula>
    </cfRule>
  </conditionalFormatting>
  <conditionalFormatting sqref="A481">
    <cfRule type="expression" dxfId="26" priority="5038" stopIfTrue="1">
      <formula>$A481="integer"</formula>
    </cfRule>
  </conditionalFormatting>
  <conditionalFormatting sqref="A481">
    <cfRule type="expression" dxfId="27" priority="5039" stopIfTrue="1">
      <formula>$A481="text"</formula>
    </cfRule>
  </conditionalFormatting>
  <conditionalFormatting sqref="A481">
    <cfRule type="expression" dxfId="28" priority="5040" stopIfTrue="1">
      <formula>$A481="end repeat"</formula>
    </cfRule>
  </conditionalFormatting>
  <conditionalFormatting sqref="A481">
    <cfRule type="expression" dxfId="28" priority="5041" stopIfTrue="1">
      <formula>$A481="begin repeat"</formula>
    </cfRule>
  </conditionalFormatting>
  <conditionalFormatting sqref="A481">
    <cfRule type="expression" dxfId="29" priority="5042" stopIfTrue="1">
      <formula>$A481="end group"</formula>
    </cfRule>
  </conditionalFormatting>
  <conditionalFormatting sqref="A481">
    <cfRule type="expression" dxfId="29" priority="5043" stopIfTrue="1">
      <formula>$A481="begin group"</formula>
    </cfRule>
  </conditionalFormatting>
  <conditionalFormatting sqref="A478:A479">
    <cfRule type="expression" dxfId="33" priority="5044" stopIfTrue="1">
      <formula>$A478="file"</formula>
    </cfRule>
  </conditionalFormatting>
  <conditionalFormatting sqref="A478:A479">
    <cfRule type="expression" dxfId="34" priority="5045" stopIfTrue="1">
      <formula>$A478="enumerator"</formula>
    </cfRule>
  </conditionalFormatting>
  <conditionalFormatting sqref="A478:A479">
    <cfRule type="expression" dxfId="35" priority="5046" stopIfTrue="1">
      <formula>OR(AND(LEFT($A478, 14)="sensor_stream ", LEN($A478)&gt;14, NOT(ISNUMBER(SEARCH(" ", $A478, 15)))), AND(LEFT($A478, 17)="sensor_statistic ", LEN($A478)&gt;17, NOT(ISNUMBER(SEARCH(" ", $A478, 18)))))</formula>
    </cfRule>
  </conditionalFormatting>
  <conditionalFormatting sqref="A478:A479">
    <cfRule type="expression" dxfId="14" priority="5047" stopIfTrue="1">
      <formula>$A478="comments"</formula>
    </cfRule>
  </conditionalFormatting>
  <conditionalFormatting sqref="A478:A479">
    <cfRule type="expression" dxfId="15" priority="5048" stopIfTrue="1">
      <formula>OR($A478="audio", $A478="video")</formula>
    </cfRule>
  </conditionalFormatting>
  <conditionalFormatting sqref="A478:A479">
    <cfRule type="expression" dxfId="16" priority="5049" stopIfTrue="1">
      <formula>$A478="image"</formula>
    </cfRule>
  </conditionalFormatting>
  <conditionalFormatting sqref="A478:A479">
    <cfRule type="expression" dxfId="17" priority="5050" stopIfTrue="1">
      <formula>OR($A478="date", $A478="datetime", $A478="time")</formula>
    </cfRule>
  </conditionalFormatting>
  <conditionalFormatting sqref="A478:A479">
    <cfRule type="expression" dxfId="18" priority="5051" stopIfTrue="1">
      <formula>OR($A478="calculate", $A478="calculate_here")</formula>
    </cfRule>
  </conditionalFormatting>
  <conditionalFormatting sqref="A478:A479">
    <cfRule type="expression" dxfId="19" priority="5052" stopIfTrue="1">
      <formula>$A478="note"</formula>
    </cfRule>
  </conditionalFormatting>
  <conditionalFormatting sqref="A478:A479">
    <cfRule type="expression" dxfId="20" priority="5053" stopIfTrue="1">
      <formula>$A478="barcode"</formula>
    </cfRule>
  </conditionalFormatting>
  <conditionalFormatting sqref="A478:A479">
    <cfRule type="expression" dxfId="21" priority="5054" stopIfTrue="1">
      <formula>OR($A478="geopoint", $A478="geoshape", $A478="geotrace")</formula>
    </cfRule>
  </conditionalFormatting>
  <conditionalFormatting sqref="A478:A479">
    <cfRule type="expression" dxfId="22" priority="5055" stopIfTrue="1">
      <formula>OR($A478="audio audit", $A478="text audit", $A478="speed violations count", $A478="speed violations list", $A478="speed violations audit")</formula>
    </cfRule>
  </conditionalFormatting>
  <conditionalFormatting sqref="A478:A479">
    <cfRule type="expression" dxfId="23" priority="5056" stopIfTrue="1">
      <formula>OR($A478="username", $A478="phonenumber", $A478="start", $A478="end", $A478="deviceid", $A478="subscriberid", $A478="simserial", $A478="caseid")</formula>
    </cfRule>
  </conditionalFormatting>
  <conditionalFormatting sqref="A478:A479">
    <cfRule type="expression" dxfId="24" priority="5057" stopIfTrue="1">
      <formula>OR(AND(LEFT($A478, 16)="select_multiple ", LEN($A478)&gt;16, NOT(ISNUMBER(SEARCH(" ", $A478, 17)))), AND(LEFT($A478, 11)="select_one ", LEN($A478)&gt;11, NOT(ISNUMBER(SEARCH(" ", $A478, 12)))))</formula>
    </cfRule>
  </conditionalFormatting>
  <conditionalFormatting sqref="A478:A479">
    <cfRule type="expression" dxfId="25" priority="5058" stopIfTrue="1">
      <formula>$A478="decimal"</formula>
    </cfRule>
  </conditionalFormatting>
  <conditionalFormatting sqref="A478:A479">
    <cfRule type="expression" dxfId="26" priority="5059" stopIfTrue="1">
      <formula>$A478="integer"</formula>
    </cfRule>
  </conditionalFormatting>
  <conditionalFormatting sqref="A478:A479">
    <cfRule type="expression" dxfId="27" priority="5060" stopIfTrue="1">
      <formula>$A478="text"</formula>
    </cfRule>
  </conditionalFormatting>
  <conditionalFormatting sqref="A478:A479">
    <cfRule type="expression" dxfId="28" priority="5061" stopIfTrue="1">
      <formula>$A478="end repeat"</formula>
    </cfRule>
  </conditionalFormatting>
  <conditionalFormatting sqref="A478:A479">
    <cfRule type="expression" dxfId="28" priority="5062" stopIfTrue="1">
      <formula>$A478="begin repeat"</formula>
    </cfRule>
  </conditionalFormatting>
  <conditionalFormatting sqref="A478:A479">
    <cfRule type="expression" dxfId="29" priority="5063" stopIfTrue="1">
      <formula>$A478="end group"</formula>
    </cfRule>
  </conditionalFormatting>
  <conditionalFormatting sqref="A478:A479">
    <cfRule type="expression" dxfId="29" priority="5064" stopIfTrue="1">
      <formula>$A478="begin group"</formula>
    </cfRule>
  </conditionalFormatting>
  <conditionalFormatting sqref="A471:A473">
    <cfRule type="expression" dxfId="33" priority="5065" stopIfTrue="1">
      <formula>$A471="file"</formula>
    </cfRule>
  </conditionalFormatting>
  <conditionalFormatting sqref="A471:A473">
    <cfRule type="expression" dxfId="34" priority="5066" stopIfTrue="1">
      <formula>$A471="enumerator"</formula>
    </cfRule>
  </conditionalFormatting>
  <conditionalFormatting sqref="A471:A473">
    <cfRule type="expression" dxfId="35" priority="5067" stopIfTrue="1">
      <formula>OR(AND(LEFT($A471, 14)="sensor_stream ", LEN($A471)&gt;14, NOT(ISNUMBER(SEARCH(" ", $A471, 15)))), AND(LEFT($A471, 17)="sensor_statistic ", LEN($A471)&gt;17, NOT(ISNUMBER(SEARCH(" ", $A471, 18)))))</formula>
    </cfRule>
  </conditionalFormatting>
  <conditionalFormatting sqref="A471:A473">
    <cfRule type="expression" dxfId="14" priority="5068" stopIfTrue="1">
      <formula>$A471="comments"</formula>
    </cfRule>
  </conditionalFormatting>
  <conditionalFormatting sqref="A471:A473">
    <cfRule type="expression" dxfId="15" priority="5069" stopIfTrue="1">
      <formula>OR($A471="audio", $A471="video")</formula>
    </cfRule>
  </conditionalFormatting>
  <conditionalFormatting sqref="A471:A473">
    <cfRule type="expression" dxfId="16" priority="5070" stopIfTrue="1">
      <formula>$A471="image"</formula>
    </cfRule>
  </conditionalFormatting>
  <conditionalFormatting sqref="A471:A473">
    <cfRule type="expression" dxfId="17" priority="5071" stopIfTrue="1">
      <formula>OR($A471="date", $A471="datetime", $A471="time")</formula>
    </cfRule>
  </conditionalFormatting>
  <conditionalFormatting sqref="A471:A473">
    <cfRule type="expression" dxfId="18" priority="5072" stopIfTrue="1">
      <formula>OR($A471="calculate", $A471="calculate_here")</formula>
    </cfRule>
  </conditionalFormatting>
  <conditionalFormatting sqref="A471:A473">
    <cfRule type="expression" dxfId="19" priority="5073" stopIfTrue="1">
      <formula>$A471="note"</formula>
    </cfRule>
  </conditionalFormatting>
  <conditionalFormatting sqref="A471:A473">
    <cfRule type="expression" dxfId="20" priority="5074" stopIfTrue="1">
      <formula>$A471="barcode"</formula>
    </cfRule>
  </conditionalFormatting>
  <conditionalFormatting sqref="A471:A473">
    <cfRule type="expression" dxfId="21" priority="5075" stopIfTrue="1">
      <formula>OR($A471="geopoint", $A471="geoshape", $A471="geotrace")</formula>
    </cfRule>
  </conditionalFormatting>
  <conditionalFormatting sqref="A471:A473">
    <cfRule type="expression" dxfId="22" priority="5076" stopIfTrue="1">
      <formula>OR($A471="audio audit", $A471="text audit", $A471="speed violations count", $A471="speed violations list", $A471="speed violations audit")</formula>
    </cfRule>
  </conditionalFormatting>
  <conditionalFormatting sqref="A471:A473">
    <cfRule type="expression" dxfId="23" priority="5077" stopIfTrue="1">
      <formula>OR($A471="username", $A471="phonenumber", $A471="start", $A471="end", $A471="deviceid", $A471="subscriberid", $A471="simserial", $A471="caseid")</formula>
    </cfRule>
  </conditionalFormatting>
  <conditionalFormatting sqref="A471:A473">
    <cfRule type="expression" dxfId="24" priority="5078" stopIfTrue="1">
      <formula>OR(AND(LEFT($A471, 16)="select_multiple ", LEN($A471)&gt;16, NOT(ISNUMBER(SEARCH(" ", $A471, 17)))), AND(LEFT($A471, 11)="select_one ", LEN($A471)&gt;11, NOT(ISNUMBER(SEARCH(" ", $A471, 12)))))</formula>
    </cfRule>
  </conditionalFormatting>
  <conditionalFormatting sqref="A471:A473">
    <cfRule type="expression" dxfId="25" priority="5079" stopIfTrue="1">
      <formula>$A471="decimal"</formula>
    </cfRule>
  </conditionalFormatting>
  <conditionalFormatting sqref="A471:A473">
    <cfRule type="expression" dxfId="26" priority="5080" stopIfTrue="1">
      <formula>$A471="integer"</formula>
    </cfRule>
  </conditionalFormatting>
  <conditionalFormatting sqref="A471:A473">
    <cfRule type="expression" dxfId="27" priority="5081" stopIfTrue="1">
      <formula>$A471="text"</formula>
    </cfRule>
  </conditionalFormatting>
  <conditionalFormatting sqref="A471:A473">
    <cfRule type="expression" dxfId="28" priority="5082" stopIfTrue="1">
      <formula>$A471="end repeat"</formula>
    </cfRule>
  </conditionalFormatting>
  <conditionalFormatting sqref="A471:A473">
    <cfRule type="expression" dxfId="28" priority="5083" stopIfTrue="1">
      <formula>$A471="begin repeat"</formula>
    </cfRule>
  </conditionalFormatting>
  <conditionalFormatting sqref="A471:A473">
    <cfRule type="expression" dxfId="29" priority="5084" stopIfTrue="1">
      <formula>$A471="end group"</formula>
    </cfRule>
  </conditionalFormatting>
  <conditionalFormatting sqref="A471:A473">
    <cfRule type="expression" dxfId="29" priority="5085" stopIfTrue="1">
      <formula>$A471="begin group"</formula>
    </cfRule>
  </conditionalFormatting>
  <conditionalFormatting sqref="A462:A468">
    <cfRule type="expression" dxfId="33" priority="5086" stopIfTrue="1">
      <formula>$A462="file"</formula>
    </cfRule>
  </conditionalFormatting>
  <conditionalFormatting sqref="A462:A468">
    <cfRule type="expression" dxfId="34" priority="5087" stopIfTrue="1">
      <formula>$A462="enumerator"</formula>
    </cfRule>
  </conditionalFormatting>
  <conditionalFormatting sqref="A462:A468">
    <cfRule type="expression" dxfId="35" priority="5088" stopIfTrue="1">
      <formula>OR(AND(LEFT($A462, 14)="sensor_stream ", LEN($A462)&gt;14, NOT(ISNUMBER(SEARCH(" ", $A462, 15)))), AND(LEFT($A462, 17)="sensor_statistic ", LEN($A462)&gt;17, NOT(ISNUMBER(SEARCH(" ", $A462, 18)))))</formula>
    </cfRule>
  </conditionalFormatting>
  <conditionalFormatting sqref="A462:A468">
    <cfRule type="expression" dxfId="14" priority="5089" stopIfTrue="1">
      <formula>$A462="comments"</formula>
    </cfRule>
  </conditionalFormatting>
  <conditionalFormatting sqref="A462:A468">
    <cfRule type="expression" dxfId="15" priority="5090" stopIfTrue="1">
      <formula>OR($A462="audio", $A462="video")</formula>
    </cfRule>
  </conditionalFormatting>
  <conditionalFormatting sqref="A462:A468">
    <cfRule type="expression" dxfId="16" priority="5091" stopIfTrue="1">
      <formula>$A462="image"</formula>
    </cfRule>
  </conditionalFormatting>
  <conditionalFormatting sqref="A462:A468">
    <cfRule type="expression" dxfId="17" priority="5092" stopIfTrue="1">
      <formula>OR($A462="date", $A462="datetime", $A462="time")</formula>
    </cfRule>
  </conditionalFormatting>
  <conditionalFormatting sqref="A462:A468">
    <cfRule type="expression" dxfId="18" priority="5093" stopIfTrue="1">
      <formula>OR($A462="calculate", $A462="calculate_here")</formula>
    </cfRule>
  </conditionalFormatting>
  <conditionalFormatting sqref="A462:A468">
    <cfRule type="expression" dxfId="19" priority="5094" stopIfTrue="1">
      <formula>$A462="note"</formula>
    </cfRule>
  </conditionalFormatting>
  <conditionalFormatting sqref="A462:A468">
    <cfRule type="expression" dxfId="20" priority="5095" stopIfTrue="1">
      <formula>$A462="barcode"</formula>
    </cfRule>
  </conditionalFormatting>
  <conditionalFormatting sqref="A462:A468">
    <cfRule type="expression" dxfId="21" priority="5096" stopIfTrue="1">
      <formula>OR($A462="geopoint", $A462="geoshape", $A462="geotrace")</formula>
    </cfRule>
  </conditionalFormatting>
  <conditionalFormatting sqref="A462:A468">
    <cfRule type="expression" dxfId="22" priority="5097" stopIfTrue="1">
      <formula>OR($A462="audio audit", $A462="text audit", $A462="speed violations count", $A462="speed violations list", $A462="speed violations audit")</formula>
    </cfRule>
  </conditionalFormatting>
  <conditionalFormatting sqref="A462:A468">
    <cfRule type="expression" dxfId="23" priority="5098" stopIfTrue="1">
      <formula>OR($A462="username", $A462="phonenumber", $A462="start", $A462="end", $A462="deviceid", $A462="subscriberid", $A462="simserial", $A462="caseid")</formula>
    </cfRule>
  </conditionalFormatting>
  <conditionalFormatting sqref="A462:A468">
    <cfRule type="expression" dxfId="24" priority="5099" stopIfTrue="1">
      <formula>OR(AND(LEFT($A462, 16)="select_multiple ", LEN($A462)&gt;16, NOT(ISNUMBER(SEARCH(" ", $A462, 17)))), AND(LEFT($A462, 11)="select_one ", LEN($A462)&gt;11, NOT(ISNUMBER(SEARCH(" ", $A462, 12)))))</formula>
    </cfRule>
  </conditionalFormatting>
  <conditionalFormatting sqref="A462:A468">
    <cfRule type="expression" dxfId="25" priority="5100" stopIfTrue="1">
      <formula>$A462="decimal"</formula>
    </cfRule>
  </conditionalFormatting>
  <conditionalFormatting sqref="A462:A468">
    <cfRule type="expression" dxfId="26" priority="5101" stopIfTrue="1">
      <formula>$A462="integer"</formula>
    </cfRule>
  </conditionalFormatting>
  <conditionalFormatting sqref="A462:A468">
    <cfRule type="expression" dxfId="27" priority="5102" stopIfTrue="1">
      <formula>$A462="text"</formula>
    </cfRule>
  </conditionalFormatting>
  <conditionalFormatting sqref="A462:A468">
    <cfRule type="expression" dxfId="28" priority="5103" stopIfTrue="1">
      <formula>$A462="end repeat"</formula>
    </cfRule>
  </conditionalFormatting>
  <conditionalFormatting sqref="A462:A468">
    <cfRule type="expression" dxfId="28" priority="5104" stopIfTrue="1">
      <formula>$A462="begin repeat"</formula>
    </cfRule>
  </conditionalFormatting>
  <conditionalFormatting sqref="A462:A468">
    <cfRule type="expression" dxfId="29" priority="5105" stopIfTrue="1">
      <formula>$A462="end group"</formula>
    </cfRule>
  </conditionalFormatting>
  <conditionalFormatting sqref="A462:A468">
    <cfRule type="expression" dxfId="29" priority="5106" stopIfTrue="1">
      <formula>$A462="begin group"</formula>
    </cfRule>
  </conditionalFormatting>
  <conditionalFormatting sqref="A456:A457">
    <cfRule type="expression" dxfId="33" priority="5107" stopIfTrue="1">
      <formula>$A456="file"</formula>
    </cfRule>
  </conditionalFormatting>
  <conditionalFormatting sqref="A456:A457">
    <cfRule type="expression" dxfId="34" priority="5108" stopIfTrue="1">
      <formula>$A456="enumerator"</formula>
    </cfRule>
  </conditionalFormatting>
  <conditionalFormatting sqref="A456:A457">
    <cfRule type="expression" dxfId="35" priority="5109" stopIfTrue="1">
      <formula>OR(AND(LEFT($A456, 14)="sensor_stream ", LEN($A456)&gt;14, NOT(ISNUMBER(SEARCH(" ", $A456, 15)))), AND(LEFT($A456, 17)="sensor_statistic ", LEN($A456)&gt;17, NOT(ISNUMBER(SEARCH(" ", $A456, 18)))))</formula>
    </cfRule>
  </conditionalFormatting>
  <conditionalFormatting sqref="A456:A457">
    <cfRule type="expression" dxfId="14" priority="5110" stopIfTrue="1">
      <formula>$A456="comments"</formula>
    </cfRule>
  </conditionalFormatting>
  <conditionalFormatting sqref="A456:A457">
    <cfRule type="expression" dxfId="15" priority="5111" stopIfTrue="1">
      <formula>OR($A456="audio", $A456="video")</formula>
    </cfRule>
  </conditionalFormatting>
  <conditionalFormatting sqref="A456:A457">
    <cfRule type="expression" dxfId="16" priority="5112" stopIfTrue="1">
      <formula>$A456="image"</formula>
    </cfRule>
  </conditionalFormatting>
  <conditionalFormatting sqref="A456:A457">
    <cfRule type="expression" dxfId="17" priority="5113" stopIfTrue="1">
      <formula>OR($A456="date", $A456="datetime", $A456="time")</formula>
    </cfRule>
  </conditionalFormatting>
  <conditionalFormatting sqref="A456:A457">
    <cfRule type="expression" dxfId="18" priority="5114" stopIfTrue="1">
      <formula>OR($A456="calculate", $A456="calculate_here")</formula>
    </cfRule>
  </conditionalFormatting>
  <conditionalFormatting sqref="A456:A457">
    <cfRule type="expression" dxfId="19" priority="5115" stopIfTrue="1">
      <formula>$A456="note"</formula>
    </cfRule>
  </conditionalFormatting>
  <conditionalFormatting sqref="A456:A457">
    <cfRule type="expression" dxfId="20" priority="5116" stopIfTrue="1">
      <formula>$A456="barcode"</formula>
    </cfRule>
  </conditionalFormatting>
  <conditionalFormatting sqref="A456:A457">
    <cfRule type="expression" dxfId="21" priority="5117" stopIfTrue="1">
      <formula>OR($A456="geopoint", $A456="geoshape", $A456="geotrace")</formula>
    </cfRule>
  </conditionalFormatting>
  <conditionalFormatting sqref="A456:A457">
    <cfRule type="expression" dxfId="22" priority="5118" stopIfTrue="1">
      <formula>OR($A456="audio audit", $A456="text audit", $A456="speed violations count", $A456="speed violations list", $A456="speed violations audit")</formula>
    </cfRule>
  </conditionalFormatting>
  <conditionalFormatting sqref="A456:A457">
    <cfRule type="expression" dxfId="23" priority="5119" stopIfTrue="1">
      <formula>OR($A456="username", $A456="phonenumber", $A456="start", $A456="end", $A456="deviceid", $A456="subscriberid", $A456="simserial", $A456="caseid")</formula>
    </cfRule>
  </conditionalFormatting>
  <conditionalFormatting sqref="A456:A457">
    <cfRule type="expression" dxfId="24" priority="5120" stopIfTrue="1">
      <formula>OR(AND(LEFT($A456, 16)="select_multiple ", LEN($A456)&gt;16, NOT(ISNUMBER(SEARCH(" ", $A456, 17)))), AND(LEFT($A456, 11)="select_one ", LEN($A456)&gt;11, NOT(ISNUMBER(SEARCH(" ", $A456, 12)))))</formula>
    </cfRule>
  </conditionalFormatting>
  <conditionalFormatting sqref="A456:A457">
    <cfRule type="expression" dxfId="25" priority="5121" stopIfTrue="1">
      <formula>$A456="decimal"</formula>
    </cfRule>
  </conditionalFormatting>
  <conditionalFormatting sqref="A456:A457">
    <cfRule type="expression" dxfId="26" priority="5122" stopIfTrue="1">
      <formula>$A456="integer"</formula>
    </cfRule>
  </conditionalFormatting>
  <conditionalFormatting sqref="A456:A457">
    <cfRule type="expression" dxfId="27" priority="5123" stopIfTrue="1">
      <formula>$A456="text"</formula>
    </cfRule>
  </conditionalFormatting>
  <conditionalFormatting sqref="A456:A457">
    <cfRule type="expression" dxfId="28" priority="5124" stopIfTrue="1">
      <formula>$A456="end repeat"</formula>
    </cfRule>
  </conditionalFormatting>
  <conditionalFormatting sqref="A456:A457">
    <cfRule type="expression" dxfId="28" priority="5125" stopIfTrue="1">
      <formula>$A456="begin repeat"</formula>
    </cfRule>
  </conditionalFormatting>
  <conditionalFormatting sqref="A456:A457">
    <cfRule type="expression" dxfId="29" priority="5126" stopIfTrue="1">
      <formula>$A456="end group"</formula>
    </cfRule>
  </conditionalFormatting>
  <conditionalFormatting sqref="A456:A457">
    <cfRule type="expression" dxfId="29" priority="5127" stopIfTrue="1">
      <formula>$A456="begin group"</formula>
    </cfRule>
  </conditionalFormatting>
  <conditionalFormatting sqref="A448:A452">
    <cfRule type="expression" dxfId="33" priority="5128" stopIfTrue="1">
      <formula>$A448="file"</formula>
    </cfRule>
  </conditionalFormatting>
  <conditionalFormatting sqref="A448:A452">
    <cfRule type="expression" dxfId="34" priority="5129" stopIfTrue="1">
      <formula>$A448="enumerator"</formula>
    </cfRule>
  </conditionalFormatting>
  <conditionalFormatting sqref="A448:A452">
    <cfRule type="expression" dxfId="35" priority="5130" stopIfTrue="1">
      <formula>OR(AND(LEFT($A448, 14)="sensor_stream ", LEN($A448)&gt;14, NOT(ISNUMBER(SEARCH(" ", $A448, 15)))), AND(LEFT($A448, 17)="sensor_statistic ", LEN($A448)&gt;17, NOT(ISNUMBER(SEARCH(" ", $A448, 18)))))</formula>
    </cfRule>
  </conditionalFormatting>
  <conditionalFormatting sqref="A448:A452">
    <cfRule type="expression" dxfId="14" priority="5131" stopIfTrue="1">
      <formula>$A448="comments"</formula>
    </cfRule>
  </conditionalFormatting>
  <conditionalFormatting sqref="A448:A452">
    <cfRule type="expression" dxfId="15" priority="5132" stopIfTrue="1">
      <formula>OR($A448="audio", $A448="video")</formula>
    </cfRule>
  </conditionalFormatting>
  <conditionalFormatting sqref="A448:A452">
    <cfRule type="expression" dxfId="16" priority="5133" stopIfTrue="1">
      <formula>$A448="image"</formula>
    </cfRule>
  </conditionalFormatting>
  <conditionalFormatting sqref="A448:A452">
    <cfRule type="expression" dxfId="17" priority="5134" stopIfTrue="1">
      <formula>OR($A448="date", $A448="datetime", $A448="time")</formula>
    </cfRule>
  </conditionalFormatting>
  <conditionalFormatting sqref="A448:A452">
    <cfRule type="expression" dxfId="18" priority="5135" stopIfTrue="1">
      <formula>OR($A448="calculate", $A448="calculate_here")</formula>
    </cfRule>
  </conditionalFormatting>
  <conditionalFormatting sqref="A448:A452">
    <cfRule type="expression" dxfId="19" priority="5136" stopIfTrue="1">
      <formula>$A448="note"</formula>
    </cfRule>
  </conditionalFormatting>
  <conditionalFormatting sqref="A448:A452">
    <cfRule type="expression" dxfId="20" priority="5137" stopIfTrue="1">
      <formula>$A448="barcode"</formula>
    </cfRule>
  </conditionalFormatting>
  <conditionalFormatting sqref="A448:A452">
    <cfRule type="expression" dxfId="21" priority="5138" stopIfTrue="1">
      <formula>OR($A448="geopoint", $A448="geoshape", $A448="geotrace")</formula>
    </cfRule>
  </conditionalFormatting>
  <conditionalFormatting sqref="A448:A452">
    <cfRule type="expression" dxfId="22" priority="5139" stopIfTrue="1">
      <formula>OR($A448="audio audit", $A448="text audit", $A448="speed violations count", $A448="speed violations list", $A448="speed violations audit")</formula>
    </cfRule>
  </conditionalFormatting>
  <conditionalFormatting sqref="A448:A452">
    <cfRule type="expression" dxfId="23" priority="5140" stopIfTrue="1">
      <formula>OR($A448="username", $A448="phonenumber", $A448="start", $A448="end", $A448="deviceid", $A448="subscriberid", $A448="simserial", $A448="caseid")</formula>
    </cfRule>
  </conditionalFormatting>
  <conditionalFormatting sqref="A448:A452">
    <cfRule type="expression" dxfId="24" priority="5141" stopIfTrue="1">
      <formula>OR(AND(LEFT($A448, 16)="select_multiple ", LEN($A448)&gt;16, NOT(ISNUMBER(SEARCH(" ", $A448, 17)))), AND(LEFT($A448, 11)="select_one ", LEN($A448)&gt;11, NOT(ISNUMBER(SEARCH(" ", $A448, 12)))))</formula>
    </cfRule>
  </conditionalFormatting>
  <conditionalFormatting sqref="A448:A452">
    <cfRule type="expression" dxfId="25" priority="5142" stopIfTrue="1">
      <formula>$A448="decimal"</formula>
    </cfRule>
  </conditionalFormatting>
  <conditionalFormatting sqref="A448:A452">
    <cfRule type="expression" dxfId="26" priority="5143" stopIfTrue="1">
      <formula>$A448="integer"</formula>
    </cfRule>
  </conditionalFormatting>
  <conditionalFormatting sqref="A448:A452">
    <cfRule type="expression" dxfId="27" priority="5144" stopIfTrue="1">
      <formula>$A448="text"</formula>
    </cfRule>
  </conditionalFormatting>
  <conditionalFormatting sqref="A448:A452">
    <cfRule type="expression" dxfId="28" priority="5145" stopIfTrue="1">
      <formula>$A448="end repeat"</formula>
    </cfRule>
  </conditionalFormatting>
  <conditionalFormatting sqref="A448:A452">
    <cfRule type="expression" dxfId="28" priority="5146" stopIfTrue="1">
      <formula>$A448="begin repeat"</formula>
    </cfRule>
  </conditionalFormatting>
  <conditionalFormatting sqref="A448:A452">
    <cfRule type="expression" dxfId="29" priority="5147" stopIfTrue="1">
      <formula>$A448="end group"</formula>
    </cfRule>
  </conditionalFormatting>
  <conditionalFormatting sqref="A448:A452">
    <cfRule type="expression" dxfId="29" priority="5148" stopIfTrue="1">
      <formula>$A448="begin group"</formula>
    </cfRule>
  </conditionalFormatting>
  <conditionalFormatting sqref="A426:A432">
    <cfRule type="expression" dxfId="33" priority="5149" stopIfTrue="1">
      <formula>$A426="file"</formula>
    </cfRule>
  </conditionalFormatting>
  <conditionalFormatting sqref="A426:A432">
    <cfRule type="expression" dxfId="34" priority="5150" stopIfTrue="1">
      <formula>$A426="enumerator"</formula>
    </cfRule>
  </conditionalFormatting>
  <conditionalFormatting sqref="A426:A432">
    <cfRule type="expression" dxfId="35" priority="5151" stopIfTrue="1">
      <formula>OR(AND(LEFT($A426, 14)="sensor_stream ", LEN($A426)&gt;14, NOT(ISNUMBER(SEARCH(" ", $A426, 15)))), AND(LEFT($A426, 17)="sensor_statistic ", LEN($A426)&gt;17, NOT(ISNUMBER(SEARCH(" ", $A426, 18)))))</formula>
    </cfRule>
  </conditionalFormatting>
  <conditionalFormatting sqref="A426:A432">
    <cfRule type="expression" dxfId="14" priority="5152" stopIfTrue="1">
      <formula>$A426="comments"</formula>
    </cfRule>
  </conditionalFormatting>
  <conditionalFormatting sqref="A426:A432">
    <cfRule type="expression" dxfId="15" priority="5153" stopIfTrue="1">
      <formula>OR($A426="audio", $A426="video")</formula>
    </cfRule>
  </conditionalFormatting>
  <conditionalFormatting sqref="A426:A432">
    <cfRule type="expression" dxfId="16" priority="5154" stopIfTrue="1">
      <formula>$A426="image"</formula>
    </cfRule>
  </conditionalFormatting>
  <conditionalFormatting sqref="A426:A432">
    <cfRule type="expression" dxfId="17" priority="5155" stopIfTrue="1">
      <formula>OR($A426="date", $A426="datetime", $A426="time")</formula>
    </cfRule>
  </conditionalFormatting>
  <conditionalFormatting sqref="A426:A432">
    <cfRule type="expression" dxfId="18" priority="5156" stopIfTrue="1">
      <formula>OR($A426="calculate", $A426="calculate_here")</formula>
    </cfRule>
  </conditionalFormatting>
  <conditionalFormatting sqref="A426:A432">
    <cfRule type="expression" dxfId="19" priority="5157" stopIfTrue="1">
      <formula>$A426="note"</formula>
    </cfRule>
  </conditionalFormatting>
  <conditionalFormatting sqref="A426:A432">
    <cfRule type="expression" dxfId="20" priority="5158" stopIfTrue="1">
      <formula>$A426="barcode"</formula>
    </cfRule>
  </conditionalFormatting>
  <conditionalFormatting sqref="A426:A432">
    <cfRule type="expression" dxfId="21" priority="5159" stopIfTrue="1">
      <formula>OR($A426="geopoint", $A426="geoshape", $A426="geotrace")</formula>
    </cfRule>
  </conditionalFormatting>
  <conditionalFormatting sqref="A426:A432">
    <cfRule type="expression" dxfId="22" priority="5160" stopIfTrue="1">
      <formula>OR($A426="audio audit", $A426="text audit", $A426="speed violations count", $A426="speed violations list", $A426="speed violations audit")</formula>
    </cfRule>
  </conditionalFormatting>
  <conditionalFormatting sqref="A426:A432">
    <cfRule type="expression" dxfId="23" priority="5161" stopIfTrue="1">
      <formula>OR($A426="username", $A426="phonenumber", $A426="start", $A426="end", $A426="deviceid", $A426="subscriberid", $A426="simserial", $A426="caseid")</formula>
    </cfRule>
  </conditionalFormatting>
  <conditionalFormatting sqref="A426:A432">
    <cfRule type="expression" dxfId="24" priority="5162" stopIfTrue="1">
      <formula>OR(AND(LEFT($A426, 16)="select_multiple ", LEN($A426)&gt;16, NOT(ISNUMBER(SEARCH(" ", $A426, 17)))), AND(LEFT($A426, 11)="select_one ", LEN($A426)&gt;11, NOT(ISNUMBER(SEARCH(" ", $A426, 12)))))</formula>
    </cfRule>
  </conditionalFormatting>
  <conditionalFormatting sqref="A426:A432">
    <cfRule type="expression" dxfId="25" priority="5163" stopIfTrue="1">
      <formula>$A426="decimal"</formula>
    </cfRule>
  </conditionalFormatting>
  <conditionalFormatting sqref="A426:A432">
    <cfRule type="expression" dxfId="26" priority="5164" stopIfTrue="1">
      <formula>$A426="integer"</formula>
    </cfRule>
  </conditionalFormatting>
  <conditionalFormatting sqref="A426:A432">
    <cfRule type="expression" dxfId="27" priority="5165" stopIfTrue="1">
      <formula>$A426="text"</formula>
    </cfRule>
  </conditionalFormatting>
  <conditionalFormatting sqref="A426:A432">
    <cfRule type="expression" dxfId="28" priority="5166" stopIfTrue="1">
      <formula>$A426="end repeat"</formula>
    </cfRule>
  </conditionalFormatting>
  <conditionalFormatting sqref="A426:A432">
    <cfRule type="expression" dxfId="28" priority="5167" stopIfTrue="1">
      <formula>$A426="begin repeat"</formula>
    </cfRule>
  </conditionalFormatting>
  <conditionalFormatting sqref="A426:A432">
    <cfRule type="expression" dxfId="29" priority="5168" stopIfTrue="1">
      <formula>$A426="end group"</formula>
    </cfRule>
  </conditionalFormatting>
  <conditionalFormatting sqref="A426:A432">
    <cfRule type="expression" dxfId="29" priority="5169" stopIfTrue="1">
      <formula>$A426="begin group"</formula>
    </cfRule>
  </conditionalFormatting>
  <conditionalFormatting sqref="A419:A421">
    <cfRule type="expression" dxfId="33" priority="5170" stopIfTrue="1">
      <formula>$A419="file"</formula>
    </cfRule>
  </conditionalFormatting>
  <conditionalFormatting sqref="A419:A421">
    <cfRule type="expression" dxfId="34" priority="5171" stopIfTrue="1">
      <formula>$A419="enumerator"</formula>
    </cfRule>
  </conditionalFormatting>
  <conditionalFormatting sqref="A419:A421">
    <cfRule type="expression" dxfId="35" priority="5172" stopIfTrue="1">
      <formula>OR(AND(LEFT($A419, 14)="sensor_stream ", LEN($A419)&gt;14, NOT(ISNUMBER(SEARCH(" ", $A419, 15)))), AND(LEFT($A419, 17)="sensor_statistic ", LEN($A419)&gt;17, NOT(ISNUMBER(SEARCH(" ", $A419, 18)))))</formula>
    </cfRule>
  </conditionalFormatting>
  <conditionalFormatting sqref="A419:A421">
    <cfRule type="expression" dxfId="14" priority="5173" stopIfTrue="1">
      <formula>$A419="comments"</formula>
    </cfRule>
  </conditionalFormatting>
  <conditionalFormatting sqref="A419:A421">
    <cfRule type="expression" dxfId="15" priority="5174" stopIfTrue="1">
      <formula>OR($A419="audio", $A419="video")</formula>
    </cfRule>
  </conditionalFormatting>
  <conditionalFormatting sqref="A419:A421">
    <cfRule type="expression" dxfId="16" priority="5175" stopIfTrue="1">
      <formula>$A419="image"</formula>
    </cfRule>
  </conditionalFormatting>
  <conditionalFormatting sqref="A419:A421">
    <cfRule type="expression" dxfId="17" priority="5176" stopIfTrue="1">
      <formula>OR($A419="date", $A419="datetime", $A419="time")</formula>
    </cfRule>
  </conditionalFormatting>
  <conditionalFormatting sqref="A419:A421">
    <cfRule type="expression" dxfId="18" priority="5177" stopIfTrue="1">
      <formula>OR($A419="calculate", $A419="calculate_here")</formula>
    </cfRule>
  </conditionalFormatting>
  <conditionalFormatting sqref="A419:A421">
    <cfRule type="expression" dxfId="19" priority="5178" stopIfTrue="1">
      <formula>$A419="note"</formula>
    </cfRule>
  </conditionalFormatting>
  <conditionalFormatting sqref="A419:A421">
    <cfRule type="expression" dxfId="20" priority="5179" stopIfTrue="1">
      <formula>$A419="barcode"</formula>
    </cfRule>
  </conditionalFormatting>
  <conditionalFormatting sqref="A419:A421">
    <cfRule type="expression" dxfId="21" priority="5180" stopIfTrue="1">
      <formula>OR($A419="geopoint", $A419="geoshape", $A419="geotrace")</formula>
    </cfRule>
  </conditionalFormatting>
  <conditionalFormatting sqref="A419:A421">
    <cfRule type="expression" dxfId="22" priority="5181" stopIfTrue="1">
      <formula>OR($A419="audio audit", $A419="text audit", $A419="speed violations count", $A419="speed violations list", $A419="speed violations audit")</formula>
    </cfRule>
  </conditionalFormatting>
  <conditionalFormatting sqref="A419:A421">
    <cfRule type="expression" dxfId="23" priority="5182" stopIfTrue="1">
      <formula>OR($A419="username", $A419="phonenumber", $A419="start", $A419="end", $A419="deviceid", $A419="subscriberid", $A419="simserial", $A419="caseid")</formula>
    </cfRule>
  </conditionalFormatting>
  <conditionalFormatting sqref="A419:A421">
    <cfRule type="expression" dxfId="24" priority="5183" stopIfTrue="1">
      <formula>OR(AND(LEFT($A419, 16)="select_multiple ", LEN($A419)&gt;16, NOT(ISNUMBER(SEARCH(" ", $A419, 17)))), AND(LEFT($A419, 11)="select_one ", LEN($A419)&gt;11, NOT(ISNUMBER(SEARCH(" ", $A419, 12)))))</formula>
    </cfRule>
  </conditionalFormatting>
  <conditionalFormatting sqref="A419:A421">
    <cfRule type="expression" dxfId="25" priority="5184" stopIfTrue="1">
      <formula>$A419="decimal"</formula>
    </cfRule>
  </conditionalFormatting>
  <conditionalFormatting sqref="A419:A421">
    <cfRule type="expression" dxfId="26" priority="5185" stopIfTrue="1">
      <formula>$A419="integer"</formula>
    </cfRule>
  </conditionalFormatting>
  <conditionalFormatting sqref="A419:A421">
    <cfRule type="expression" dxfId="27" priority="5186" stopIfTrue="1">
      <formula>$A419="text"</formula>
    </cfRule>
  </conditionalFormatting>
  <conditionalFormatting sqref="A419:A421">
    <cfRule type="expression" dxfId="28" priority="5187" stopIfTrue="1">
      <formula>$A419="end repeat"</formula>
    </cfRule>
  </conditionalFormatting>
  <conditionalFormatting sqref="A419:A421">
    <cfRule type="expression" dxfId="28" priority="5188" stopIfTrue="1">
      <formula>$A419="begin repeat"</formula>
    </cfRule>
  </conditionalFormatting>
  <conditionalFormatting sqref="A419:A421">
    <cfRule type="expression" dxfId="29" priority="5189" stopIfTrue="1">
      <formula>$A419="end group"</formula>
    </cfRule>
  </conditionalFormatting>
  <conditionalFormatting sqref="A419:A421">
    <cfRule type="expression" dxfId="29" priority="5190" stopIfTrue="1">
      <formula>$A419="begin group"</formula>
    </cfRule>
  </conditionalFormatting>
  <conditionalFormatting sqref="A411:A415">
    <cfRule type="expression" dxfId="33" priority="5191" stopIfTrue="1">
      <formula>$A411="file"</formula>
    </cfRule>
  </conditionalFormatting>
  <conditionalFormatting sqref="A411:A415">
    <cfRule type="expression" dxfId="34" priority="5192" stopIfTrue="1">
      <formula>$A411="enumerator"</formula>
    </cfRule>
  </conditionalFormatting>
  <conditionalFormatting sqref="A411:A415">
    <cfRule type="expression" dxfId="35" priority="5193" stopIfTrue="1">
      <formula>OR(AND(LEFT($A411, 14)="sensor_stream ", LEN($A411)&gt;14, NOT(ISNUMBER(SEARCH(" ", $A411, 15)))), AND(LEFT($A411, 17)="sensor_statistic ", LEN($A411)&gt;17, NOT(ISNUMBER(SEARCH(" ", $A411, 18)))))</formula>
    </cfRule>
  </conditionalFormatting>
  <conditionalFormatting sqref="A411:A415">
    <cfRule type="expression" dxfId="14" priority="5194" stopIfTrue="1">
      <formula>$A411="comments"</formula>
    </cfRule>
  </conditionalFormatting>
  <conditionalFormatting sqref="A411:A415">
    <cfRule type="expression" dxfId="15" priority="5195" stopIfTrue="1">
      <formula>OR($A411="audio", $A411="video")</formula>
    </cfRule>
  </conditionalFormatting>
  <conditionalFormatting sqref="A411:A415">
    <cfRule type="expression" dxfId="16" priority="5196" stopIfTrue="1">
      <formula>$A411="image"</formula>
    </cfRule>
  </conditionalFormatting>
  <conditionalFormatting sqref="A411:A415">
    <cfRule type="expression" dxfId="17" priority="5197" stopIfTrue="1">
      <formula>OR($A411="date", $A411="datetime", $A411="time")</formula>
    </cfRule>
  </conditionalFormatting>
  <conditionalFormatting sqref="A411:A415">
    <cfRule type="expression" dxfId="18" priority="5198" stopIfTrue="1">
      <formula>OR($A411="calculate", $A411="calculate_here")</formula>
    </cfRule>
  </conditionalFormatting>
  <conditionalFormatting sqref="A411:A415">
    <cfRule type="expression" dxfId="19" priority="5199" stopIfTrue="1">
      <formula>$A411="note"</formula>
    </cfRule>
  </conditionalFormatting>
  <conditionalFormatting sqref="A411:A415">
    <cfRule type="expression" dxfId="20" priority="5200" stopIfTrue="1">
      <formula>$A411="barcode"</formula>
    </cfRule>
  </conditionalFormatting>
  <conditionalFormatting sqref="A411:A415">
    <cfRule type="expression" dxfId="21" priority="5201" stopIfTrue="1">
      <formula>OR($A411="geopoint", $A411="geoshape", $A411="geotrace")</formula>
    </cfRule>
  </conditionalFormatting>
  <conditionalFormatting sqref="A411:A415">
    <cfRule type="expression" dxfId="22" priority="5202" stopIfTrue="1">
      <formula>OR($A411="audio audit", $A411="text audit", $A411="speed violations count", $A411="speed violations list", $A411="speed violations audit")</formula>
    </cfRule>
  </conditionalFormatting>
  <conditionalFormatting sqref="A411:A415">
    <cfRule type="expression" dxfId="23" priority="5203" stopIfTrue="1">
      <formula>OR($A411="username", $A411="phonenumber", $A411="start", $A411="end", $A411="deviceid", $A411="subscriberid", $A411="simserial", $A411="caseid")</formula>
    </cfRule>
  </conditionalFormatting>
  <conditionalFormatting sqref="A411:A415">
    <cfRule type="expression" dxfId="24" priority="5204" stopIfTrue="1">
      <formula>OR(AND(LEFT($A411, 16)="select_multiple ", LEN($A411)&gt;16, NOT(ISNUMBER(SEARCH(" ", $A411, 17)))), AND(LEFT($A411, 11)="select_one ", LEN($A411)&gt;11, NOT(ISNUMBER(SEARCH(" ", $A411, 12)))))</formula>
    </cfRule>
  </conditionalFormatting>
  <conditionalFormatting sqref="A411:A415">
    <cfRule type="expression" dxfId="25" priority="5205" stopIfTrue="1">
      <formula>$A411="decimal"</formula>
    </cfRule>
  </conditionalFormatting>
  <conditionalFormatting sqref="A411:A415">
    <cfRule type="expression" dxfId="26" priority="5206" stopIfTrue="1">
      <formula>$A411="integer"</formula>
    </cfRule>
  </conditionalFormatting>
  <conditionalFormatting sqref="A411:A415">
    <cfRule type="expression" dxfId="27" priority="5207" stopIfTrue="1">
      <formula>$A411="text"</formula>
    </cfRule>
  </conditionalFormatting>
  <conditionalFormatting sqref="A411:A415">
    <cfRule type="expression" dxfId="28" priority="5208" stopIfTrue="1">
      <formula>$A411="end repeat"</formula>
    </cfRule>
  </conditionalFormatting>
  <conditionalFormatting sqref="A411:A415">
    <cfRule type="expression" dxfId="28" priority="5209" stopIfTrue="1">
      <formula>$A411="begin repeat"</formula>
    </cfRule>
  </conditionalFormatting>
  <conditionalFormatting sqref="A411:A415">
    <cfRule type="expression" dxfId="29" priority="5210" stopIfTrue="1">
      <formula>$A411="end group"</formula>
    </cfRule>
  </conditionalFormatting>
  <conditionalFormatting sqref="A411:A415">
    <cfRule type="expression" dxfId="29" priority="5211" stopIfTrue="1">
      <formula>$A411="begin group"</formula>
    </cfRule>
  </conditionalFormatting>
  <conditionalFormatting sqref="A398:A401">
    <cfRule type="expression" dxfId="33" priority="5212" stopIfTrue="1">
      <formula>$A398="file"</formula>
    </cfRule>
  </conditionalFormatting>
  <conditionalFormatting sqref="A398:A401">
    <cfRule type="expression" dxfId="34" priority="5213" stopIfTrue="1">
      <formula>$A398="enumerator"</formula>
    </cfRule>
  </conditionalFormatting>
  <conditionalFormatting sqref="A398:A401">
    <cfRule type="expression" dxfId="35" priority="5214" stopIfTrue="1">
      <formula>OR(AND(LEFT($A398, 14)="sensor_stream ", LEN($A398)&gt;14, NOT(ISNUMBER(SEARCH(" ", $A398, 15)))), AND(LEFT($A398, 17)="sensor_statistic ", LEN($A398)&gt;17, NOT(ISNUMBER(SEARCH(" ", $A398, 18)))))</formula>
    </cfRule>
  </conditionalFormatting>
  <conditionalFormatting sqref="A398:A401">
    <cfRule type="expression" dxfId="14" priority="5215" stopIfTrue="1">
      <formula>$A398="comments"</formula>
    </cfRule>
  </conditionalFormatting>
  <conditionalFormatting sqref="A398:A401">
    <cfRule type="expression" dxfId="15" priority="5216" stopIfTrue="1">
      <formula>OR($A398="audio", $A398="video")</formula>
    </cfRule>
  </conditionalFormatting>
  <conditionalFormatting sqref="A398:A401">
    <cfRule type="expression" dxfId="16" priority="5217" stopIfTrue="1">
      <formula>$A398="image"</formula>
    </cfRule>
  </conditionalFormatting>
  <conditionalFormatting sqref="A398:A401">
    <cfRule type="expression" dxfId="17" priority="5218" stopIfTrue="1">
      <formula>OR($A398="date", $A398="datetime", $A398="time")</formula>
    </cfRule>
  </conditionalFormatting>
  <conditionalFormatting sqref="A398:A401">
    <cfRule type="expression" dxfId="18" priority="5219" stopIfTrue="1">
      <formula>OR($A398="calculate", $A398="calculate_here")</formula>
    </cfRule>
  </conditionalFormatting>
  <conditionalFormatting sqref="A398:A401">
    <cfRule type="expression" dxfId="19" priority="5220" stopIfTrue="1">
      <formula>$A398="note"</formula>
    </cfRule>
  </conditionalFormatting>
  <conditionalFormatting sqref="A398:A401">
    <cfRule type="expression" dxfId="20" priority="5221" stopIfTrue="1">
      <formula>$A398="barcode"</formula>
    </cfRule>
  </conditionalFormatting>
  <conditionalFormatting sqref="A398:A401">
    <cfRule type="expression" dxfId="21" priority="5222" stopIfTrue="1">
      <formula>OR($A398="geopoint", $A398="geoshape", $A398="geotrace")</formula>
    </cfRule>
  </conditionalFormatting>
  <conditionalFormatting sqref="A398:A401">
    <cfRule type="expression" dxfId="22" priority="5223" stopIfTrue="1">
      <formula>OR($A398="audio audit", $A398="text audit", $A398="speed violations count", $A398="speed violations list", $A398="speed violations audit")</formula>
    </cfRule>
  </conditionalFormatting>
  <conditionalFormatting sqref="A398:A401">
    <cfRule type="expression" dxfId="23" priority="5224" stopIfTrue="1">
      <formula>OR($A398="username", $A398="phonenumber", $A398="start", $A398="end", $A398="deviceid", $A398="subscriberid", $A398="simserial", $A398="caseid")</formula>
    </cfRule>
  </conditionalFormatting>
  <conditionalFormatting sqref="A398:A401">
    <cfRule type="expression" dxfId="24" priority="5225" stopIfTrue="1">
      <formula>OR(AND(LEFT($A398, 16)="select_multiple ", LEN($A398)&gt;16, NOT(ISNUMBER(SEARCH(" ", $A398, 17)))), AND(LEFT($A398, 11)="select_one ", LEN($A398)&gt;11, NOT(ISNUMBER(SEARCH(" ", $A398, 12)))))</formula>
    </cfRule>
  </conditionalFormatting>
  <conditionalFormatting sqref="A398:A401">
    <cfRule type="expression" dxfId="25" priority="5226" stopIfTrue="1">
      <formula>$A398="decimal"</formula>
    </cfRule>
  </conditionalFormatting>
  <conditionalFormatting sqref="A398:A401">
    <cfRule type="expression" dxfId="26" priority="5227" stopIfTrue="1">
      <formula>$A398="integer"</formula>
    </cfRule>
  </conditionalFormatting>
  <conditionalFormatting sqref="A398:A401">
    <cfRule type="expression" dxfId="27" priority="5228" stopIfTrue="1">
      <formula>$A398="text"</formula>
    </cfRule>
  </conditionalFormatting>
  <conditionalFormatting sqref="A398:A401">
    <cfRule type="expression" dxfId="28" priority="5229" stopIfTrue="1">
      <formula>$A398="end repeat"</formula>
    </cfRule>
  </conditionalFormatting>
  <conditionalFormatting sqref="A398:A401">
    <cfRule type="expression" dxfId="28" priority="5230" stopIfTrue="1">
      <formula>$A398="begin repeat"</formula>
    </cfRule>
  </conditionalFormatting>
  <conditionalFormatting sqref="A398:A401">
    <cfRule type="expression" dxfId="29" priority="5231" stopIfTrue="1">
      <formula>$A398="end group"</formula>
    </cfRule>
  </conditionalFormatting>
  <conditionalFormatting sqref="A398:A401">
    <cfRule type="expression" dxfId="29" priority="5232" stopIfTrue="1">
      <formula>$A398="begin group"</formula>
    </cfRule>
  </conditionalFormatting>
  <conditionalFormatting sqref="A382:A394">
    <cfRule type="expression" dxfId="33" priority="5233" stopIfTrue="1">
      <formula>$A382="file"</formula>
    </cfRule>
  </conditionalFormatting>
  <conditionalFormatting sqref="A382:A394">
    <cfRule type="expression" dxfId="34" priority="5234" stopIfTrue="1">
      <formula>$A382="enumerator"</formula>
    </cfRule>
  </conditionalFormatting>
  <conditionalFormatting sqref="A382:A394">
    <cfRule type="expression" dxfId="35" priority="5235" stopIfTrue="1">
      <formula>OR(AND(LEFT($A382, 14)="sensor_stream ", LEN($A382)&gt;14, NOT(ISNUMBER(SEARCH(" ", $A382, 15)))), AND(LEFT($A382, 17)="sensor_statistic ", LEN($A382)&gt;17, NOT(ISNUMBER(SEARCH(" ", $A382, 18)))))</formula>
    </cfRule>
  </conditionalFormatting>
  <conditionalFormatting sqref="A382:A394">
    <cfRule type="expression" dxfId="14" priority="5236" stopIfTrue="1">
      <formula>$A382="comments"</formula>
    </cfRule>
  </conditionalFormatting>
  <conditionalFormatting sqref="A382:A394">
    <cfRule type="expression" dxfId="15" priority="5237" stopIfTrue="1">
      <formula>OR($A382="audio", $A382="video")</formula>
    </cfRule>
  </conditionalFormatting>
  <conditionalFormatting sqref="A382:A394">
    <cfRule type="expression" dxfId="16" priority="5238" stopIfTrue="1">
      <formula>$A382="image"</formula>
    </cfRule>
  </conditionalFormatting>
  <conditionalFormatting sqref="A382:A394">
    <cfRule type="expression" dxfId="17" priority="5239" stopIfTrue="1">
      <formula>OR($A382="date", $A382="datetime", $A382="time")</formula>
    </cfRule>
  </conditionalFormatting>
  <conditionalFormatting sqref="A382:A394">
    <cfRule type="expression" dxfId="18" priority="5240" stopIfTrue="1">
      <formula>OR($A382="calculate", $A382="calculate_here")</formula>
    </cfRule>
  </conditionalFormatting>
  <conditionalFormatting sqref="A382:A394">
    <cfRule type="expression" dxfId="19" priority="5241" stopIfTrue="1">
      <formula>$A382="note"</formula>
    </cfRule>
  </conditionalFormatting>
  <conditionalFormatting sqref="A382:A394">
    <cfRule type="expression" dxfId="20" priority="5242" stopIfTrue="1">
      <formula>$A382="barcode"</formula>
    </cfRule>
  </conditionalFormatting>
  <conditionalFormatting sqref="A382:A394">
    <cfRule type="expression" dxfId="21" priority="5243" stopIfTrue="1">
      <formula>OR($A382="geopoint", $A382="geoshape", $A382="geotrace")</formula>
    </cfRule>
  </conditionalFormatting>
  <conditionalFormatting sqref="A382:A394">
    <cfRule type="expression" dxfId="22" priority="5244" stopIfTrue="1">
      <formula>OR($A382="audio audit", $A382="text audit", $A382="speed violations count", $A382="speed violations list", $A382="speed violations audit")</formula>
    </cfRule>
  </conditionalFormatting>
  <conditionalFormatting sqref="A382:A394">
    <cfRule type="expression" dxfId="23" priority="5245" stopIfTrue="1">
      <formula>OR($A382="username", $A382="phonenumber", $A382="start", $A382="end", $A382="deviceid", $A382="subscriberid", $A382="simserial", $A382="caseid")</formula>
    </cfRule>
  </conditionalFormatting>
  <conditionalFormatting sqref="A382:A394">
    <cfRule type="expression" dxfId="24" priority="5246" stopIfTrue="1">
      <formula>OR(AND(LEFT($A382, 16)="select_multiple ", LEN($A382)&gt;16, NOT(ISNUMBER(SEARCH(" ", $A382, 17)))), AND(LEFT($A382, 11)="select_one ", LEN($A382)&gt;11, NOT(ISNUMBER(SEARCH(" ", $A382, 12)))))</formula>
    </cfRule>
  </conditionalFormatting>
  <conditionalFormatting sqref="A382:A394">
    <cfRule type="expression" dxfId="25" priority="5247" stopIfTrue="1">
      <formula>$A382="decimal"</formula>
    </cfRule>
  </conditionalFormatting>
  <conditionalFormatting sqref="A382:A394">
    <cfRule type="expression" dxfId="26" priority="5248" stopIfTrue="1">
      <formula>$A382="integer"</formula>
    </cfRule>
  </conditionalFormatting>
  <conditionalFormatting sqref="A382:A394">
    <cfRule type="expression" dxfId="27" priority="5249" stopIfTrue="1">
      <formula>$A382="text"</formula>
    </cfRule>
  </conditionalFormatting>
  <conditionalFormatting sqref="A382:A394">
    <cfRule type="expression" dxfId="28" priority="5250" stopIfTrue="1">
      <formula>$A382="end repeat"</formula>
    </cfRule>
  </conditionalFormatting>
  <conditionalFormatting sqref="A382:A394">
    <cfRule type="expression" dxfId="28" priority="5251" stopIfTrue="1">
      <formula>$A382="begin repeat"</formula>
    </cfRule>
  </conditionalFormatting>
  <conditionalFormatting sqref="A382:A394">
    <cfRule type="expression" dxfId="29" priority="5252" stopIfTrue="1">
      <formula>$A382="end group"</formula>
    </cfRule>
  </conditionalFormatting>
  <conditionalFormatting sqref="A382:A394">
    <cfRule type="expression" dxfId="29" priority="5253" stopIfTrue="1">
      <formula>$A382="begin group"</formula>
    </cfRule>
  </conditionalFormatting>
  <conditionalFormatting sqref="A366:A380">
    <cfRule type="expression" dxfId="33" priority="5254" stopIfTrue="1">
      <formula>$A366="file"</formula>
    </cfRule>
  </conditionalFormatting>
  <conditionalFormatting sqref="A366:A380">
    <cfRule type="expression" dxfId="34" priority="5255" stopIfTrue="1">
      <formula>$A366="enumerator"</formula>
    </cfRule>
  </conditionalFormatting>
  <conditionalFormatting sqref="A366:A380">
    <cfRule type="expression" dxfId="35" priority="5256" stopIfTrue="1">
      <formula>OR(AND(LEFT($A366, 14)="sensor_stream ", LEN($A366)&gt;14, NOT(ISNUMBER(SEARCH(" ", $A366, 15)))), AND(LEFT($A366, 17)="sensor_statistic ", LEN($A366)&gt;17, NOT(ISNUMBER(SEARCH(" ", $A366, 18)))))</formula>
    </cfRule>
  </conditionalFormatting>
  <conditionalFormatting sqref="A366:A380">
    <cfRule type="expression" dxfId="14" priority="5257" stopIfTrue="1">
      <formula>$A366="comments"</formula>
    </cfRule>
  </conditionalFormatting>
  <conditionalFormatting sqref="A366:A380">
    <cfRule type="expression" dxfId="15" priority="5258" stopIfTrue="1">
      <formula>OR($A366="audio", $A366="video")</formula>
    </cfRule>
  </conditionalFormatting>
  <conditionalFormatting sqref="A366:A380">
    <cfRule type="expression" dxfId="16" priority="5259" stopIfTrue="1">
      <formula>$A366="image"</formula>
    </cfRule>
  </conditionalFormatting>
  <conditionalFormatting sqref="A366:A380">
    <cfRule type="expression" dxfId="17" priority="5260" stopIfTrue="1">
      <formula>OR($A366="date", $A366="datetime", $A366="time")</formula>
    </cfRule>
  </conditionalFormatting>
  <conditionalFormatting sqref="A366:A380">
    <cfRule type="expression" dxfId="18" priority="5261" stopIfTrue="1">
      <formula>OR($A366="calculate", $A366="calculate_here")</formula>
    </cfRule>
  </conditionalFormatting>
  <conditionalFormatting sqref="A366:A380">
    <cfRule type="expression" dxfId="19" priority="5262" stopIfTrue="1">
      <formula>$A366="note"</formula>
    </cfRule>
  </conditionalFormatting>
  <conditionalFormatting sqref="A366:A380">
    <cfRule type="expression" dxfId="20" priority="5263" stopIfTrue="1">
      <formula>$A366="barcode"</formula>
    </cfRule>
  </conditionalFormatting>
  <conditionalFormatting sqref="A366:A380">
    <cfRule type="expression" dxfId="21" priority="5264" stopIfTrue="1">
      <formula>OR($A366="geopoint", $A366="geoshape", $A366="geotrace")</formula>
    </cfRule>
  </conditionalFormatting>
  <conditionalFormatting sqref="A366:A380">
    <cfRule type="expression" dxfId="22" priority="5265" stopIfTrue="1">
      <formula>OR($A366="audio audit", $A366="text audit", $A366="speed violations count", $A366="speed violations list", $A366="speed violations audit")</formula>
    </cfRule>
  </conditionalFormatting>
  <conditionalFormatting sqref="A366:A380">
    <cfRule type="expression" dxfId="23" priority="5266" stopIfTrue="1">
      <formula>OR($A366="username", $A366="phonenumber", $A366="start", $A366="end", $A366="deviceid", $A366="subscriberid", $A366="simserial", $A366="caseid")</formula>
    </cfRule>
  </conditionalFormatting>
  <conditionalFormatting sqref="A366:A380">
    <cfRule type="expression" dxfId="24" priority="5267" stopIfTrue="1">
      <formula>OR(AND(LEFT($A366, 16)="select_multiple ", LEN($A366)&gt;16, NOT(ISNUMBER(SEARCH(" ", $A366, 17)))), AND(LEFT($A366, 11)="select_one ", LEN($A366)&gt;11, NOT(ISNUMBER(SEARCH(" ", $A366, 12)))))</formula>
    </cfRule>
  </conditionalFormatting>
  <conditionalFormatting sqref="A366:A380">
    <cfRule type="expression" dxfId="25" priority="5268" stopIfTrue="1">
      <formula>$A366="decimal"</formula>
    </cfRule>
  </conditionalFormatting>
  <conditionalFormatting sqref="A366:A380">
    <cfRule type="expression" dxfId="26" priority="5269" stopIfTrue="1">
      <formula>$A366="integer"</formula>
    </cfRule>
  </conditionalFormatting>
  <conditionalFormatting sqref="A366:A380">
    <cfRule type="expression" dxfId="27" priority="5270" stopIfTrue="1">
      <formula>$A366="text"</formula>
    </cfRule>
  </conditionalFormatting>
  <conditionalFormatting sqref="A366:A380">
    <cfRule type="expression" dxfId="28" priority="5271" stopIfTrue="1">
      <formula>$A366="end repeat"</formula>
    </cfRule>
  </conditionalFormatting>
  <conditionalFormatting sqref="A366:A380">
    <cfRule type="expression" dxfId="28" priority="5272" stopIfTrue="1">
      <formula>$A366="begin repeat"</formula>
    </cfRule>
  </conditionalFormatting>
  <conditionalFormatting sqref="A366:A380">
    <cfRule type="expression" dxfId="29" priority="5273" stopIfTrue="1">
      <formula>$A366="end group"</formula>
    </cfRule>
  </conditionalFormatting>
  <conditionalFormatting sqref="A366:A380">
    <cfRule type="expression" dxfId="29" priority="5274" stopIfTrue="1">
      <formula>$A366="begin group"</formula>
    </cfRule>
  </conditionalFormatting>
  <conditionalFormatting sqref="A352">
    <cfRule type="expression" dxfId="33" priority="5275" stopIfTrue="1">
      <formula>$A352="file"</formula>
    </cfRule>
  </conditionalFormatting>
  <conditionalFormatting sqref="A352">
    <cfRule type="expression" dxfId="34" priority="5276" stopIfTrue="1">
      <formula>$A352="enumerator"</formula>
    </cfRule>
  </conditionalFormatting>
  <conditionalFormatting sqref="A352">
    <cfRule type="expression" dxfId="35" priority="5277" stopIfTrue="1">
      <formula>OR(AND(LEFT($A352, 14)="sensor_stream ", LEN($A352)&gt;14, NOT(ISNUMBER(SEARCH(" ", $A352, 15)))), AND(LEFT($A352, 17)="sensor_statistic ", LEN($A352)&gt;17, NOT(ISNUMBER(SEARCH(" ", $A352, 18)))))</formula>
    </cfRule>
  </conditionalFormatting>
  <conditionalFormatting sqref="A352">
    <cfRule type="expression" dxfId="14" priority="5278" stopIfTrue="1">
      <formula>$A352="comments"</formula>
    </cfRule>
  </conditionalFormatting>
  <conditionalFormatting sqref="A352">
    <cfRule type="expression" dxfId="15" priority="5279" stopIfTrue="1">
      <formula>OR($A352="audio", $A352="video")</formula>
    </cfRule>
  </conditionalFormatting>
  <conditionalFormatting sqref="A352">
    <cfRule type="expression" dxfId="16" priority="5280" stopIfTrue="1">
      <formula>$A352="image"</formula>
    </cfRule>
  </conditionalFormatting>
  <conditionalFormatting sqref="A352">
    <cfRule type="expression" dxfId="17" priority="5281" stopIfTrue="1">
      <formula>OR($A352="date", $A352="datetime", $A352="time")</formula>
    </cfRule>
  </conditionalFormatting>
  <conditionalFormatting sqref="A352">
    <cfRule type="expression" dxfId="18" priority="5282" stopIfTrue="1">
      <formula>OR($A352="calculate", $A352="calculate_here")</formula>
    </cfRule>
  </conditionalFormatting>
  <conditionalFormatting sqref="A352">
    <cfRule type="expression" dxfId="19" priority="5283" stopIfTrue="1">
      <formula>$A352="note"</formula>
    </cfRule>
  </conditionalFormatting>
  <conditionalFormatting sqref="A352">
    <cfRule type="expression" dxfId="20" priority="5284" stopIfTrue="1">
      <formula>$A352="barcode"</formula>
    </cfRule>
  </conditionalFormatting>
  <conditionalFormatting sqref="A352">
    <cfRule type="expression" dxfId="21" priority="5285" stopIfTrue="1">
      <formula>OR($A352="geopoint", $A352="geoshape", $A352="geotrace")</formula>
    </cfRule>
  </conditionalFormatting>
  <conditionalFormatting sqref="A352">
    <cfRule type="expression" dxfId="22" priority="5286" stopIfTrue="1">
      <formula>OR($A352="audio audit", $A352="text audit", $A352="speed violations count", $A352="speed violations list", $A352="speed violations audit")</formula>
    </cfRule>
  </conditionalFormatting>
  <conditionalFormatting sqref="A352">
    <cfRule type="expression" dxfId="23" priority="5287" stopIfTrue="1">
      <formula>OR($A352="username", $A352="phonenumber", $A352="start", $A352="end", $A352="deviceid", $A352="subscriberid", $A352="simserial", $A352="caseid")</formula>
    </cfRule>
  </conditionalFormatting>
  <conditionalFormatting sqref="A352">
    <cfRule type="expression" dxfId="24" priority="5288" stopIfTrue="1">
      <formula>OR(AND(LEFT($A352, 16)="select_multiple ", LEN($A352)&gt;16, NOT(ISNUMBER(SEARCH(" ", $A352, 17)))), AND(LEFT($A352, 11)="select_one ", LEN($A352)&gt;11, NOT(ISNUMBER(SEARCH(" ", $A352, 12)))))</formula>
    </cfRule>
  </conditionalFormatting>
  <conditionalFormatting sqref="A352">
    <cfRule type="expression" dxfId="25" priority="5289" stopIfTrue="1">
      <formula>$A352="decimal"</formula>
    </cfRule>
  </conditionalFormatting>
  <conditionalFormatting sqref="A352">
    <cfRule type="expression" dxfId="26" priority="5290" stopIfTrue="1">
      <formula>$A352="integer"</formula>
    </cfRule>
  </conditionalFormatting>
  <conditionalFormatting sqref="A352">
    <cfRule type="expression" dxfId="27" priority="5291" stopIfTrue="1">
      <formula>$A352="text"</formula>
    </cfRule>
  </conditionalFormatting>
  <conditionalFormatting sqref="A352">
    <cfRule type="expression" dxfId="28" priority="5292" stopIfTrue="1">
      <formula>$A352="end repeat"</formula>
    </cfRule>
  </conditionalFormatting>
  <conditionalFormatting sqref="A352">
    <cfRule type="expression" dxfId="28" priority="5293" stopIfTrue="1">
      <formula>$A352="begin repeat"</formula>
    </cfRule>
  </conditionalFormatting>
  <conditionalFormatting sqref="A352">
    <cfRule type="expression" dxfId="29" priority="5294" stopIfTrue="1">
      <formula>$A352="end group"</formula>
    </cfRule>
  </conditionalFormatting>
  <conditionalFormatting sqref="A352">
    <cfRule type="expression" dxfId="29" priority="5295" stopIfTrue="1">
      <formula>$A352="begin group"</formula>
    </cfRule>
  </conditionalFormatting>
  <conditionalFormatting sqref="A344:A346">
    <cfRule type="expression" dxfId="33" priority="5296" stopIfTrue="1">
      <formula>$A344="file"</formula>
    </cfRule>
  </conditionalFormatting>
  <conditionalFormatting sqref="A344:A346">
    <cfRule type="expression" dxfId="34" priority="5297" stopIfTrue="1">
      <formula>$A344="enumerator"</formula>
    </cfRule>
  </conditionalFormatting>
  <conditionalFormatting sqref="A344:A346">
    <cfRule type="expression" dxfId="35" priority="5298" stopIfTrue="1">
      <formula>OR(AND(LEFT($A344, 14)="sensor_stream ", LEN($A344)&gt;14, NOT(ISNUMBER(SEARCH(" ", $A344, 15)))), AND(LEFT($A344, 17)="sensor_statistic ", LEN($A344)&gt;17, NOT(ISNUMBER(SEARCH(" ", $A344, 18)))))</formula>
    </cfRule>
  </conditionalFormatting>
  <conditionalFormatting sqref="A344:A346">
    <cfRule type="expression" dxfId="14" priority="5299" stopIfTrue="1">
      <formula>$A344="comments"</formula>
    </cfRule>
  </conditionalFormatting>
  <conditionalFormatting sqref="A344:A346">
    <cfRule type="expression" dxfId="15" priority="5300" stopIfTrue="1">
      <formula>OR($A344="audio", $A344="video")</formula>
    </cfRule>
  </conditionalFormatting>
  <conditionalFormatting sqref="A344:A346">
    <cfRule type="expression" dxfId="16" priority="5301" stopIfTrue="1">
      <formula>$A344="image"</formula>
    </cfRule>
  </conditionalFormatting>
  <conditionalFormatting sqref="A344:A346">
    <cfRule type="expression" dxfId="17" priority="5302" stopIfTrue="1">
      <formula>OR($A344="date", $A344="datetime", $A344="time")</formula>
    </cfRule>
  </conditionalFormatting>
  <conditionalFormatting sqref="A344:A346">
    <cfRule type="expression" dxfId="18" priority="5303" stopIfTrue="1">
      <formula>OR($A344="calculate", $A344="calculate_here")</formula>
    </cfRule>
  </conditionalFormatting>
  <conditionalFormatting sqref="A344:A346">
    <cfRule type="expression" dxfId="19" priority="5304" stopIfTrue="1">
      <formula>$A344="note"</formula>
    </cfRule>
  </conditionalFormatting>
  <conditionalFormatting sqref="A344:A346">
    <cfRule type="expression" dxfId="20" priority="5305" stopIfTrue="1">
      <formula>$A344="barcode"</formula>
    </cfRule>
  </conditionalFormatting>
  <conditionalFormatting sqref="A344:A346">
    <cfRule type="expression" dxfId="21" priority="5306" stopIfTrue="1">
      <formula>OR($A344="geopoint", $A344="geoshape", $A344="geotrace")</formula>
    </cfRule>
  </conditionalFormatting>
  <conditionalFormatting sqref="A344:A346">
    <cfRule type="expression" dxfId="22" priority="5307" stopIfTrue="1">
      <formula>OR($A344="audio audit", $A344="text audit", $A344="speed violations count", $A344="speed violations list", $A344="speed violations audit")</formula>
    </cfRule>
  </conditionalFormatting>
  <conditionalFormatting sqref="A344:A346">
    <cfRule type="expression" dxfId="23" priority="5308" stopIfTrue="1">
      <formula>OR($A344="username", $A344="phonenumber", $A344="start", $A344="end", $A344="deviceid", $A344="subscriberid", $A344="simserial", $A344="caseid")</formula>
    </cfRule>
  </conditionalFormatting>
  <conditionalFormatting sqref="A344:A346">
    <cfRule type="expression" dxfId="24" priority="5309" stopIfTrue="1">
      <formula>OR(AND(LEFT($A344, 16)="select_multiple ", LEN($A344)&gt;16, NOT(ISNUMBER(SEARCH(" ", $A344, 17)))), AND(LEFT($A344, 11)="select_one ", LEN($A344)&gt;11, NOT(ISNUMBER(SEARCH(" ", $A344, 12)))))</formula>
    </cfRule>
  </conditionalFormatting>
  <conditionalFormatting sqref="A344:A346">
    <cfRule type="expression" dxfId="25" priority="5310" stopIfTrue="1">
      <formula>$A344="decimal"</formula>
    </cfRule>
  </conditionalFormatting>
  <conditionalFormatting sqref="A344:A346">
    <cfRule type="expression" dxfId="26" priority="5311" stopIfTrue="1">
      <formula>$A344="integer"</formula>
    </cfRule>
  </conditionalFormatting>
  <conditionalFormatting sqref="A344:A346">
    <cfRule type="expression" dxfId="27" priority="5312" stopIfTrue="1">
      <formula>$A344="text"</formula>
    </cfRule>
  </conditionalFormatting>
  <conditionalFormatting sqref="A344:A346">
    <cfRule type="expression" dxfId="28" priority="5313" stopIfTrue="1">
      <formula>$A344="end repeat"</formula>
    </cfRule>
  </conditionalFormatting>
  <conditionalFormatting sqref="A344:A346">
    <cfRule type="expression" dxfId="28" priority="5314" stopIfTrue="1">
      <formula>$A344="begin repeat"</formula>
    </cfRule>
  </conditionalFormatting>
  <conditionalFormatting sqref="A344:A346">
    <cfRule type="expression" dxfId="29" priority="5315" stopIfTrue="1">
      <formula>$A344="end group"</formula>
    </cfRule>
  </conditionalFormatting>
  <conditionalFormatting sqref="A344:A346">
    <cfRule type="expression" dxfId="29" priority="5316" stopIfTrue="1">
      <formula>$A344="begin group"</formula>
    </cfRule>
  </conditionalFormatting>
  <conditionalFormatting sqref="A340:A341">
    <cfRule type="expression" dxfId="33" priority="5317" stopIfTrue="1">
      <formula>$A340="file"</formula>
    </cfRule>
  </conditionalFormatting>
  <conditionalFormatting sqref="A340:A341">
    <cfRule type="expression" dxfId="34" priority="5318" stopIfTrue="1">
      <formula>$A340="enumerator"</formula>
    </cfRule>
  </conditionalFormatting>
  <conditionalFormatting sqref="A340:A341">
    <cfRule type="expression" dxfId="35" priority="5319" stopIfTrue="1">
      <formula>OR(AND(LEFT($A340, 14)="sensor_stream ", LEN($A340)&gt;14, NOT(ISNUMBER(SEARCH(" ", $A340, 15)))), AND(LEFT($A340, 17)="sensor_statistic ", LEN($A340)&gt;17, NOT(ISNUMBER(SEARCH(" ", $A340, 18)))))</formula>
    </cfRule>
  </conditionalFormatting>
  <conditionalFormatting sqref="A340:A341">
    <cfRule type="expression" dxfId="14" priority="5320" stopIfTrue="1">
      <formula>$A340="comments"</formula>
    </cfRule>
  </conditionalFormatting>
  <conditionalFormatting sqref="A340:A341">
    <cfRule type="expression" dxfId="15" priority="5321" stopIfTrue="1">
      <formula>OR($A340="audio", $A340="video")</formula>
    </cfRule>
  </conditionalFormatting>
  <conditionalFormatting sqref="A340:A341">
    <cfRule type="expression" dxfId="16" priority="5322" stopIfTrue="1">
      <formula>$A340="image"</formula>
    </cfRule>
  </conditionalFormatting>
  <conditionalFormatting sqref="A340:A341">
    <cfRule type="expression" dxfId="17" priority="5323" stopIfTrue="1">
      <formula>OR($A340="date", $A340="datetime", $A340="time")</formula>
    </cfRule>
  </conditionalFormatting>
  <conditionalFormatting sqref="A340:A341">
    <cfRule type="expression" dxfId="18" priority="5324" stopIfTrue="1">
      <formula>OR($A340="calculate", $A340="calculate_here")</formula>
    </cfRule>
  </conditionalFormatting>
  <conditionalFormatting sqref="A340:A341">
    <cfRule type="expression" dxfId="19" priority="5325" stopIfTrue="1">
      <formula>$A340="note"</formula>
    </cfRule>
  </conditionalFormatting>
  <conditionalFormatting sqref="A340:A341">
    <cfRule type="expression" dxfId="20" priority="5326" stopIfTrue="1">
      <formula>$A340="barcode"</formula>
    </cfRule>
  </conditionalFormatting>
  <conditionalFormatting sqref="A340:A341">
    <cfRule type="expression" dxfId="21" priority="5327" stopIfTrue="1">
      <formula>OR($A340="geopoint", $A340="geoshape", $A340="geotrace")</formula>
    </cfRule>
  </conditionalFormatting>
  <conditionalFormatting sqref="A340:A341">
    <cfRule type="expression" dxfId="22" priority="5328" stopIfTrue="1">
      <formula>OR($A340="audio audit", $A340="text audit", $A340="speed violations count", $A340="speed violations list", $A340="speed violations audit")</formula>
    </cfRule>
  </conditionalFormatting>
  <conditionalFormatting sqref="A340:A341">
    <cfRule type="expression" dxfId="23" priority="5329" stopIfTrue="1">
      <formula>OR($A340="username", $A340="phonenumber", $A340="start", $A340="end", $A340="deviceid", $A340="subscriberid", $A340="simserial", $A340="caseid")</formula>
    </cfRule>
  </conditionalFormatting>
  <conditionalFormatting sqref="A340:A341">
    <cfRule type="expression" dxfId="24" priority="5330" stopIfTrue="1">
      <formula>OR(AND(LEFT($A340, 16)="select_multiple ", LEN($A340)&gt;16, NOT(ISNUMBER(SEARCH(" ", $A340, 17)))), AND(LEFT($A340, 11)="select_one ", LEN($A340)&gt;11, NOT(ISNUMBER(SEARCH(" ", $A340, 12)))))</formula>
    </cfRule>
  </conditionalFormatting>
  <conditionalFormatting sqref="A340:A341">
    <cfRule type="expression" dxfId="25" priority="5331" stopIfTrue="1">
      <formula>$A340="decimal"</formula>
    </cfRule>
  </conditionalFormatting>
  <conditionalFormatting sqref="A340:A341">
    <cfRule type="expression" dxfId="26" priority="5332" stopIfTrue="1">
      <formula>$A340="integer"</formula>
    </cfRule>
  </conditionalFormatting>
  <conditionalFormatting sqref="A340:A341">
    <cfRule type="expression" dxfId="27" priority="5333" stopIfTrue="1">
      <formula>$A340="text"</formula>
    </cfRule>
  </conditionalFormatting>
  <conditionalFormatting sqref="A340:A341">
    <cfRule type="expression" dxfId="28" priority="5334" stopIfTrue="1">
      <formula>$A340="end repeat"</formula>
    </cfRule>
  </conditionalFormatting>
  <conditionalFormatting sqref="A340:A341">
    <cfRule type="expression" dxfId="28" priority="5335" stopIfTrue="1">
      <formula>$A340="begin repeat"</formula>
    </cfRule>
  </conditionalFormatting>
  <conditionalFormatting sqref="A340:A341">
    <cfRule type="expression" dxfId="29" priority="5336" stopIfTrue="1">
      <formula>$A340="end group"</formula>
    </cfRule>
  </conditionalFormatting>
  <conditionalFormatting sqref="A340:A341">
    <cfRule type="expression" dxfId="29" priority="5337" stopIfTrue="1">
      <formula>$A340="begin group"</formula>
    </cfRule>
  </conditionalFormatting>
  <conditionalFormatting sqref="A330:A332">
    <cfRule type="expression" dxfId="33" priority="5338" stopIfTrue="1">
      <formula>$A330="file"</formula>
    </cfRule>
  </conditionalFormatting>
  <conditionalFormatting sqref="A330:A332">
    <cfRule type="expression" dxfId="34" priority="5339" stopIfTrue="1">
      <formula>$A330="enumerator"</formula>
    </cfRule>
  </conditionalFormatting>
  <conditionalFormatting sqref="A330:A332">
    <cfRule type="expression" dxfId="35" priority="5340" stopIfTrue="1">
      <formula>OR(AND(LEFT($A330, 14)="sensor_stream ", LEN($A330)&gt;14, NOT(ISNUMBER(SEARCH(" ", $A330, 15)))), AND(LEFT($A330, 17)="sensor_statistic ", LEN($A330)&gt;17, NOT(ISNUMBER(SEARCH(" ", $A330, 18)))))</formula>
    </cfRule>
  </conditionalFormatting>
  <conditionalFormatting sqref="A330:A332">
    <cfRule type="expression" dxfId="14" priority="5341" stopIfTrue="1">
      <formula>$A330="comments"</formula>
    </cfRule>
  </conditionalFormatting>
  <conditionalFormatting sqref="A330:A332">
    <cfRule type="expression" dxfId="15" priority="5342" stopIfTrue="1">
      <formula>OR($A330="audio", $A330="video")</formula>
    </cfRule>
  </conditionalFormatting>
  <conditionalFormatting sqref="A330:A332">
    <cfRule type="expression" dxfId="16" priority="5343" stopIfTrue="1">
      <formula>$A330="image"</formula>
    </cfRule>
  </conditionalFormatting>
  <conditionalFormatting sqref="A330:A332">
    <cfRule type="expression" dxfId="17" priority="5344" stopIfTrue="1">
      <formula>OR($A330="date", $A330="datetime", $A330="time")</formula>
    </cfRule>
  </conditionalFormatting>
  <conditionalFormatting sqref="A330:A332">
    <cfRule type="expression" dxfId="18" priority="5345" stopIfTrue="1">
      <formula>OR($A330="calculate", $A330="calculate_here")</formula>
    </cfRule>
  </conditionalFormatting>
  <conditionalFormatting sqref="A330:A332">
    <cfRule type="expression" dxfId="19" priority="5346" stopIfTrue="1">
      <formula>$A330="note"</formula>
    </cfRule>
  </conditionalFormatting>
  <conditionalFormatting sqref="A330:A332">
    <cfRule type="expression" dxfId="20" priority="5347" stopIfTrue="1">
      <formula>$A330="barcode"</formula>
    </cfRule>
  </conditionalFormatting>
  <conditionalFormatting sqref="A330:A332">
    <cfRule type="expression" dxfId="21" priority="5348" stopIfTrue="1">
      <formula>OR($A330="geopoint", $A330="geoshape", $A330="geotrace")</formula>
    </cfRule>
  </conditionalFormatting>
  <conditionalFormatting sqref="A330:A332">
    <cfRule type="expression" dxfId="22" priority="5349" stopIfTrue="1">
      <formula>OR($A330="audio audit", $A330="text audit", $A330="speed violations count", $A330="speed violations list", $A330="speed violations audit")</formula>
    </cfRule>
  </conditionalFormatting>
  <conditionalFormatting sqref="A330:A332">
    <cfRule type="expression" dxfId="23" priority="5350" stopIfTrue="1">
      <formula>OR($A330="username", $A330="phonenumber", $A330="start", $A330="end", $A330="deviceid", $A330="subscriberid", $A330="simserial", $A330="caseid")</formula>
    </cfRule>
  </conditionalFormatting>
  <conditionalFormatting sqref="A330:A332">
    <cfRule type="expression" dxfId="24" priority="5351" stopIfTrue="1">
      <formula>OR(AND(LEFT($A330, 16)="select_multiple ", LEN($A330)&gt;16, NOT(ISNUMBER(SEARCH(" ", $A330, 17)))), AND(LEFT($A330, 11)="select_one ", LEN($A330)&gt;11, NOT(ISNUMBER(SEARCH(" ", $A330, 12)))))</formula>
    </cfRule>
  </conditionalFormatting>
  <conditionalFormatting sqref="A330:A332">
    <cfRule type="expression" dxfId="25" priority="5352" stopIfTrue="1">
      <formula>$A330="decimal"</formula>
    </cfRule>
  </conditionalFormatting>
  <conditionalFormatting sqref="A330:A332">
    <cfRule type="expression" dxfId="26" priority="5353" stopIfTrue="1">
      <formula>$A330="integer"</formula>
    </cfRule>
  </conditionalFormatting>
  <conditionalFormatting sqref="A330:A332">
    <cfRule type="expression" dxfId="27" priority="5354" stopIfTrue="1">
      <formula>$A330="text"</formula>
    </cfRule>
  </conditionalFormatting>
  <conditionalFormatting sqref="A330:A332">
    <cfRule type="expression" dxfId="28" priority="5355" stopIfTrue="1">
      <formula>$A330="end repeat"</formula>
    </cfRule>
  </conditionalFormatting>
  <conditionalFormatting sqref="A330:A332">
    <cfRule type="expression" dxfId="28" priority="5356" stopIfTrue="1">
      <formula>$A330="begin repeat"</formula>
    </cfRule>
  </conditionalFormatting>
  <conditionalFormatting sqref="A330:A332">
    <cfRule type="expression" dxfId="29" priority="5357" stopIfTrue="1">
      <formula>$A330="end group"</formula>
    </cfRule>
  </conditionalFormatting>
  <conditionalFormatting sqref="A330:A332">
    <cfRule type="expression" dxfId="29" priority="5358" stopIfTrue="1">
      <formula>$A330="begin group"</formula>
    </cfRule>
  </conditionalFormatting>
  <conditionalFormatting sqref="A320">
    <cfRule type="expression" dxfId="33" priority="5359" stopIfTrue="1">
      <formula>$A320="file"</formula>
    </cfRule>
  </conditionalFormatting>
  <conditionalFormatting sqref="A320">
    <cfRule type="expression" dxfId="34" priority="5360" stopIfTrue="1">
      <formula>$A320="enumerator"</formula>
    </cfRule>
  </conditionalFormatting>
  <conditionalFormatting sqref="A320">
    <cfRule type="expression" dxfId="35" priority="5361" stopIfTrue="1">
      <formula>OR(AND(LEFT($A320, 14)="sensor_stream ", LEN($A320)&gt;14, NOT(ISNUMBER(SEARCH(" ", $A320, 15)))), AND(LEFT($A320, 17)="sensor_statistic ", LEN($A320)&gt;17, NOT(ISNUMBER(SEARCH(" ", $A320, 18)))))</formula>
    </cfRule>
  </conditionalFormatting>
  <conditionalFormatting sqref="A320">
    <cfRule type="expression" dxfId="14" priority="5362" stopIfTrue="1">
      <formula>$A320="comments"</formula>
    </cfRule>
  </conditionalFormatting>
  <conditionalFormatting sqref="A320">
    <cfRule type="expression" dxfId="15" priority="5363" stopIfTrue="1">
      <formula>OR($A320="audio", $A320="video")</formula>
    </cfRule>
  </conditionalFormatting>
  <conditionalFormatting sqref="A320">
    <cfRule type="expression" dxfId="16" priority="5364" stopIfTrue="1">
      <formula>$A320="image"</formula>
    </cfRule>
  </conditionalFormatting>
  <conditionalFormatting sqref="A320">
    <cfRule type="expression" dxfId="17" priority="5365" stopIfTrue="1">
      <formula>OR($A320="date", $A320="datetime", $A320="time")</formula>
    </cfRule>
  </conditionalFormatting>
  <conditionalFormatting sqref="A320">
    <cfRule type="expression" dxfId="18" priority="5366" stopIfTrue="1">
      <formula>OR($A320="calculate", $A320="calculate_here")</formula>
    </cfRule>
  </conditionalFormatting>
  <conditionalFormatting sqref="A320">
    <cfRule type="expression" dxfId="19" priority="5367" stopIfTrue="1">
      <formula>$A320="note"</formula>
    </cfRule>
  </conditionalFormatting>
  <conditionalFormatting sqref="A320">
    <cfRule type="expression" dxfId="20" priority="5368" stopIfTrue="1">
      <formula>$A320="barcode"</formula>
    </cfRule>
  </conditionalFormatting>
  <conditionalFormatting sqref="A320">
    <cfRule type="expression" dxfId="21" priority="5369" stopIfTrue="1">
      <formula>OR($A320="geopoint", $A320="geoshape", $A320="geotrace")</formula>
    </cfRule>
  </conditionalFormatting>
  <conditionalFormatting sqref="A320">
    <cfRule type="expression" dxfId="22" priority="5370" stopIfTrue="1">
      <formula>OR($A320="audio audit", $A320="text audit", $A320="speed violations count", $A320="speed violations list", $A320="speed violations audit")</formula>
    </cfRule>
  </conditionalFormatting>
  <conditionalFormatting sqref="A320">
    <cfRule type="expression" dxfId="23" priority="5371" stopIfTrue="1">
      <formula>OR($A320="username", $A320="phonenumber", $A320="start", $A320="end", $A320="deviceid", $A320="subscriberid", $A320="simserial", $A320="caseid")</formula>
    </cfRule>
  </conditionalFormatting>
  <conditionalFormatting sqref="A320">
    <cfRule type="expression" dxfId="24" priority="5372" stopIfTrue="1">
      <formula>OR(AND(LEFT($A320, 16)="select_multiple ", LEN($A320)&gt;16, NOT(ISNUMBER(SEARCH(" ", $A320, 17)))), AND(LEFT($A320, 11)="select_one ", LEN($A320)&gt;11, NOT(ISNUMBER(SEARCH(" ", $A320, 12)))))</formula>
    </cfRule>
  </conditionalFormatting>
  <conditionalFormatting sqref="A320">
    <cfRule type="expression" dxfId="25" priority="5373" stopIfTrue="1">
      <formula>$A320="decimal"</formula>
    </cfRule>
  </conditionalFormatting>
  <conditionalFormatting sqref="A320">
    <cfRule type="expression" dxfId="26" priority="5374" stopIfTrue="1">
      <formula>$A320="integer"</formula>
    </cfRule>
  </conditionalFormatting>
  <conditionalFormatting sqref="A320">
    <cfRule type="expression" dxfId="27" priority="5375" stopIfTrue="1">
      <formula>$A320="text"</formula>
    </cfRule>
  </conditionalFormatting>
  <conditionalFormatting sqref="A320">
    <cfRule type="expression" dxfId="28" priority="5376" stopIfTrue="1">
      <formula>$A320="end repeat"</formula>
    </cfRule>
  </conditionalFormatting>
  <conditionalFormatting sqref="A320">
    <cfRule type="expression" dxfId="28" priority="5377" stopIfTrue="1">
      <formula>$A320="begin repeat"</formula>
    </cfRule>
  </conditionalFormatting>
  <conditionalFormatting sqref="A320">
    <cfRule type="expression" dxfId="29" priority="5378" stopIfTrue="1">
      <formula>$A320="end group"</formula>
    </cfRule>
  </conditionalFormatting>
  <conditionalFormatting sqref="A320">
    <cfRule type="expression" dxfId="29" priority="5379" stopIfTrue="1">
      <formula>$A320="begin group"</formula>
    </cfRule>
  </conditionalFormatting>
  <conditionalFormatting sqref="A312">
    <cfRule type="expression" dxfId="33" priority="5380" stopIfTrue="1">
      <formula>$A312="file"</formula>
    </cfRule>
  </conditionalFormatting>
  <conditionalFormatting sqref="A312">
    <cfRule type="expression" dxfId="34" priority="5381" stopIfTrue="1">
      <formula>$A312="enumerator"</formula>
    </cfRule>
  </conditionalFormatting>
  <conditionalFormatting sqref="A312">
    <cfRule type="expression" dxfId="35" priority="5382" stopIfTrue="1">
      <formula>OR(AND(LEFT($A312, 14)="sensor_stream ", LEN($A312)&gt;14, NOT(ISNUMBER(SEARCH(" ", $A312, 15)))), AND(LEFT($A312, 17)="sensor_statistic ", LEN($A312)&gt;17, NOT(ISNUMBER(SEARCH(" ", $A312, 18)))))</formula>
    </cfRule>
  </conditionalFormatting>
  <conditionalFormatting sqref="A312">
    <cfRule type="expression" dxfId="14" priority="5383" stopIfTrue="1">
      <formula>$A312="comments"</formula>
    </cfRule>
  </conditionalFormatting>
  <conditionalFormatting sqref="A312">
    <cfRule type="expression" dxfId="15" priority="5384" stopIfTrue="1">
      <formula>OR($A312="audio", $A312="video")</formula>
    </cfRule>
  </conditionalFormatting>
  <conditionalFormatting sqref="A312">
    <cfRule type="expression" dxfId="16" priority="5385" stopIfTrue="1">
      <formula>$A312="image"</formula>
    </cfRule>
  </conditionalFormatting>
  <conditionalFormatting sqref="A312">
    <cfRule type="expression" dxfId="17" priority="5386" stopIfTrue="1">
      <formula>OR($A312="date", $A312="datetime", $A312="time")</formula>
    </cfRule>
  </conditionalFormatting>
  <conditionalFormatting sqref="A312">
    <cfRule type="expression" dxfId="18" priority="5387" stopIfTrue="1">
      <formula>OR($A312="calculate", $A312="calculate_here")</formula>
    </cfRule>
  </conditionalFormatting>
  <conditionalFormatting sqref="A312">
    <cfRule type="expression" dxfId="19" priority="5388" stopIfTrue="1">
      <formula>$A312="note"</formula>
    </cfRule>
  </conditionalFormatting>
  <conditionalFormatting sqref="A312">
    <cfRule type="expression" dxfId="20" priority="5389" stopIfTrue="1">
      <formula>$A312="barcode"</formula>
    </cfRule>
  </conditionalFormatting>
  <conditionalFormatting sqref="A312">
    <cfRule type="expression" dxfId="21" priority="5390" stopIfTrue="1">
      <formula>OR($A312="geopoint", $A312="geoshape", $A312="geotrace")</formula>
    </cfRule>
  </conditionalFormatting>
  <conditionalFormatting sqref="A312">
    <cfRule type="expression" dxfId="22" priority="5391" stopIfTrue="1">
      <formula>OR($A312="audio audit", $A312="text audit", $A312="speed violations count", $A312="speed violations list", $A312="speed violations audit")</formula>
    </cfRule>
  </conditionalFormatting>
  <conditionalFormatting sqref="A312">
    <cfRule type="expression" dxfId="23" priority="5392" stopIfTrue="1">
      <formula>OR($A312="username", $A312="phonenumber", $A312="start", $A312="end", $A312="deviceid", $A312="subscriberid", $A312="simserial", $A312="caseid")</formula>
    </cfRule>
  </conditionalFormatting>
  <conditionalFormatting sqref="A312">
    <cfRule type="expression" dxfId="24" priority="5393" stopIfTrue="1">
      <formula>OR(AND(LEFT($A312, 16)="select_multiple ", LEN($A312)&gt;16, NOT(ISNUMBER(SEARCH(" ", $A312, 17)))), AND(LEFT($A312, 11)="select_one ", LEN($A312)&gt;11, NOT(ISNUMBER(SEARCH(" ", $A312, 12)))))</formula>
    </cfRule>
  </conditionalFormatting>
  <conditionalFormatting sqref="A312">
    <cfRule type="expression" dxfId="25" priority="5394" stopIfTrue="1">
      <formula>$A312="decimal"</formula>
    </cfRule>
  </conditionalFormatting>
  <conditionalFormatting sqref="A312">
    <cfRule type="expression" dxfId="26" priority="5395" stopIfTrue="1">
      <formula>$A312="integer"</formula>
    </cfRule>
  </conditionalFormatting>
  <conditionalFormatting sqref="A312">
    <cfRule type="expression" dxfId="27" priority="5396" stopIfTrue="1">
      <formula>$A312="text"</formula>
    </cfRule>
  </conditionalFormatting>
  <conditionalFormatting sqref="A312">
    <cfRule type="expression" dxfId="28" priority="5397" stopIfTrue="1">
      <formula>$A312="end repeat"</formula>
    </cfRule>
  </conditionalFormatting>
  <conditionalFormatting sqref="A312">
    <cfRule type="expression" dxfId="28" priority="5398" stopIfTrue="1">
      <formula>$A312="begin repeat"</formula>
    </cfRule>
  </conditionalFormatting>
  <conditionalFormatting sqref="A312">
    <cfRule type="expression" dxfId="29" priority="5399" stopIfTrue="1">
      <formula>$A312="end group"</formula>
    </cfRule>
  </conditionalFormatting>
  <conditionalFormatting sqref="A312">
    <cfRule type="expression" dxfId="29" priority="5400" stopIfTrue="1">
      <formula>$A312="begin group"</formula>
    </cfRule>
  </conditionalFormatting>
  <conditionalFormatting sqref="A299:A309">
    <cfRule type="expression" dxfId="33" priority="5401" stopIfTrue="1">
      <formula>$A299="file"</formula>
    </cfRule>
  </conditionalFormatting>
  <conditionalFormatting sqref="A299:A309">
    <cfRule type="expression" dxfId="34" priority="5402" stopIfTrue="1">
      <formula>$A299="enumerator"</formula>
    </cfRule>
  </conditionalFormatting>
  <conditionalFormatting sqref="A299:A309">
    <cfRule type="expression" dxfId="35" priority="5403" stopIfTrue="1">
      <formula>OR(AND(LEFT($A299, 14)="sensor_stream ", LEN($A299)&gt;14, NOT(ISNUMBER(SEARCH(" ", $A299, 15)))), AND(LEFT($A299, 17)="sensor_statistic ", LEN($A299)&gt;17, NOT(ISNUMBER(SEARCH(" ", $A299, 18)))))</formula>
    </cfRule>
  </conditionalFormatting>
  <conditionalFormatting sqref="A299:A309">
    <cfRule type="expression" dxfId="14" priority="5404" stopIfTrue="1">
      <formula>$A299="comments"</formula>
    </cfRule>
  </conditionalFormatting>
  <conditionalFormatting sqref="A299:A309">
    <cfRule type="expression" dxfId="15" priority="5405" stopIfTrue="1">
      <formula>OR($A299="audio", $A299="video")</formula>
    </cfRule>
  </conditionalFormatting>
  <conditionalFormatting sqref="A299:A309">
    <cfRule type="expression" dxfId="16" priority="5406" stopIfTrue="1">
      <formula>$A299="image"</formula>
    </cfRule>
  </conditionalFormatting>
  <conditionalFormatting sqref="A299:A309">
    <cfRule type="expression" dxfId="17" priority="5407" stopIfTrue="1">
      <formula>OR($A299="date", $A299="datetime", $A299="time")</formula>
    </cfRule>
  </conditionalFormatting>
  <conditionalFormatting sqref="A299:A309">
    <cfRule type="expression" dxfId="18" priority="5408" stopIfTrue="1">
      <formula>OR($A299="calculate", $A299="calculate_here")</formula>
    </cfRule>
  </conditionalFormatting>
  <conditionalFormatting sqref="A299:A309">
    <cfRule type="expression" dxfId="19" priority="5409" stopIfTrue="1">
      <formula>$A299="note"</formula>
    </cfRule>
  </conditionalFormatting>
  <conditionalFormatting sqref="A299:A309">
    <cfRule type="expression" dxfId="20" priority="5410" stopIfTrue="1">
      <formula>$A299="barcode"</formula>
    </cfRule>
  </conditionalFormatting>
  <conditionalFormatting sqref="A299:A309">
    <cfRule type="expression" dxfId="21" priority="5411" stopIfTrue="1">
      <formula>OR($A299="geopoint", $A299="geoshape", $A299="geotrace")</formula>
    </cfRule>
  </conditionalFormatting>
  <conditionalFormatting sqref="A299:A309">
    <cfRule type="expression" dxfId="22" priority="5412" stopIfTrue="1">
      <formula>OR($A299="audio audit", $A299="text audit", $A299="speed violations count", $A299="speed violations list", $A299="speed violations audit")</formula>
    </cfRule>
  </conditionalFormatting>
  <conditionalFormatting sqref="A299:A309">
    <cfRule type="expression" dxfId="23" priority="5413" stopIfTrue="1">
      <formula>OR($A299="username", $A299="phonenumber", $A299="start", $A299="end", $A299="deviceid", $A299="subscriberid", $A299="simserial", $A299="caseid")</formula>
    </cfRule>
  </conditionalFormatting>
  <conditionalFormatting sqref="A299:A309">
    <cfRule type="expression" dxfId="24" priority="5414" stopIfTrue="1">
      <formula>OR(AND(LEFT($A299, 16)="select_multiple ", LEN($A299)&gt;16, NOT(ISNUMBER(SEARCH(" ", $A299, 17)))), AND(LEFT($A299, 11)="select_one ", LEN($A299)&gt;11, NOT(ISNUMBER(SEARCH(" ", $A299, 12)))))</formula>
    </cfRule>
  </conditionalFormatting>
  <conditionalFormatting sqref="A299:A309">
    <cfRule type="expression" dxfId="25" priority="5415" stopIfTrue="1">
      <formula>$A299="decimal"</formula>
    </cfRule>
  </conditionalFormatting>
  <conditionalFormatting sqref="A299:A309">
    <cfRule type="expression" dxfId="26" priority="5416" stopIfTrue="1">
      <formula>$A299="integer"</formula>
    </cfRule>
  </conditionalFormatting>
  <conditionalFormatting sqref="A299:A309">
    <cfRule type="expression" dxfId="27" priority="5417" stopIfTrue="1">
      <formula>$A299="text"</formula>
    </cfRule>
  </conditionalFormatting>
  <conditionalFormatting sqref="A299:A309">
    <cfRule type="expression" dxfId="28" priority="5418" stopIfTrue="1">
      <formula>$A299="end repeat"</formula>
    </cfRule>
  </conditionalFormatting>
  <conditionalFormatting sqref="A299:A309">
    <cfRule type="expression" dxfId="28" priority="5419" stopIfTrue="1">
      <formula>$A299="begin repeat"</formula>
    </cfRule>
  </conditionalFormatting>
  <conditionalFormatting sqref="A299:A309">
    <cfRule type="expression" dxfId="29" priority="5420" stopIfTrue="1">
      <formula>$A299="end group"</formula>
    </cfRule>
  </conditionalFormatting>
  <conditionalFormatting sqref="A299:A309">
    <cfRule type="expression" dxfId="29" priority="5421" stopIfTrue="1">
      <formula>$A299="begin group"</formula>
    </cfRule>
  </conditionalFormatting>
  <conditionalFormatting sqref="A293:A296">
    <cfRule type="expression" dxfId="33" priority="5422" stopIfTrue="1">
      <formula>$A293="file"</formula>
    </cfRule>
  </conditionalFormatting>
  <conditionalFormatting sqref="A293:A296">
    <cfRule type="expression" dxfId="34" priority="5423" stopIfTrue="1">
      <formula>$A293="enumerator"</formula>
    </cfRule>
  </conditionalFormatting>
  <conditionalFormatting sqref="A293:A296">
    <cfRule type="expression" dxfId="35" priority="5424" stopIfTrue="1">
      <formula>OR(AND(LEFT($A293, 14)="sensor_stream ", LEN($A293)&gt;14, NOT(ISNUMBER(SEARCH(" ", $A293, 15)))), AND(LEFT($A293, 17)="sensor_statistic ", LEN($A293)&gt;17, NOT(ISNUMBER(SEARCH(" ", $A293, 18)))))</formula>
    </cfRule>
  </conditionalFormatting>
  <conditionalFormatting sqref="A293:A296">
    <cfRule type="expression" dxfId="14" priority="5425" stopIfTrue="1">
      <formula>$A293="comments"</formula>
    </cfRule>
  </conditionalFormatting>
  <conditionalFormatting sqref="A293:A296">
    <cfRule type="expression" dxfId="15" priority="5426" stopIfTrue="1">
      <formula>OR($A293="audio", $A293="video")</formula>
    </cfRule>
  </conditionalFormatting>
  <conditionalFormatting sqref="A293:A296">
    <cfRule type="expression" dxfId="16" priority="5427" stopIfTrue="1">
      <formula>$A293="image"</formula>
    </cfRule>
  </conditionalFormatting>
  <conditionalFormatting sqref="A293:A296">
    <cfRule type="expression" dxfId="17" priority="5428" stopIfTrue="1">
      <formula>OR($A293="date", $A293="datetime", $A293="time")</formula>
    </cfRule>
  </conditionalFormatting>
  <conditionalFormatting sqref="A293:A296">
    <cfRule type="expression" dxfId="18" priority="5429" stopIfTrue="1">
      <formula>OR($A293="calculate", $A293="calculate_here")</formula>
    </cfRule>
  </conditionalFormatting>
  <conditionalFormatting sqref="A293:A296">
    <cfRule type="expression" dxfId="19" priority="5430" stopIfTrue="1">
      <formula>$A293="note"</formula>
    </cfRule>
  </conditionalFormatting>
  <conditionalFormatting sqref="A293:A296">
    <cfRule type="expression" dxfId="20" priority="5431" stopIfTrue="1">
      <formula>$A293="barcode"</formula>
    </cfRule>
  </conditionalFormatting>
  <conditionalFormatting sqref="A293:A296">
    <cfRule type="expression" dxfId="21" priority="5432" stopIfTrue="1">
      <formula>OR($A293="geopoint", $A293="geoshape", $A293="geotrace")</formula>
    </cfRule>
  </conditionalFormatting>
  <conditionalFormatting sqref="A293:A296">
    <cfRule type="expression" dxfId="22" priority="5433" stopIfTrue="1">
      <formula>OR($A293="audio audit", $A293="text audit", $A293="speed violations count", $A293="speed violations list", $A293="speed violations audit")</formula>
    </cfRule>
  </conditionalFormatting>
  <conditionalFormatting sqref="A293:A296">
    <cfRule type="expression" dxfId="23" priority="5434" stopIfTrue="1">
      <formula>OR($A293="username", $A293="phonenumber", $A293="start", $A293="end", $A293="deviceid", $A293="subscriberid", $A293="simserial", $A293="caseid")</formula>
    </cfRule>
  </conditionalFormatting>
  <conditionalFormatting sqref="A293:A296">
    <cfRule type="expression" dxfId="24" priority="5435" stopIfTrue="1">
      <formula>OR(AND(LEFT($A293, 16)="select_multiple ", LEN($A293)&gt;16, NOT(ISNUMBER(SEARCH(" ", $A293, 17)))), AND(LEFT($A293, 11)="select_one ", LEN($A293)&gt;11, NOT(ISNUMBER(SEARCH(" ", $A293, 12)))))</formula>
    </cfRule>
  </conditionalFormatting>
  <conditionalFormatting sqref="A293:A296">
    <cfRule type="expression" dxfId="25" priority="5436" stopIfTrue="1">
      <formula>$A293="decimal"</formula>
    </cfRule>
  </conditionalFormatting>
  <conditionalFormatting sqref="A293:A296">
    <cfRule type="expression" dxfId="26" priority="5437" stopIfTrue="1">
      <formula>$A293="integer"</formula>
    </cfRule>
  </conditionalFormatting>
  <conditionalFormatting sqref="A293:A296">
    <cfRule type="expression" dxfId="27" priority="5438" stopIfTrue="1">
      <formula>$A293="text"</formula>
    </cfRule>
  </conditionalFormatting>
  <conditionalFormatting sqref="A293:A296">
    <cfRule type="expression" dxfId="28" priority="5439" stopIfTrue="1">
      <formula>$A293="end repeat"</formula>
    </cfRule>
  </conditionalFormatting>
  <conditionalFormatting sqref="A293:A296">
    <cfRule type="expression" dxfId="28" priority="5440" stopIfTrue="1">
      <formula>$A293="begin repeat"</formula>
    </cfRule>
  </conditionalFormatting>
  <conditionalFormatting sqref="A293:A296">
    <cfRule type="expression" dxfId="29" priority="5441" stopIfTrue="1">
      <formula>$A293="end group"</formula>
    </cfRule>
  </conditionalFormatting>
  <conditionalFormatting sqref="A293:A296">
    <cfRule type="expression" dxfId="29" priority="5442" stopIfTrue="1">
      <formula>$A293="begin group"</formula>
    </cfRule>
  </conditionalFormatting>
  <conditionalFormatting sqref="A287:A290">
    <cfRule type="expression" dxfId="33" priority="5443" stopIfTrue="1">
      <formula>$A287="file"</formula>
    </cfRule>
  </conditionalFormatting>
  <conditionalFormatting sqref="A287:A290">
    <cfRule type="expression" dxfId="34" priority="5444" stopIfTrue="1">
      <formula>$A287="enumerator"</formula>
    </cfRule>
  </conditionalFormatting>
  <conditionalFormatting sqref="A287:A290">
    <cfRule type="expression" dxfId="35" priority="5445" stopIfTrue="1">
      <formula>OR(AND(LEFT($A287, 14)="sensor_stream ", LEN($A287)&gt;14, NOT(ISNUMBER(SEARCH(" ", $A287, 15)))), AND(LEFT($A287, 17)="sensor_statistic ", LEN($A287)&gt;17, NOT(ISNUMBER(SEARCH(" ", $A287, 18)))))</formula>
    </cfRule>
  </conditionalFormatting>
  <conditionalFormatting sqref="A287:A290">
    <cfRule type="expression" dxfId="14" priority="5446" stopIfTrue="1">
      <formula>$A287="comments"</formula>
    </cfRule>
  </conditionalFormatting>
  <conditionalFormatting sqref="A287:A290">
    <cfRule type="expression" dxfId="15" priority="5447" stopIfTrue="1">
      <formula>OR($A287="audio", $A287="video")</formula>
    </cfRule>
  </conditionalFormatting>
  <conditionalFormatting sqref="A287:A290">
    <cfRule type="expression" dxfId="16" priority="5448" stopIfTrue="1">
      <formula>$A287="image"</formula>
    </cfRule>
  </conditionalFormatting>
  <conditionalFormatting sqref="A287:A290">
    <cfRule type="expression" dxfId="17" priority="5449" stopIfTrue="1">
      <formula>OR($A287="date", $A287="datetime", $A287="time")</formula>
    </cfRule>
  </conditionalFormatting>
  <conditionalFormatting sqref="A287:A290">
    <cfRule type="expression" dxfId="18" priority="5450" stopIfTrue="1">
      <formula>OR($A287="calculate", $A287="calculate_here")</formula>
    </cfRule>
  </conditionalFormatting>
  <conditionalFormatting sqref="A287:A290">
    <cfRule type="expression" dxfId="19" priority="5451" stopIfTrue="1">
      <formula>$A287="note"</formula>
    </cfRule>
  </conditionalFormatting>
  <conditionalFormatting sqref="A287:A290">
    <cfRule type="expression" dxfId="20" priority="5452" stopIfTrue="1">
      <formula>$A287="barcode"</formula>
    </cfRule>
  </conditionalFormatting>
  <conditionalFormatting sqref="A287:A290">
    <cfRule type="expression" dxfId="21" priority="5453" stopIfTrue="1">
      <formula>OR($A287="geopoint", $A287="geoshape", $A287="geotrace")</formula>
    </cfRule>
  </conditionalFormatting>
  <conditionalFormatting sqref="A287:A290">
    <cfRule type="expression" dxfId="22" priority="5454" stopIfTrue="1">
      <formula>OR($A287="audio audit", $A287="text audit", $A287="speed violations count", $A287="speed violations list", $A287="speed violations audit")</formula>
    </cfRule>
  </conditionalFormatting>
  <conditionalFormatting sqref="A287:A290">
    <cfRule type="expression" dxfId="23" priority="5455" stopIfTrue="1">
      <formula>OR($A287="username", $A287="phonenumber", $A287="start", $A287="end", $A287="deviceid", $A287="subscriberid", $A287="simserial", $A287="caseid")</formula>
    </cfRule>
  </conditionalFormatting>
  <conditionalFormatting sqref="A287:A290">
    <cfRule type="expression" dxfId="24" priority="5456" stopIfTrue="1">
      <formula>OR(AND(LEFT($A287, 16)="select_multiple ", LEN($A287)&gt;16, NOT(ISNUMBER(SEARCH(" ", $A287, 17)))), AND(LEFT($A287, 11)="select_one ", LEN($A287)&gt;11, NOT(ISNUMBER(SEARCH(" ", $A287, 12)))))</formula>
    </cfRule>
  </conditionalFormatting>
  <conditionalFormatting sqref="A287:A290">
    <cfRule type="expression" dxfId="25" priority="5457" stopIfTrue="1">
      <formula>$A287="decimal"</formula>
    </cfRule>
  </conditionalFormatting>
  <conditionalFormatting sqref="A287:A290">
    <cfRule type="expression" dxfId="26" priority="5458" stopIfTrue="1">
      <formula>$A287="integer"</formula>
    </cfRule>
  </conditionalFormatting>
  <conditionalFormatting sqref="A287:A290">
    <cfRule type="expression" dxfId="27" priority="5459" stopIfTrue="1">
      <formula>$A287="text"</formula>
    </cfRule>
  </conditionalFormatting>
  <conditionalFormatting sqref="A287:A290">
    <cfRule type="expression" dxfId="28" priority="5460" stopIfTrue="1">
      <formula>$A287="end repeat"</formula>
    </cfRule>
  </conditionalFormatting>
  <conditionalFormatting sqref="A287:A290">
    <cfRule type="expression" dxfId="28" priority="5461" stopIfTrue="1">
      <formula>$A287="begin repeat"</formula>
    </cfRule>
  </conditionalFormatting>
  <conditionalFormatting sqref="A287:A290">
    <cfRule type="expression" dxfId="29" priority="5462" stopIfTrue="1">
      <formula>$A287="end group"</formula>
    </cfRule>
  </conditionalFormatting>
  <conditionalFormatting sqref="A287:A290">
    <cfRule type="expression" dxfId="29" priority="5463" stopIfTrue="1">
      <formula>$A287="begin group"</formula>
    </cfRule>
  </conditionalFormatting>
  <conditionalFormatting sqref="A279:A281">
    <cfRule type="expression" dxfId="33" priority="5464" stopIfTrue="1">
      <formula>$A279="file"</formula>
    </cfRule>
  </conditionalFormatting>
  <conditionalFormatting sqref="A279:A281">
    <cfRule type="expression" dxfId="34" priority="5465" stopIfTrue="1">
      <formula>$A279="enumerator"</formula>
    </cfRule>
  </conditionalFormatting>
  <conditionalFormatting sqref="A279:A281">
    <cfRule type="expression" dxfId="35" priority="5466" stopIfTrue="1">
      <formula>OR(AND(LEFT($A279, 14)="sensor_stream ", LEN($A279)&gt;14, NOT(ISNUMBER(SEARCH(" ", $A279, 15)))), AND(LEFT($A279, 17)="sensor_statistic ", LEN($A279)&gt;17, NOT(ISNUMBER(SEARCH(" ", $A279, 18)))))</formula>
    </cfRule>
  </conditionalFormatting>
  <conditionalFormatting sqref="A279:A281">
    <cfRule type="expression" dxfId="14" priority="5467" stopIfTrue="1">
      <formula>$A279="comments"</formula>
    </cfRule>
  </conditionalFormatting>
  <conditionalFormatting sqref="A279:A281">
    <cfRule type="expression" dxfId="15" priority="5468" stopIfTrue="1">
      <formula>OR($A279="audio", $A279="video")</formula>
    </cfRule>
  </conditionalFormatting>
  <conditionalFormatting sqref="A279:A281">
    <cfRule type="expression" dxfId="16" priority="5469" stopIfTrue="1">
      <formula>$A279="image"</formula>
    </cfRule>
  </conditionalFormatting>
  <conditionalFormatting sqref="A279:A281">
    <cfRule type="expression" dxfId="17" priority="5470" stopIfTrue="1">
      <formula>OR($A279="date", $A279="datetime", $A279="time")</formula>
    </cfRule>
  </conditionalFormatting>
  <conditionalFormatting sqref="A279:A281">
    <cfRule type="expression" dxfId="18" priority="5471" stopIfTrue="1">
      <formula>OR($A279="calculate", $A279="calculate_here")</formula>
    </cfRule>
  </conditionalFormatting>
  <conditionalFormatting sqref="A279:A281">
    <cfRule type="expression" dxfId="19" priority="5472" stopIfTrue="1">
      <formula>$A279="note"</formula>
    </cfRule>
  </conditionalFormatting>
  <conditionalFormatting sqref="A279:A281">
    <cfRule type="expression" dxfId="20" priority="5473" stopIfTrue="1">
      <formula>$A279="barcode"</formula>
    </cfRule>
  </conditionalFormatting>
  <conditionalFormatting sqref="A279:A281">
    <cfRule type="expression" dxfId="21" priority="5474" stopIfTrue="1">
      <formula>OR($A279="geopoint", $A279="geoshape", $A279="geotrace")</formula>
    </cfRule>
  </conditionalFormatting>
  <conditionalFormatting sqref="A279:A281">
    <cfRule type="expression" dxfId="22" priority="5475" stopIfTrue="1">
      <formula>OR($A279="audio audit", $A279="text audit", $A279="speed violations count", $A279="speed violations list", $A279="speed violations audit")</formula>
    </cfRule>
  </conditionalFormatting>
  <conditionalFormatting sqref="A279:A281">
    <cfRule type="expression" dxfId="23" priority="5476" stopIfTrue="1">
      <formula>OR($A279="username", $A279="phonenumber", $A279="start", $A279="end", $A279="deviceid", $A279="subscriberid", $A279="simserial", $A279="caseid")</formula>
    </cfRule>
  </conditionalFormatting>
  <conditionalFormatting sqref="A279:A281">
    <cfRule type="expression" dxfId="24" priority="5477" stopIfTrue="1">
      <formula>OR(AND(LEFT($A279, 16)="select_multiple ", LEN($A279)&gt;16, NOT(ISNUMBER(SEARCH(" ", $A279, 17)))), AND(LEFT($A279, 11)="select_one ", LEN($A279)&gt;11, NOT(ISNUMBER(SEARCH(" ", $A279, 12)))))</formula>
    </cfRule>
  </conditionalFormatting>
  <conditionalFormatting sqref="A279:A281">
    <cfRule type="expression" dxfId="25" priority="5478" stopIfTrue="1">
      <formula>$A279="decimal"</formula>
    </cfRule>
  </conditionalFormatting>
  <conditionalFormatting sqref="A279:A281">
    <cfRule type="expression" dxfId="26" priority="5479" stopIfTrue="1">
      <formula>$A279="integer"</formula>
    </cfRule>
  </conditionalFormatting>
  <conditionalFormatting sqref="A279:A281">
    <cfRule type="expression" dxfId="27" priority="5480" stopIfTrue="1">
      <formula>$A279="text"</formula>
    </cfRule>
  </conditionalFormatting>
  <conditionalFormatting sqref="A279:A281">
    <cfRule type="expression" dxfId="28" priority="5481" stopIfTrue="1">
      <formula>$A279="end repeat"</formula>
    </cfRule>
  </conditionalFormatting>
  <conditionalFormatting sqref="A279:A281">
    <cfRule type="expression" dxfId="28" priority="5482" stopIfTrue="1">
      <formula>$A279="begin repeat"</formula>
    </cfRule>
  </conditionalFormatting>
  <conditionalFormatting sqref="A279:A281">
    <cfRule type="expression" dxfId="29" priority="5483" stopIfTrue="1">
      <formula>$A279="end group"</formula>
    </cfRule>
  </conditionalFormatting>
  <conditionalFormatting sqref="A279:A281">
    <cfRule type="expression" dxfId="29" priority="5484" stopIfTrue="1">
      <formula>$A279="begin group"</formula>
    </cfRule>
  </conditionalFormatting>
  <conditionalFormatting sqref="A273:A274">
    <cfRule type="expression" dxfId="33" priority="5485" stopIfTrue="1">
      <formula>$A273="file"</formula>
    </cfRule>
  </conditionalFormatting>
  <conditionalFormatting sqref="A273:A274">
    <cfRule type="expression" dxfId="34" priority="5486" stopIfTrue="1">
      <formula>$A273="enumerator"</formula>
    </cfRule>
  </conditionalFormatting>
  <conditionalFormatting sqref="A273:A274">
    <cfRule type="expression" dxfId="35" priority="5487" stopIfTrue="1">
      <formula>OR(AND(LEFT($A273, 14)="sensor_stream ", LEN($A273)&gt;14, NOT(ISNUMBER(SEARCH(" ", $A273, 15)))), AND(LEFT($A273, 17)="sensor_statistic ", LEN($A273)&gt;17, NOT(ISNUMBER(SEARCH(" ", $A273, 18)))))</formula>
    </cfRule>
  </conditionalFormatting>
  <conditionalFormatting sqref="A273:A274">
    <cfRule type="expression" dxfId="14" priority="5488" stopIfTrue="1">
      <formula>$A273="comments"</formula>
    </cfRule>
  </conditionalFormatting>
  <conditionalFormatting sqref="A273:A274">
    <cfRule type="expression" dxfId="15" priority="5489" stopIfTrue="1">
      <formula>OR($A273="audio", $A273="video")</formula>
    </cfRule>
  </conditionalFormatting>
  <conditionalFormatting sqref="A273:A274">
    <cfRule type="expression" dxfId="16" priority="5490" stopIfTrue="1">
      <formula>$A273="image"</formula>
    </cfRule>
  </conditionalFormatting>
  <conditionalFormatting sqref="A273:A274">
    <cfRule type="expression" dxfId="17" priority="5491" stopIfTrue="1">
      <formula>OR($A273="date", $A273="datetime", $A273="time")</formula>
    </cfRule>
  </conditionalFormatting>
  <conditionalFormatting sqref="A273:A274">
    <cfRule type="expression" dxfId="18" priority="5492" stopIfTrue="1">
      <formula>OR($A273="calculate", $A273="calculate_here")</formula>
    </cfRule>
  </conditionalFormatting>
  <conditionalFormatting sqref="A273:A274">
    <cfRule type="expression" dxfId="19" priority="5493" stopIfTrue="1">
      <formula>$A273="note"</formula>
    </cfRule>
  </conditionalFormatting>
  <conditionalFormatting sqref="A273:A274">
    <cfRule type="expression" dxfId="20" priority="5494" stopIfTrue="1">
      <formula>$A273="barcode"</formula>
    </cfRule>
  </conditionalFormatting>
  <conditionalFormatting sqref="A273:A274">
    <cfRule type="expression" dxfId="21" priority="5495" stopIfTrue="1">
      <formula>OR($A273="geopoint", $A273="geoshape", $A273="geotrace")</formula>
    </cfRule>
  </conditionalFormatting>
  <conditionalFormatting sqref="A273:A274">
    <cfRule type="expression" dxfId="22" priority="5496" stopIfTrue="1">
      <formula>OR($A273="audio audit", $A273="text audit", $A273="speed violations count", $A273="speed violations list", $A273="speed violations audit")</formula>
    </cfRule>
  </conditionalFormatting>
  <conditionalFormatting sqref="A273:A274">
    <cfRule type="expression" dxfId="23" priority="5497" stopIfTrue="1">
      <formula>OR($A273="username", $A273="phonenumber", $A273="start", $A273="end", $A273="deviceid", $A273="subscriberid", $A273="simserial", $A273="caseid")</formula>
    </cfRule>
  </conditionalFormatting>
  <conditionalFormatting sqref="A273:A274">
    <cfRule type="expression" dxfId="24" priority="5498" stopIfTrue="1">
      <formula>OR(AND(LEFT($A273, 16)="select_multiple ", LEN($A273)&gt;16, NOT(ISNUMBER(SEARCH(" ", $A273, 17)))), AND(LEFT($A273, 11)="select_one ", LEN($A273)&gt;11, NOT(ISNUMBER(SEARCH(" ", $A273, 12)))))</formula>
    </cfRule>
  </conditionalFormatting>
  <conditionalFormatting sqref="A273:A274">
    <cfRule type="expression" dxfId="25" priority="5499" stopIfTrue="1">
      <formula>$A273="decimal"</formula>
    </cfRule>
  </conditionalFormatting>
  <conditionalFormatting sqref="A273:A274">
    <cfRule type="expression" dxfId="26" priority="5500" stopIfTrue="1">
      <formula>$A273="integer"</formula>
    </cfRule>
  </conditionalFormatting>
  <conditionalFormatting sqref="A273:A274">
    <cfRule type="expression" dxfId="27" priority="5501" stopIfTrue="1">
      <formula>$A273="text"</formula>
    </cfRule>
  </conditionalFormatting>
  <conditionalFormatting sqref="A273:A274">
    <cfRule type="expression" dxfId="28" priority="5502" stopIfTrue="1">
      <formula>$A273="end repeat"</formula>
    </cfRule>
  </conditionalFormatting>
  <conditionalFormatting sqref="A273:A274">
    <cfRule type="expression" dxfId="28" priority="5503" stopIfTrue="1">
      <formula>$A273="begin repeat"</formula>
    </cfRule>
  </conditionalFormatting>
  <conditionalFormatting sqref="A273:A274">
    <cfRule type="expression" dxfId="29" priority="5504" stopIfTrue="1">
      <formula>$A273="end group"</formula>
    </cfRule>
  </conditionalFormatting>
  <conditionalFormatting sqref="A273:A274">
    <cfRule type="expression" dxfId="29" priority="5505" stopIfTrue="1">
      <formula>$A273="begin group"</formula>
    </cfRule>
  </conditionalFormatting>
  <conditionalFormatting sqref="A267:A271">
    <cfRule type="expression" dxfId="33" priority="5506" stopIfTrue="1">
      <formula>$A267="file"</formula>
    </cfRule>
  </conditionalFormatting>
  <conditionalFormatting sqref="A267:A271">
    <cfRule type="expression" dxfId="34" priority="5507" stopIfTrue="1">
      <formula>$A267="enumerator"</formula>
    </cfRule>
  </conditionalFormatting>
  <conditionalFormatting sqref="A267:A271">
    <cfRule type="expression" dxfId="35" priority="5508" stopIfTrue="1">
      <formula>OR(AND(LEFT($A267, 14)="sensor_stream ", LEN($A267)&gt;14, NOT(ISNUMBER(SEARCH(" ", $A267, 15)))), AND(LEFT($A267, 17)="sensor_statistic ", LEN($A267)&gt;17, NOT(ISNUMBER(SEARCH(" ", $A267, 18)))))</formula>
    </cfRule>
  </conditionalFormatting>
  <conditionalFormatting sqref="A267:A271">
    <cfRule type="expression" dxfId="14" priority="5509" stopIfTrue="1">
      <formula>$A267="comments"</formula>
    </cfRule>
  </conditionalFormatting>
  <conditionalFormatting sqref="A267:A271">
    <cfRule type="expression" dxfId="15" priority="5510" stopIfTrue="1">
      <formula>OR($A267="audio", $A267="video")</formula>
    </cfRule>
  </conditionalFormatting>
  <conditionalFormatting sqref="A267:A271">
    <cfRule type="expression" dxfId="16" priority="5511" stopIfTrue="1">
      <formula>$A267="image"</formula>
    </cfRule>
  </conditionalFormatting>
  <conditionalFormatting sqref="A267:A271">
    <cfRule type="expression" dxfId="17" priority="5512" stopIfTrue="1">
      <formula>OR($A267="date", $A267="datetime", $A267="time")</formula>
    </cfRule>
  </conditionalFormatting>
  <conditionalFormatting sqref="A267:A271">
    <cfRule type="expression" dxfId="18" priority="5513" stopIfTrue="1">
      <formula>OR($A267="calculate", $A267="calculate_here")</formula>
    </cfRule>
  </conditionalFormatting>
  <conditionalFormatting sqref="A267:A271">
    <cfRule type="expression" dxfId="19" priority="5514" stopIfTrue="1">
      <formula>$A267="note"</formula>
    </cfRule>
  </conditionalFormatting>
  <conditionalFormatting sqref="A267:A271">
    <cfRule type="expression" dxfId="20" priority="5515" stopIfTrue="1">
      <formula>$A267="barcode"</formula>
    </cfRule>
  </conditionalFormatting>
  <conditionalFormatting sqref="A267:A271">
    <cfRule type="expression" dxfId="21" priority="5516" stopIfTrue="1">
      <formula>OR($A267="geopoint", $A267="geoshape", $A267="geotrace")</formula>
    </cfRule>
  </conditionalFormatting>
  <conditionalFormatting sqref="A267:A271">
    <cfRule type="expression" dxfId="22" priority="5517" stopIfTrue="1">
      <formula>OR($A267="audio audit", $A267="text audit", $A267="speed violations count", $A267="speed violations list", $A267="speed violations audit")</formula>
    </cfRule>
  </conditionalFormatting>
  <conditionalFormatting sqref="A267:A271">
    <cfRule type="expression" dxfId="23" priority="5518" stopIfTrue="1">
      <formula>OR($A267="username", $A267="phonenumber", $A267="start", $A267="end", $A267="deviceid", $A267="subscriberid", $A267="simserial", $A267="caseid")</formula>
    </cfRule>
  </conditionalFormatting>
  <conditionalFormatting sqref="A267:A271">
    <cfRule type="expression" dxfId="24" priority="5519" stopIfTrue="1">
      <formula>OR(AND(LEFT($A267, 16)="select_multiple ", LEN($A267)&gt;16, NOT(ISNUMBER(SEARCH(" ", $A267, 17)))), AND(LEFT($A267, 11)="select_one ", LEN($A267)&gt;11, NOT(ISNUMBER(SEARCH(" ", $A267, 12)))))</formula>
    </cfRule>
  </conditionalFormatting>
  <conditionalFormatting sqref="A267:A271">
    <cfRule type="expression" dxfId="25" priority="5520" stopIfTrue="1">
      <formula>$A267="decimal"</formula>
    </cfRule>
  </conditionalFormatting>
  <conditionalFormatting sqref="A267:A271">
    <cfRule type="expression" dxfId="26" priority="5521" stopIfTrue="1">
      <formula>$A267="integer"</formula>
    </cfRule>
  </conditionalFormatting>
  <conditionalFormatting sqref="A267:A271">
    <cfRule type="expression" dxfId="27" priority="5522" stopIfTrue="1">
      <formula>$A267="text"</formula>
    </cfRule>
  </conditionalFormatting>
  <conditionalFormatting sqref="A267:A271">
    <cfRule type="expression" dxfId="28" priority="5523" stopIfTrue="1">
      <formula>$A267="end repeat"</formula>
    </cfRule>
  </conditionalFormatting>
  <conditionalFormatting sqref="A267:A271">
    <cfRule type="expression" dxfId="28" priority="5524" stopIfTrue="1">
      <formula>$A267="begin repeat"</formula>
    </cfRule>
  </conditionalFormatting>
  <conditionalFormatting sqref="A267:A271">
    <cfRule type="expression" dxfId="29" priority="5525" stopIfTrue="1">
      <formula>$A267="end group"</formula>
    </cfRule>
  </conditionalFormatting>
  <conditionalFormatting sqref="A267:A271">
    <cfRule type="expression" dxfId="29" priority="5526" stopIfTrue="1">
      <formula>$A267="begin group"</formula>
    </cfRule>
  </conditionalFormatting>
  <conditionalFormatting sqref="A225:A265">
    <cfRule type="expression" dxfId="33" priority="5527" stopIfTrue="1">
      <formula>$A225="file"</formula>
    </cfRule>
  </conditionalFormatting>
  <conditionalFormatting sqref="A225:A265">
    <cfRule type="expression" dxfId="34" priority="5528" stopIfTrue="1">
      <formula>$A225="enumerator"</formula>
    </cfRule>
  </conditionalFormatting>
  <conditionalFormatting sqref="A225:A265">
    <cfRule type="expression" dxfId="35" priority="5529" stopIfTrue="1">
      <formula>OR(AND(LEFT($A225, 14)="sensor_stream ", LEN($A225)&gt;14, NOT(ISNUMBER(SEARCH(" ", $A225, 15)))), AND(LEFT($A225, 17)="sensor_statistic ", LEN($A225)&gt;17, NOT(ISNUMBER(SEARCH(" ", $A225, 18)))))</formula>
    </cfRule>
  </conditionalFormatting>
  <conditionalFormatting sqref="A225:A265">
    <cfRule type="expression" dxfId="14" priority="5530" stopIfTrue="1">
      <formula>$A225="comments"</formula>
    </cfRule>
  </conditionalFormatting>
  <conditionalFormatting sqref="A225:A265">
    <cfRule type="expression" dxfId="15" priority="5531" stopIfTrue="1">
      <formula>OR($A225="audio", $A225="video")</formula>
    </cfRule>
  </conditionalFormatting>
  <conditionalFormatting sqref="A225:A265">
    <cfRule type="expression" dxfId="16" priority="5532" stopIfTrue="1">
      <formula>$A225="image"</formula>
    </cfRule>
  </conditionalFormatting>
  <conditionalFormatting sqref="A225:A265">
    <cfRule type="expression" dxfId="17" priority="5533" stopIfTrue="1">
      <formula>OR($A225="date", $A225="datetime", $A225="time")</formula>
    </cfRule>
  </conditionalFormatting>
  <conditionalFormatting sqref="A225:A265">
    <cfRule type="expression" dxfId="18" priority="5534" stopIfTrue="1">
      <formula>OR($A225="calculate", $A225="calculate_here")</formula>
    </cfRule>
  </conditionalFormatting>
  <conditionalFormatting sqref="A225:A265">
    <cfRule type="expression" dxfId="19" priority="5535" stopIfTrue="1">
      <formula>$A225="note"</formula>
    </cfRule>
  </conditionalFormatting>
  <conditionalFormatting sqref="A225:A265">
    <cfRule type="expression" dxfId="20" priority="5536" stopIfTrue="1">
      <formula>$A225="barcode"</formula>
    </cfRule>
  </conditionalFormatting>
  <conditionalFormatting sqref="A225:A265">
    <cfRule type="expression" dxfId="21" priority="5537" stopIfTrue="1">
      <formula>OR($A225="geopoint", $A225="geoshape", $A225="geotrace")</formula>
    </cfRule>
  </conditionalFormatting>
  <conditionalFormatting sqref="A225:A265">
    <cfRule type="expression" dxfId="22" priority="5538" stopIfTrue="1">
      <formula>OR($A225="audio audit", $A225="text audit", $A225="speed violations count", $A225="speed violations list", $A225="speed violations audit")</formula>
    </cfRule>
  </conditionalFormatting>
  <conditionalFormatting sqref="A225:A265">
    <cfRule type="expression" dxfId="23" priority="5539" stopIfTrue="1">
      <formula>OR($A225="username", $A225="phonenumber", $A225="start", $A225="end", $A225="deviceid", $A225="subscriberid", $A225="simserial", $A225="caseid")</formula>
    </cfRule>
  </conditionalFormatting>
  <conditionalFormatting sqref="A225:A265">
    <cfRule type="expression" dxfId="24" priority="5540" stopIfTrue="1">
      <formula>OR(AND(LEFT($A225, 16)="select_multiple ", LEN($A225)&gt;16, NOT(ISNUMBER(SEARCH(" ", $A225, 17)))), AND(LEFT($A225, 11)="select_one ", LEN($A225)&gt;11, NOT(ISNUMBER(SEARCH(" ", $A225, 12)))))</formula>
    </cfRule>
  </conditionalFormatting>
  <conditionalFormatting sqref="A225:A265">
    <cfRule type="expression" dxfId="25" priority="5541" stopIfTrue="1">
      <formula>$A225="decimal"</formula>
    </cfRule>
  </conditionalFormatting>
  <conditionalFormatting sqref="A225:A265">
    <cfRule type="expression" dxfId="26" priority="5542" stopIfTrue="1">
      <formula>$A225="integer"</formula>
    </cfRule>
  </conditionalFormatting>
  <conditionalFormatting sqref="A225:A265">
    <cfRule type="expression" dxfId="27" priority="5543" stopIfTrue="1">
      <formula>$A225="text"</formula>
    </cfRule>
  </conditionalFormatting>
  <conditionalFormatting sqref="A225:A265">
    <cfRule type="expression" dxfId="28" priority="5544" stopIfTrue="1">
      <formula>$A225="end repeat"</formula>
    </cfRule>
  </conditionalFormatting>
  <conditionalFormatting sqref="A225:A265">
    <cfRule type="expression" dxfId="28" priority="5545" stopIfTrue="1">
      <formula>$A225="begin repeat"</formula>
    </cfRule>
  </conditionalFormatting>
  <conditionalFormatting sqref="A225:A265">
    <cfRule type="expression" dxfId="29" priority="5546" stopIfTrue="1">
      <formula>$A225="end group"</formula>
    </cfRule>
  </conditionalFormatting>
  <conditionalFormatting sqref="A225:A265">
    <cfRule type="expression" dxfId="29" priority="5547" stopIfTrue="1">
      <formula>$A225="begin group"</formula>
    </cfRule>
  </conditionalFormatting>
  <conditionalFormatting sqref="A217:A223">
    <cfRule type="expression" dxfId="33" priority="5548" stopIfTrue="1">
      <formula>$A217="file"</formula>
    </cfRule>
  </conditionalFormatting>
  <conditionalFormatting sqref="A217:A223">
    <cfRule type="expression" dxfId="34" priority="5549" stopIfTrue="1">
      <formula>$A217="enumerator"</formula>
    </cfRule>
  </conditionalFormatting>
  <conditionalFormatting sqref="A217:A223">
    <cfRule type="expression" dxfId="35" priority="5550" stopIfTrue="1">
      <formula>OR(AND(LEFT($A217, 14)="sensor_stream ", LEN($A217)&gt;14, NOT(ISNUMBER(SEARCH(" ", $A217, 15)))), AND(LEFT($A217, 17)="sensor_statistic ", LEN($A217)&gt;17, NOT(ISNUMBER(SEARCH(" ", $A217, 18)))))</formula>
    </cfRule>
  </conditionalFormatting>
  <conditionalFormatting sqref="A217:A223">
    <cfRule type="expression" dxfId="14" priority="5551" stopIfTrue="1">
      <formula>$A217="comments"</formula>
    </cfRule>
  </conditionalFormatting>
  <conditionalFormatting sqref="A217:A223">
    <cfRule type="expression" dxfId="15" priority="5552" stopIfTrue="1">
      <formula>OR($A217="audio", $A217="video")</formula>
    </cfRule>
  </conditionalFormatting>
  <conditionalFormatting sqref="A217:A223">
    <cfRule type="expression" dxfId="16" priority="5553" stopIfTrue="1">
      <formula>$A217="image"</formula>
    </cfRule>
  </conditionalFormatting>
  <conditionalFormatting sqref="A217:A223">
    <cfRule type="expression" dxfId="17" priority="5554" stopIfTrue="1">
      <formula>OR($A217="date", $A217="datetime", $A217="time")</formula>
    </cfRule>
  </conditionalFormatting>
  <conditionalFormatting sqref="A217:A223">
    <cfRule type="expression" dxfId="18" priority="5555" stopIfTrue="1">
      <formula>OR($A217="calculate", $A217="calculate_here")</formula>
    </cfRule>
  </conditionalFormatting>
  <conditionalFormatting sqref="A217:A223">
    <cfRule type="expression" dxfId="19" priority="5556" stopIfTrue="1">
      <formula>$A217="note"</formula>
    </cfRule>
  </conditionalFormatting>
  <conditionalFormatting sqref="A217:A223">
    <cfRule type="expression" dxfId="20" priority="5557" stopIfTrue="1">
      <formula>$A217="barcode"</formula>
    </cfRule>
  </conditionalFormatting>
  <conditionalFormatting sqref="A217:A223">
    <cfRule type="expression" dxfId="21" priority="5558" stopIfTrue="1">
      <formula>OR($A217="geopoint", $A217="geoshape", $A217="geotrace")</formula>
    </cfRule>
  </conditionalFormatting>
  <conditionalFormatting sqref="A217:A223">
    <cfRule type="expression" dxfId="22" priority="5559" stopIfTrue="1">
      <formula>OR($A217="audio audit", $A217="text audit", $A217="speed violations count", $A217="speed violations list", $A217="speed violations audit")</formula>
    </cfRule>
  </conditionalFormatting>
  <conditionalFormatting sqref="A217:A223">
    <cfRule type="expression" dxfId="23" priority="5560" stopIfTrue="1">
      <formula>OR($A217="username", $A217="phonenumber", $A217="start", $A217="end", $A217="deviceid", $A217="subscriberid", $A217="simserial", $A217="caseid")</formula>
    </cfRule>
  </conditionalFormatting>
  <conditionalFormatting sqref="A217:A223">
    <cfRule type="expression" dxfId="24" priority="5561" stopIfTrue="1">
      <formula>OR(AND(LEFT($A217, 16)="select_multiple ", LEN($A217)&gt;16, NOT(ISNUMBER(SEARCH(" ", $A217, 17)))), AND(LEFT($A217, 11)="select_one ", LEN($A217)&gt;11, NOT(ISNUMBER(SEARCH(" ", $A217, 12)))))</formula>
    </cfRule>
  </conditionalFormatting>
  <conditionalFormatting sqref="A217:A223">
    <cfRule type="expression" dxfId="25" priority="5562" stopIfTrue="1">
      <formula>$A217="decimal"</formula>
    </cfRule>
  </conditionalFormatting>
  <conditionalFormatting sqref="A217:A223">
    <cfRule type="expression" dxfId="26" priority="5563" stopIfTrue="1">
      <formula>$A217="integer"</formula>
    </cfRule>
  </conditionalFormatting>
  <conditionalFormatting sqref="A217:A223">
    <cfRule type="expression" dxfId="27" priority="5564" stopIfTrue="1">
      <formula>$A217="text"</formula>
    </cfRule>
  </conditionalFormatting>
  <conditionalFormatting sqref="A217:A223">
    <cfRule type="expression" dxfId="28" priority="5565" stopIfTrue="1">
      <formula>$A217="end repeat"</formula>
    </cfRule>
  </conditionalFormatting>
  <conditionalFormatting sqref="A217:A223">
    <cfRule type="expression" dxfId="28" priority="5566" stopIfTrue="1">
      <formula>$A217="begin repeat"</formula>
    </cfRule>
  </conditionalFormatting>
  <conditionalFormatting sqref="A217:A223">
    <cfRule type="expression" dxfId="29" priority="5567" stopIfTrue="1">
      <formula>$A217="end group"</formula>
    </cfRule>
  </conditionalFormatting>
  <conditionalFormatting sqref="A217:A223">
    <cfRule type="expression" dxfId="29" priority="5568" stopIfTrue="1">
      <formula>$A217="begin group"</formula>
    </cfRule>
  </conditionalFormatting>
  <conditionalFormatting sqref="A215">
    <cfRule type="expression" dxfId="33" priority="5569" stopIfTrue="1">
      <formula>$A215="file"</formula>
    </cfRule>
  </conditionalFormatting>
  <conditionalFormatting sqref="A215">
    <cfRule type="expression" dxfId="34" priority="5570" stopIfTrue="1">
      <formula>$A215="enumerator"</formula>
    </cfRule>
  </conditionalFormatting>
  <conditionalFormatting sqref="A215">
    <cfRule type="expression" dxfId="35" priority="5571" stopIfTrue="1">
      <formula>OR(AND(LEFT($A215, 14)="sensor_stream ", LEN($A215)&gt;14, NOT(ISNUMBER(SEARCH(" ", $A215, 15)))), AND(LEFT($A215, 17)="sensor_statistic ", LEN($A215)&gt;17, NOT(ISNUMBER(SEARCH(" ", $A215, 18)))))</formula>
    </cfRule>
  </conditionalFormatting>
  <conditionalFormatting sqref="A215">
    <cfRule type="expression" dxfId="14" priority="5572" stopIfTrue="1">
      <formula>$A215="comments"</formula>
    </cfRule>
  </conditionalFormatting>
  <conditionalFormatting sqref="A215">
    <cfRule type="expression" dxfId="15" priority="5573" stopIfTrue="1">
      <formula>OR($A215="audio", $A215="video")</formula>
    </cfRule>
  </conditionalFormatting>
  <conditionalFormatting sqref="A215">
    <cfRule type="expression" dxfId="16" priority="5574" stopIfTrue="1">
      <formula>$A215="image"</formula>
    </cfRule>
  </conditionalFormatting>
  <conditionalFormatting sqref="A215">
    <cfRule type="expression" dxfId="17" priority="5575" stopIfTrue="1">
      <formula>OR($A215="date", $A215="datetime", $A215="time")</formula>
    </cfRule>
  </conditionalFormatting>
  <conditionalFormatting sqref="A215">
    <cfRule type="expression" dxfId="18" priority="5576" stopIfTrue="1">
      <formula>OR($A215="calculate", $A215="calculate_here")</formula>
    </cfRule>
  </conditionalFormatting>
  <conditionalFormatting sqref="A215">
    <cfRule type="expression" dxfId="19" priority="5577" stopIfTrue="1">
      <formula>$A215="note"</formula>
    </cfRule>
  </conditionalFormatting>
  <conditionalFormatting sqref="A215">
    <cfRule type="expression" dxfId="20" priority="5578" stopIfTrue="1">
      <formula>$A215="barcode"</formula>
    </cfRule>
  </conditionalFormatting>
  <conditionalFormatting sqref="A215">
    <cfRule type="expression" dxfId="21" priority="5579" stopIfTrue="1">
      <formula>OR($A215="geopoint", $A215="geoshape", $A215="geotrace")</formula>
    </cfRule>
  </conditionalFormatting>
  <conditionalFormatting sqref="A215">
    <cfRule type="expression" dxfId="22" priority="5580" stopIfTrue="1">
      <formula>OR($A215="audio audit", $A215="text audit", $A215="speed violations count", $A215="speed violations list", $A215="speed violations audit")</formula>
    </cfRule>
  </conditionalFormatting>
  <conditionalFormatting sqref="A215">
    <cfRule type="expression" dxfId="23" priority="5581" stopIfTrue="1">
      <formula>OR($A215="username", $A215="phonenumber", $A215="start", $A215="end", $A215="deviceid", $A215="subscriberid", $A215="simserial", $A215="caseid")</formula>
    </cfRule>
  </conditionalFormatting>
  <conditionalFormatting sqref="A215">
    <cfRule type="expression" dxfId="24" priority="5582" stopIfTrue="1">
      <formula>OR(AND(LEFT($A215, 16)="select_multiple ", LEN($A215)&gt;16, NOT(ISNUMBER(SEARCH(" ", $A215, 17)))), AND(LEFT($A215, 11)="select_one ", LEN($A215)&gt;11, NOT(ISNUMBER(SEARCH(" ", $A215, 12)))))</formula>
    </cfRule>
  </conditionalFormatting>
  <conditionalFormatting sqref="A215">
    <cfRule type="expression" dxfId="25" priority="5583" stopIfTrue="1">
      <formula>$A215="decimal"</formula>
    </cfRule>
  </conditionalFormatting>
  <conditionalFormatting sqref="A215">
    <cfRule type="expression" dxfId="26" priority="5584" stopIfTrue="1">
      <formula>$A215="integer"</formula>
    </cfRule>
  </conditionalFormatting>
  <conditionalFormatting sqref="A215">
    <cfRule type="expression" dxfId="27" priority="5585" stopIfTrue="1">
      <formula>$A215="text"</formula>
    </cfRule>
  </conditionalFormatting>
  <conditionalFormatting sqref="A215">
    <cfRule type="expression" dxfId="28" priority="5586" stopIfTrue="1">
      <formula>$A215="end repeat"</formula>
    </cfRule>
  </conditionalFormatting>
  <conditionalFormatting sqref="A215">
    <cfRule type="expression" dxfId="28" priority="5587" stopIfTrue="1">
      <formula>$A215="begin repeat"</formula>
    </cfRule>
  </conditionalFormatting>
  <conditionalFormatting sqref="A215">
    <cfRule type="expression" dxfId="29" priority="5588" stopIfTrue="1">
      <formula>$A215="end group"</formula>
    </cfRule>
  </conditionalFormatting>
  <conditionalFormatting sqref="A215">
    <cfRule type="expression" dxfId="29" priority="5589" stopIfTrue="1">
      <formula>$A215="begin group"</formula>
    </cfRule>
  </conditionalFormatting>
  <conditionalFormatting sqref="A208:A211">
    <cfRule type="expression" dxfId="33" priority="5590" stopIfTrue="1">
      <formula>$A208="file"</formula>
    </cfRule>
  </conditionalFormatting>
  <conditionalFormatting sqref="A208:A211">
    <cfRule type="expression" dxfId="34" priority="5591" stopIfTrue="1">
      <formula>$A208="enumerator"</formula>
    </cfRule>
  </conditionalFormatting>
  <conditionalFormatting sqref="A208:A211">
    <cfRule type="expression" dxfId="35" priority="5592" stopIfTrue="1">
      <formula>OR(AND(LEFT($A208, 14)="sensor_stream ", LEN($A208)&gt;14, NOT(ISNUMBER(SEARCH(" ", $A208, 15)))), AND(LEFT($A208, 17)="sensor_statistic ", LEN($A208)&gt;17, NOT(ISNUMBER(SEARCH(" ", $A208, 18)))))</formula>
    </cfRule>
  </conditionalFormatting>
  <conditionalFormatting sqref="A208:A211">
    <cfRule type="expression" dxfId="14" priority="5593" stopIfTrue="1">
      <formula>$A208="comments"</formula>
    </cfRule>
  </conditionalFormatting>
  <conditionalFormatting sqref="A208:A211">
    <cfRule type="expression" dxfId="15" priority="5594" stopIfTrue="1">
      <formula>OR($A208="audio", $A208="video")</formula>
    </cfRule>
  </conditionalFormatting>
  <conditionalFormatting sqref="A208:A211">
    <cfRule type="expression" dxfId="16" priority="5595" stopIfTrue="1">
      <formula>$A208="image"</formula>
    </cfRule>
  </conditionalFormatting>
  <conditionalFormatting sqref="A208:A211">
    <cfRule type="expression" dxfId="17" priority="5596" stopIfTrue="1">
      <formula>OR($A208="date", $A208="datetime", $A208="time")</formula>
    </cfRule>
  </conditionalFormatting>
  <conditionalFormatting sqref="A208:A211">
    <cfRule type="expression" dxfId="18" priority="5597" stopIfTrue="1">
      <formula>OR($A208="calculate", $A208="calculate_here")</formula>
    </cfRule>
  </conditionalFormatting>
  <conditionalFormatting sqref="A208:A211">
    <cfRule type="expression" dxfId="19" priority="5598" stopIfTrue="1">
      <formula>$A208="note"</formula>
    </cfRule>
  </conditionalFormatting>
  <conditionalFormatting sqref="A208:A211">
    <cfRule type="expression" dxfId="20" priority="5599" stopIfTrue="1">
      <formula>$A208="barcode"</formula>
    </cfRule>
  </conditionalFormatting>
  <conditionalFormatting sqref="A208:A211">
    <cfRule type="expression" dxfId="21" priority="5600" stopIfTrue="1">
      <formula>OR($A208="geopoint", $A208="geoshape", $A208="geotrace")</formula>
    </cfRule>
  </conditionalFormatting>
  <conditionalFormatting sqref="A208:A211">
    <cfRule type="expression" dxfId="22" priority="5601" stopIfTrue="1">
      <formula>OR($A208="audio audit", $A208="text audit", $A208="speed violations count", $A208="speed violations list", $A208="speed violations audit")</formula>
    </cfRule>
  </conditionalFormatting>
  <conditionalFormatting sqref="A208:A211">
    <cfRule type="expression" dxfId="23" priority="5602" stopIfTrue="1">
      <formula>OR($A208="username", $A208="phonenumber", $A208="start", $A208="end", $A208="deviceid", $A208="subscriberid", $A208="simserial", $A208="caseid")</formula>
    </cfRule>
  </conditionalFormatting>
  <conditionalFormatting sqref="A208:A211">
    <cfRule type="expression" dxfId="24" priority="5603" stopIfTrue="1">
      <formula>OR(AND(LEFT($A208, 16)="select_multiple ", LEN($A208)&gt;16, NOT(ISNUMBER(SEARCH(" ", $A208, 17)))), AND(LEFT($A208, 11)="select_one ", LEN($A208)&gt;11, NOT(ISNUMBER(SEARCH(" ", $A208, 12)))))</formula>
    </cfRule>
  </conditionalFormatting>
  <conditionalFormatting sqref="A208:A211">
    <cfRule type="expression" dxfId="25" priority="5604" stopIfTrue="1">
      <formula>$A208="decimal"</formula>
    </cfRule>
  </conditionalFormatting>
  <conditionalFormatting sqref="A208:A211">
    <cfRule type="expression" dxfId="26" priority="5605" stopIfTrue="1">
      <formula>$A208="integer"</formula>
    </cfRule>
  </conditionalFormatting>
  <conditionalFormatting sqref="A208:A211">
    <cfRule type="expression" dxfId="27" priority="5606" stopIfTrue="1">
      <formula>$A208="text"</formula>
    </cfRule>
  </conditionalFormatting>
  <conditionalFormatting sqref="A208:A211">
    <cfRule type="expression" dxfId="28" priority="5607" stopIfTrue="1">
      <formula>$A208="end repeat"</formula>
    </cfRule>
  </conditionalFormatting>
  <conditionalFormatting sqref="A208:A211">
    <cfRule type="expression" dxfId="28" priority="5608" stopIfTrue="1">
      <formula>$A208="begin repeat"</formula>
    </cfRule>
  </conditionalFormatting>
  <conditionalFormatting sqref="A208:A211">
    <cfRule type="expression" dxfId="29" priority="5609" stopIfTrue="1">
      <formula>$A208="end group"</formula>
    </cfRule>
  </conditionalFormatting>
  <conditionalFormatting sqref="A208:A211">
    <cfRule type="expression" dxfId="29" priority="5610" stopIfTrue="1">
      <formula>$A208="begin group"</formula>
    </cfRule>
  </conditionalFormatting>
  <conditionalFormatting sqref="A201:A205">
    <cfRule type="expression" dxfId="33" priority="5611" stopIfTrue="1">
      <formula>$A201="file"</formula>
    </cfRule>
  </conditionalFormatting>
  <conditionalFormatting sqref="A201:A205">
    <cfRule type="expression" dxfId="34" priority="5612" stopIfTrue="1">
      <formula>$A201="enumerator"</formula>
    </cfRule>
  </conditionalFormatting>
  <conditionalFormatting sqref="A201:A205">
    <cfRule type="expression" dxfId="35" priority="5613" stopIfTrue="1">
      <formula>OR(AND(LEFT($A201, 14)="sensor_stream ", LEN($A201)&gt;14, NOT(ISNUMBER(SEARCH(" ", $A201, 15)))), AND(LEFT($A201, 17)="sensor_statistic ", LEN($A201)&gt;17, NOT(ISNUMBER(SEARCH(" ", $A201, 18)))))</formula>
    </cfRule>
  </conditionalFormatting>
  <conditionalFormatting sqref="A201:A205">
    <cfRule type="expression" dxfId="14" priority="5614" stopIfTrue="1">
      <formula>$A201="comments"</formula>
    </cfRule>
  </conditionalFormatting>
  <conditionalFormatting sqref="A201:A205">
    <cfRule type="expression" dxfId="15" priority="5615" stopIfTrue="1">
      <formula>OR($A201="audio", $A201="video")</formula>
    </cfRule>
  </conditionalFormatting>
  <conditionalFormatting sqref="A201:A205">
    <cfRule type="expression" dxfId="16" priority="5616" stopIfTrue="1">
      <formula>$A201="image"</formula>
    </cfRule>
  </conditionalFormatting>
  <conditionalFormatting sqref="A201:A205">
    <cfRule type="expression" dxfId="17" priority="5617" stopIfTrue="1">
      <formula>OR($A201="date", $A201="datetime", $A201="time")</formula>
    </cfRule>
  </conditionalFormatting>
  <conditionalFormatting sqref="A201:A205">
    <cfRule type="expression" dxfId="18" priority="5618" stopIfTrue="1">
      <formula>OR($A201="calculate", $A201="calculate_here")</formula>
    </cfRule>
  </conditionalFormatting>
  <conditionalFormatting sqref="A201:A205">
    <cfRule type="expression" dxfId="19" priority="5619" stopIfTrue="1">
      <formula>$A201="note"</formula>
    </cfRule>
  </conditionalFormatting>
  <conditionalFormatting sqref="A201:A205">
    <cfRule type="expression" dxfId="20" priority="5620" stopIfTrue="1">
      <formula>$A201="barcode"</formula>
    </cfRule>
  </conditionalFormatting>
  <conditionalFormatting sqref="A201:A205">
    <cfRule type="expression" dxfId="21" priority="5621" stopIfTrue="1">
      <formula>OR($A201="geopoint", $A201="geoshape", $A201="geotrace")</formula>
    </cfRule>
  </conditionalFormatting>
  <conditionalFormatting sqref="A201:A205">
    <cfRule type="expression" dxfId="22" priority="5622" stopIfTrue="1">
      <formula>OR($A201="audio audit", $A201="text audit", $A201="speed violations count", $A201="speed violations list", $A201="speed violations audit")</formula>
    </cfRule>
  </conditionalFormatting>
  <conditionalFormatting sqref="A201:A205">
    <cfRule type="expression" dxfId="23" priority="5623" stopIfTrue="1">
      <formula>OR($A201="username", $A201="phonenumber", $A201="start", $A201="end", $A201="deviceid", $A201="subscriberid", $A201="simserial", $A201="caseid")</formula>
    </cfRule>
  </conditionalFormatting>
  <conditionalFormatting sqref="A201:A205">
    <cfRule type="expression" dxfId="24" priority="5624" stopIfTrue="1">
      <formula>OR(AND(LEFT($A201, 16)="select_multiple ", LEN($A201)&gt;16, NOT(ISNUMBER(SEARCH(" ", $A201, 17)))), AND(LEFT($A201, 11)="select_one ", LEN($A201)&gt;11, NOT(ISNUMBER(SEARCH(" ", $A201, 12)))))</formula>
    </cfRule>
  </conditionalFormatting>
  <conditionalFormatting sqref="A201:A205">
    <cfRule type="expression" dxfId="25" priority="5625" stopIfTrue="1">
      <formula>$A201="decimal"</formula>
    </cfRule>
  </conditionalFormatting>
  <conditionalFormatting sqref="A201:A205">
    <cfRule type="expression" dxfId="26" priority="5626" stopIfTrue="1">
      <formula>$A201="integer"</formula>
    </cfRule>
  </conditionalFormatting>
  <conditionalFormatting sqref="A201:A205">
    <cfRule type="expression" dxfId="27" priority="5627" stopIfTrue="1">
      <formula>$A201="text"</formula>
    </cfRule>
  </conditionalFormatting>
  <conditionalFormatting sqref="A201:A205">
    <cfRule type="expression" dxfId="28" priority="5628" stopIfTrue="1">
      <formula>$A201="end repeat"</formula>
    </cfRule>
  </conditionalFormatting>
  <conditionalFormatting sqref="A201:A205">
    <cfRule type="expression" dxfId="28" priority="5629" stopIfTrue="1">
      <formula>$A201="begin repeat"</formula>
    </cfRule>
  </conditionalFormatting>
  <conditionalFormatting sqref="A201:A205">
    <cfRule type="expression" dxfId="29" priority="5630" stopIfTrue="1">
      <formula>$A201="end group"</formula>
    </cfRule>
  </conditionalFormatting>
  <conditionalFormatting sqref="A201:A205">
    <cfRule type="expression" dxfId="29" priority="5631" stopIfTrue="1">
      <formula>$A201="begin group"</formula>
    </cfRule>
  </conditionalFormatting>
  <conditionalFormatting sqref="A196:A197">
    <cfRule type="expression" dxfId="33" priority="5632" stopIfTrue="1">
      <formula>$A196="file"</formula>
    </cfRule>
  </conditionalFormatting>
  <conditionalFormatting sqref="A196:A197">
    <cfRule type="expression" dxfId="34" priority="5633" stopIfTrue="1">
      <formula>$A196="enumerator"</formula>
    </cfRule>
  </conditionalFormatting>
  <conditionalFormatting sqref="A196:A197">
    <cfRule type="expression" dxfId="35" priority="5634" stopIfTrue="1">
      <formula>OR(AND(LEFT($A196, 14)="sensor_stream ", LEN($A196)&gt;14, NOT(ISNUMBER(SEARCH(" ", $A196, 15)))), AND(LEFT($A196, 17)="sensor_statistic ", LEN($A196)&gt;17, NOT(ISNUMBER(SEARCH(" ", $A196, 18)))))</formula>
    </cfRule>
  </conditionalFormatting>
  <conditionalFormatting sqref="A196:A197">
    <cfRule type="expression" dxfId="14" priority="5635" stopIfTrue="1">
      <formula>$A196="comments"</formula>
    </cfRule>
  </conditionalFormatting>
  <conditionalFormatting sqref="A196:A197">
    <cfRule type="expression" dxfId="15" priority="5636" stopIfTrue="1">
      <formula>OR($A196="audio", $A196="video")</formula>
    </cfRule>
  </conditionalFormatting>
  <conditionalFormatting sqref="A196:A197">
    <cfRule type="expression" dxfId="16" priority="5637" stopIfTrue="1">
      <formula>$A196="image"</formula>
    </cfRule>
  </conditionalFormatting>
  <conditionalFormatting sqref="A196:A197">
    <cfRule type="expression" dxfId="17" priority="5638" stopIfTrue="1">
      <formula>OR($A196="date", $A196="datetime", $A196="time")</formula>
    </cfRule>
  </conditionalFormatting>
  <conditionalFormatting sqref="A196:A197">
    <cfRule type="expression" dxfId="18" priority="5639" stopIfTrue="1">
      <formula>OR($A196="calculate", $A196="calculate_here")</formula>
    </cfRule>
  </conditionalFormatting>
  <conditionalFormatting sqref="A196:A197">
    <cfRule type="expression" dxfId="19" priority="5640" stopIfTrue="1">
      <formula>$A196="note"</formula>
    </cfRule>
  </conditionalFormatting>
  <conditionalFormatting sqref="A196:A197">
    <cfRule type="expression" dxfId="20" priority="5641" stopIfTrue="1">
      <formula>$A196="barcode"</formula>
    </cfRule>
  </conditionalFormatting>
  <conditionalFormatting sqref="A196:A197">
    <cfRule type="expression" dxfId="21" priority="5642" stopIfTrue="1">
      <formula>OR($A196="geopoint", $A196="geoshape", $A196="geotrace")</formula>
    </cfRule>
  </conditionalFormatting>
  <conditionalFormatting sqref="A196:A197">
    <cfRule type="expression" dxfId="22" priority="5643" stopIfTrue="1">
      <formula>OR($A196="audio audit", $A196="text audit", $A196="speed violations count", $A196="speed violations list", $A196="speed violations audit")</formula>
    </cfRule>
  </conditionalFormatting>
  <conditionalFormatting sqref="A196:A197">
    <cfRule type="expression" dxfId="23" priority="5644" stopIfTrue="1">
      <formula>OR($A196="username", $A196="phonenumber", $A196="start", $A196="end", $A196="deviceid", $A196="subscriberid", $A196="simserial", $A196="caseid")</formula>
    </cfRule>
  </conditionalFormatting>
  <conditionalFormatting sqref="A196:A197">
    <cfRule type="expression" dxfId="24" priority="5645" stopIfTrue="1">
      <formula>OR(AND(LEFT($A196, 16)="select_multiple ", LEN($A196)&gt;16, NOT(ISNUMBER(SEARCH(" ", $A196, 17)))), AND(LEFT($A196, 11)="select_one ", LEN($A196)&gt;11, NOT(ISNUMBER(SEARCH(" ", $A196, 12)))))</formula>
    </cfRule>
  </conditionalFormatting>
  <conditionalFormatting sqref="A196:A197">
    <cfRule type="expression" dxfId="25" priority="5646" stopIfTrue="1">
      <formula>$A196="decimal"</formula>
    </cfRule>
  </conditionalFormatting>
  <conditionalFormatting sqref="A196:A197">
    <cfRule type="expression" dxfId="26" priority="5647" stopIfTrue="1">
      <formula>$A196="integer"</formula>
    </cfRule>
  </conditionalFormatting>
  <conditionalFormatting sqref="A196:A197">
    <cfRule type="expression" dxfId="27" priority="5648" stopIfTrue="1">
      <formula>$A196="text"</formula>
    </cfRule>
  </conditionalFormatting>
  <conditionalFormatting sqref="A196:A197">
    <cfRule type="expression" dxfId="28" priority="5649" stopIfTrue="1">
      <formula>$A196="end repeat"</formula>
    </cfRule>
  </conditionalFormatting>
  <conditionalFormatting sqref="A196:A197">
    <cfRule type="expression" dxfId="28" priority="5650" stopIfTrue="1">
      <formula>$A196="begin repeat"</formula>
    </cfRule>
  </conditionalFormatting>
  <conditionalFormatting sqref="A196:A197">
    <cfRule type="expression" dxfId="29" priority="5651" stopIfTrue="1">
      <formula>$A196="end group"</formula>
    </cfRule>
  </conditionalFormatting>
  <conditionalFormatting sqref="A196:A197">
    <cfRule type="expression" dxfId="29" priority="5652" stopIfTrue="1">
      <formula>$A196="begin group"</formula>
    </cfRule>
  </conditionalFormatting>
  <conditionalFormatting sqref="A188:A192">
    <cfRule type="expression" dxfId="33" priority="5653" stopIfTrue="1">
      <formula>$A188="file"</formula>
    </cfRule>
  </conditionalFormatting>
  <conditionalFormatting sqref="A188:A192">
    <cfRule type="expression" dxfId="34" priority="5654" stopIfTrue="1">
      <formula>$A188="enumerator"</formula>
    </cfRule>
  </conditionalFormatting>
  <conditionalFormatting sqref="A188:A192">
    <cfRule type="expression" dxfId="35" priority="5655" stopIfTrue="1">
      <formula>OR(AND(LEFT($A188, 14)="sensor_stream ", LEN($A188)&gt;14, NOT(ISNUMBER(SEARCH(" ", $A188, 15)))), AND(LEFT($A188, 17)="sensor_statistic ", LEN($A188)&gt;17, NOT(ISNUMBER(SEARCH(" ", $A188, 18)))))</formula>
    </cfRule>
  </conditionalFormatting>
  <conditionalFormatting sqref="A188:A192">
    <cfRule type="expression" dxfId="14" priority="5656" stopIfTrue="1">
      <formula>$A188="comments"</formula>
    </cfRule>
  </conditionalFormatting>
  <conditionalFormatting sqref="A188:A192">
    <cfRule type="expression" dxfId="15" priority="5657" stopIfTrue="1">
      <formula>OR($A188="audio", $A188="video")</formula>
    </cfRule>
  </conditionalFormatting>
  <conditionalFormatting sqref="A188:A192">
    <cfRule type="expression" dxfId="16" priority="5658" stopIfTrue="1">
      <formula>$A188="image"</formula>
    </cfRule>
  </conditionalFormatting>
  <conditionalFormatting sqref="A188:A192">
    <cfRule type="expression" dxfId="17" priority="5659" stopIfTrue="1">
      <formula>OR($A188="date", $A188="datetime", $A188="time")</formula>
    </cfRule>
  </conditionalFormatting>
  <conditionalFormatting sqref="A188:A192">
    <cfRule type="expression" dxfId="18" priority="5660" stopIfTrue="1">
      <formula>OR($A188="calculate", $A188="calculate_here")</formula>
    </cfRule>
  </conditionalFormatting>
  <conditionalFormatting sqref="A188:A192">
    <cfRule type="expression" dxfId="19" priority="5661" stopIfTrue="1">
      <formula>$A188="note"</formula>
    </cfRule>
  </conditionalFormatting>
  <conditionalFormatting sqref="A188:A192">
    <cfRule type="expression" dxfId="20" priority="5662" stopIfTrue="1">
      <formula>$A188="barcode"</formula>
    </cfRule>
  </conditionalFormatting>
  <conditionalFormatting sqref="A188:A192">
    <cfRule type="expression" dxfId="21" priority="5663" stopIfTrue="1">
      <formula>OR($A188="geopoint", $A188="geoshape", $A188="geotrace")</formula>
    </cfRule>
  </conditionalFormatting>
  <conditionalFormatting sqref="A188:A192">
    <cfRule type="expression" dxfId="22" priority="5664" stopIfTrue="1">
      <formula>OR($A188="audio audit", $A188="text audit", $A188="speed violations count", $A188="speed violations list", $A188="speed violations audit")</formula>
    </cfRule>
  </conditionalFormatting>
  <conditionalFormatting sqref="A188:A192">
    <cfRule type="expression" dxfId="23" priority="5665" stopIfTrue="1">
      <formula>OR($A188="username", $A188="phonenumber", $A188="start", $A188="end", $A188="deviceid", $A188="subscriberid", $A188="simserial", $A188="caseid")</formula>
    </cfRule>
  </conditionalFormatting>
  <conditionalFormatting sqref="A188:A192">
    <cfRule type="expression" dxfId="24" priority="5666" stopIfTrue="1">
      <formula>OR(AND(LEFT($A188, 16)="select_multiple ", LEN($A188)&gt;16, NOT(ISNUMBER(SEARCH(" ", $A188, 17)))), AND(LEFT($A188, 11)="select_one ", LEN($A188)&gt;11, NOT(ISNUMBER(SEARCH(" ", $A188, 12)))))</formula>
    </cfRule>
  </conditionalFormatting>
  <conditionalFormatting sqref="A188:A192">
    <cfRule type="expression" dxfId="25" priority="5667" stopIfTrue="1">
      <formula>$A188="decimal"</formula>
    </cfRule>
  </conditionalFormatting>
  <conditionalFormatting sqref="A188:A192">
    <cfRule type="expression" dxfId="26" priority="5668" stopIfTrue="1">
      <formula>$A188="integer"</formula>
    </cfRule>
  </conditionalFormatting>
  <conditionalFormatting sqref="A188:A192">
    <cfRule type="expression" dxfId="27" priority="5669" stopIfTrue="1">
      <formula>$A188="text"</formula>
    </cfRule>
  </conditionalFormatting>
  <conditionalFormatting sqref="A188:A192">
    <cfRule type="expression" dxfId="28" priority="5670" stopIfTrue="1">
      <formula>$A188="end repeat"</formula>
    </cfRule>
  </conditionalFormatting>
  <conditionalFormatting sqref="A188:A192">
    <cfRule type="expression" dxfId="28" priority="5671" stopIfTrue="1">
      <formula>$A188="begin repeat"</formula>
    </cfRule>
  </conditionalFormatting>
  <conditionalFormatting sqref="A188:A192">
    <cfRule type="expression" dxfId="29" priority="5672" stopIfTrue="1">
      <formula>$A188="end group"</formula>
    </cfRule>
  </conditionalFormatting>
  <conditionalFormatting sqref="A188:A192">
    <cfRule type="expression" dxfId="29" priority="5673" stopIfTrue="1">
      <formula>$A188="begin group"</formula>
    </cfRule>
  </conditionalFormatting>
  <conditionalFormatting sqref="A185">
    <cfRule type="expression" dxfId="33" priority="5674" stopIfTrue="1">
      <formula>$A185="file"</formula>
    </cfRule>
  </conditionalFormatting>
  <conditionalFormatting sqref="A185">
    <cfRule type="expression" dxfId="34" priority="5675" stopIfTrue="1">
      <formula>$A185="enumerator"</formula>
    </cfRule>
  </conditionalFormatting>
  <conditionalFormatting sqref="A185">
    <cfRule type="expression" dxfId="35" priority="5676" stopIfTrue="1">
      <formula>OR(AND(LEFT($A185, 14)="sensor_stream ", LEN($A185)&gt;14, NOT(ISNUMBER(SEARCH(" ", $A185, 15)))), AND(LEFT($A185, 17)="sensor_statistic ", LEN($A185)&gt;17, NOT(ISNUMBER(SEARCH(" ", $A185, 18)))))</formula>
    </cfRule>
  </conditionalFormatting>
  <conditionalFormatting sqref="A185">
    <cfRule type="expression" dxfId="14" priority="5677" stopIfTrue="1">
      <formula>$A185="comments"</formula>
    </cfRule>
  </conditionalFormatting>
  <conditionalFormatting sqref="A185">
    <cfRule type="expression" dxfId="15" priority="5678" stopIfTrue="1">
      <formula>OR($A185="audio", $A185="video")</formula>
    </cfRule>
  </conditionalFormatting>
  <conditionalFormatting sqref="A185">
    <cfRule type="expression" dxfId="16" priority="5679" stopIfTrue="1">
      <formula>$A185="image"</formula>
    </cfRule>
  </conditionalFormatting>
  <conditionalFormatting sqref="A185">
    <cfRule type="expression" dxfId="17" priority="5680" stopIfTrue="1">
      <formula>OR($A185="date", $A185="datetime", $A185="time")</formula>
    </cfRule>
  </conditionalFormatting>
  <conditionalFormatting sqref="A185">
    <cfRule type="expression" dxfId="18" priority="5681" stopIfTrue="1">
      <formula>OR($A185="calculate", $A185="calculate_here")</formula>
    </cfRule>
  </conditionalFormatting>
  <conditionalFormatting sqref="A185">
    <cfRule type="expression" dxfId="19" priority="5682" stopIfTrue="1">
      <formula>$A185="note"</formula>
    </cfRule>
  </conditionalFormatting>
  <conditionalFormatting sqref="A185">
    <cfRule type="expression" dxfId="20" priority="5683" stopIfTrue="1">
      <formula>$A185="barcode"</formula>
    </cfRule>
  </conditionalFormatting>
  <conditionalFormatting sqref="A185">
    <cfRule type="expression" dxfId="21" priority="5684" stopIfTrue="1">
      <formula>OR($A185="geopoint", $A185="geoshape", $A185="geotrace")</formula>
    </cfRule>
  </conditionalFormatting>
  <conditionalFormatting sqref="A185">
    <cfRule type="expression" dxfId="22" priority="5685" stopIfTrue="1">
      <formula>OR($A185="audio audit", $A185="text audit", $A185="speed violations count", $A185="speed violations list", $A185="speed violations audit")</formula>
    </cfRule>
  </conditionalFormatting>
  <conditionalFormatting sqref="A185">
    <cfRule type="expression" dxfId="23" priority="5686" stopIfTrue="1">
      <formula>OR($A185="username", $A185="phonenumber", $A185="start", $A185="end", $A185="deviceid", $A185="subscriberid", $A185="simserial", $A185="caseid")</formula>
    </cfRule>
  </conditionalFormatting>
  <conditionalFormatting sqref="A185">
    <cfRule type="expression" dxfId="24" priority="5687" stopIfTrue="1">
      <formula>OR(AND(LEFT($A185, 16)="select_multiple ", LEN($A185)&gt;16, NOT(ISNUMBER(SEARCH(" ", $A185, 17)))), AND(LEFT($A185, 11)="select_one ", LEN($A185)&gt;11, NOT(ISNUMBER(SEARCH(" ", $A185, 12)))))</formula>
    </cfRule>
  </conditionalFormatting>
  <conditionalFormatting sqref="A185">
    <cfRule type="expression" dxfId="25" priority="5688" stopIfTrue="1">
      <formula>$A185="decimal"</formula>
    </cfRule>
  </conditionalFormatting>
  <conditionalFormatting sqref="A185">
    <cfRule type="expression" dxfId="26" priority="5689" stopIfTrue="1">
      <formula>$A185="integer"</formula>
    </cfRule>
  </conditionalFormatting>
  <conditionalFormatting sqref="A185">
    <cfRule type="expression" dxfId="27" priority="5690" stopIfTrue="1">
      <formula>$A185="text"</formula>
    </cfRule>
  </conditionalFormatting>
  <conditionalFormatting sqref="A185">
    <cfRule type="expression" dxfId="28" priority="5691" stopIfTrue="1">
      <formula>$A185="end repeat"</formula>
    </cfRule>
  </conditionalFormatting>
  <conditionalFormatting sqref="A185">
    <cfRule type="expression" dxfId="28" priority="5692" stopIfTrue="1">
      <formula>$A185="begin repeat"</formula>
    </cfRule>
  </conditionalFormatting>
  <conditionalFormatting sqref="A185">
    <cfRule type="expression" dxfId="29" priority="5693" stopIfTrue="1">
      <formula>$A185="end group"</formula>
    </cfRule>
  </conditionalFormatting>
  <conditionalFormatting sqref="A185">
    <cfRule type="expression" dxfId="29" priority="5694" stopIfTrue="1">
      <formula>$A185="begin group"</formula>
    </cfRule>
  </conditionalFormatting>
  <conditionalFormatting sqref="A182">
    <cfRule type="expression" dxfId="33" priority="5695" stopIfTrue="1">
      <formula>$A182="file"</formula>
    </cfRule>
  </conditionalFormatting>
  <conditionalFormatting sqref="A182">
    <cfRule type="expression" dxfId="34" priority="5696" stopIfTrue="1">
      <formula>$A182="enumerator"</formula>
    </cfRule>
  </conditionalFormatting>
  <conditionalFormatting sqref="A182">
    <cfRule type="expression" dxfId="35" priority="5697" stopIfTrue="1">
      <formula>OR(AND(LEFT($A182, 14)="sensor_stream ", LEN($A182)&gt;14, NOT(ISNUMBER(SEARCH(" ", $A182, 15)))), AND(LEFT($A182, 17)="sensor_statistic ", LEN($A182)&gt;17, NOT(ISNUMBER(SEARCH(" ", $A182, 18)))))</formula>
    </cfRule>
  </conditionalFormatting>
  <conditionalFormatting sqref="A182">
    <cfRule type="expression" dxfId="14" priority="5698" stopIfTrue="1">
      <formula>$A182="comments"</formula>
    </cfRule>
  </conditionalFormatting>
  <conditionalFormatting sqref="A182">
    <cfRule type="expression" dxfId="15" priority="5699" stopIfTrue="1">
      <formula>OR($A182="audio", $A182="video")</formula>
    </cfRule>
  </conditionalFormatting>
  <conditionalFormatting sqref="A182">
    <cfRule type="expression" dxfId="16" priority="5700" stopIfTrue="1">
      <formula>$A182="image"</formula>
    </cfRule>
  </conditionalFormatting>
  <conditionalFormatting sqref="A182">
    <cfRule type="expression" dxfId="17" priority="5701" stopIfTrue="1">
      <formula>OR($A182="date", $A182="datetime", $A182="time")</formula>
    </cfRule>
  </conditionalFormatting>
  <conditionalFormatting sqref="A182">
    <cfRule type="expression" dxfId="18" priority="5702" stopIfTrue="1">
      <formula>OR($A182="calculate", $A182="calculate_here")</formula>
    </cfRule>
  </conditionalFormatting>
  <conditionalFormatting sqref="A182">
    <cfRule type="expression" dxfId="19" priority="5703" stopIfTrue="1">
      <formula>$A182="note"</formula>
    </cfRule>
  </conditionalFormatting>
  <conditionalFormatting sqref="A182">
    <cfRule type="expression" dxfId="20" priority="5704" stopIfTrue="1">
      <formula>$A182="barcode"</formula>
    </cfRule>
  </conditionalFormatting>
  <conditionalFormatting sqref="A182">
    <cfRule type="expression" dxfId="21" priority="5705" stopIfTrue="1">
      <formula>OR($A182="geopoint", $A182="geoshape", $A182="geotrace")</formula>
    </cfRule>
  </conditionalFormatting>
  <conditionalFormatting sqref="A182">
    <cfRule type="expression" dxfId="22" priority="5706" stopIfTrue="1">
      <formula>OR($A182="audio audit", $A182="text audit", $A182="speed violations count", $A182="speed violations list", $A182="speed violations audit")</formula>
    </cfRule>
  </conditionalFormatting>
  <conditionalFormatting sqref="A182">
    <cfRule type="expression" dxfId="23" priority="5707" stopIfTrue="1">
      <formula>OR($A182="username", $A182="phonenumber", $A182="start", $A182="end", $A182="deviceid", $A182="subscriberid", $A182="simserial", $A182="caseid")</formula>
    </cfRule>
  </conditionalFormatting>
  <conditionalFormatting sqref="A182">
    <cfRule type="expression" dxfId="24" priority="5708" stopIfTrue="1">
      <formula>OR(AND(LEFT($A182, 16)="select_multiple ", LEN($A182)&gt;16, NOT(ISNUMBER(SEARCH(" ", $A182, 17)))), AND(LEFT($A182, 11)="select_one ", LEN($A182)&gt;11, NOT(ISNUMBER(SEARCH(" ", $A182, 12)))))</formula>
    </cfRule>
  </conditionalFormatting>
  <conditionalFormatting sqref="A182">
    <cfRule type="expression" dxfId="25" priority="5709" stopIfTrue="1">
      <formula>$A182="decimal"</formula>
    </cfRule>
  </conditionalFormatting>
  <conditionalFormatting sqref="A182">
    <cfRule type="expression" dxfId="26" priority="5710" stopIfTrue="1">
      <formula>$A182="integer"</formula>
    </cfRule>
  </conditionalFormatting>
  <conditionalFormatting sqref="A182">
    <cfRule type="expression" dxfId="27" priority="5711" stopIfTrue="1">
      <formula>$A182="text"</formula>
    </cfRule>
  </conditionalFormatting>
  <conditionalFormatting sqref="A182">
    <cfRule type="expression" dxfId="28" priority="5712" stopIfTrue="1">
      <formula>$A182="end repeat"</formula>
    </cfRule>
  </conditionalFormatting>
  <conditionalFormatting sqref="A182">
    <cfRule type="expression" dxfId="28" priority="5713" stopIfTrue="1">
      <formula>$A182="begin repeat"</formula>
    </cfRule>
  </conditionalFormatting>
  <conditionalFormatting sqref="A182">
    <cfRule type="expression" dxfId="29" priority="5714" stopIfTrue="1">
      <formula>$A182="end group"</formula>
    </cfRule>
  </conditionalFormatting>
  <conditionalFormatting sqref="A182">
    <cfRule type="expression" dxfId="29" priority="5715" stopIfTrue="1">
      <formula>$A182="begin group"</formula>
    </cfRule>
  </conditionalFormatting>
  <conditionalFormatting sqref="A180">
    <cfRule type="expression" dxfId="33" priority="5716" stopIfTrue="1">
      <formula>$A180="file"</formula>
    </cfRule>
  </conditionalFormatting>
  <conditionalFormatting sqref="A180">
    <cfRule type="expression" dxfId="34" priority="5717" stopIfTrue="1">
      <formula>$A180="enumerator"</formula>
    </cfRule>
  </conditionalFormatting>
  <conditionalFormatting sqref="A180">
    <cfRule type="expression" dxfId="35" priority="5718" stopIfTrue="1">
      <formula>OR(AND(LEFT($A180, 14)="sensor_stream ", LEN($A180)&gt;14, NOT(ISNUMBER(SEARCH(" ", $A180, 15)))), AND(LEFT($A180, 17)="sensor_statistic ", LEN($A180)&gt;17, NOT(ISNUMBER(SEARCH(" ", $A180, 18)))))</formula>
    </cfRule>
  </conditionalFormatting>
  <conditionalFormatting sqref="A180">
    <cfRule type="expression" dxfId="14" priority="5719" stopIfTrue="1">
      <formula>$A180="comments"</formula>
    </cfRule>
  </conditionalFormatting>
  <conditionalFormatting sqref="A180">
    <cfRule type="expression" dxfId="15" priority="5720" stopIfTrue="1">
      <formula>OR($A180="audio", $A180="video")</formula>
    </cfRule>
  </conditionalFormatting>
  <conditionalFormatting sqref="A180">
    <cfRule type="expression" dxfId="16" priority="5721" stopIfTrue="1">
      <formula>$A180="image"</formula>
    </cfRule>
  </conditionalFormatting>
  <conditionalFormatting sqref="A180">
    <cfRule type="expression" dxfId="17" priority="5722" stopIfTrue="1">
      <formula>OR($A180="date", $A180="datetime", $A180="time")</formula>
    </cfRule>
  </conditionalFormatting>
  <conditionalFormatting sqref="A180">
    <cfRule type="expression" dxfId="18" priority="5723" stopIfTrue="1">
      <formula>OR($A180="calculate", $A180="calculate_here")</formula>
    </cfRule>
  </conditionalFormatting>
  <conditionalFormatting sqref="A180">
    <cfRule type="expression" dxfId="19" priority="5724" stopIfTrue="1">
      <formula>$A180="note"</formula>
    </cfRule>
  </conditionalFormatting>
  <conditionalFormatting sqref="A180">
    <cfRule type="expression" dxfId="20" priority="5725" stopIfTrue="1">
      <formula>$A180="barcode"</formula>
    </cfRule>
  </conditionalFormatting>
  <conditionalFormatting sqref="A180">
    <cfRule type="expression" dxfId="21" priority="5726" stopIfTrue="1">
      <formula>OR($A180="geopoint", $A180="geoshape", $A180="geotrace")</formula>
    </cfRule>
  </conditionalFormatting>
  <conditionalFormatting sqref="A180">
    <cfRule type="expression" dxfId="22" priority="5727" stopIfTrue="1">
      <formula>OR($A180="audio audit", $A180="text audit", $A180="speed violations count", $A180="speed violations list", $A180="speed violations audit")</formula>
    </cfRule>
  </conditionalFormatting>
  <conditionalFormatting sqref="A180">
    <cfRule type="expression" dxfId="23" priority="5728" stopIfTrue="1">
      <formula>OR($A180="username", $A180="phonenumber", $A180="start", $A180="end", $A180="deviceid", $A180="subscriberid", $A180="simserial", $A180="caseid")</formula>
    </cfRule>
  </conditionalFormatting>
  <conditionalFormatting sqref="A180">
    <cfRule type="expression" dxfId="24" priority="5729" stopIfTrue="1">
      <formula>OR(AND(LEFT($A180, 16)="select_multiple ", LEN($A180)&gt;16, NOT(ISNUMBER(SEARCH(" ", $A180, 17)))), AND(LEFT($A180, 11)="select_one ", LEN($A180)&gt;11, NOT(ISNUMBER(SEARCH(" ", $A180, 12)))))</formula>
    </cfRule>
  </conditionalFormatting>
  <conditionalFormatting sqref="A180">
    <cfRule type="expression" dxfId="25" priority="5730" stopIfTrue="1">
      <formula>$A180="decimal"</formula>
    </cfRule>
  </conditionalFormatting>
  <conditionalFormatting sqref="A180">
    <cfRule type="expression" dxfId="26" priority="5731" stopIfTrue="1">
      <formula>$A180="integer"</formula>
    </cfRule>
  </conditionalFormatting>
  <conditionalFormatting sqref="A180">
    <cfRule type="expression" dxfId="27" priority="5732" stopIfTrue="1">
      <formula>$A180="text"</formula>
    </cfRule>
  </conditionalFormatting>
  <conditionalFormatting sqref="A180">
    <cfRule type="expression" dxfId="28" priority="5733" stopIfTrue="1">
      <formula>$A180="end repeat"</formula>
    </cfRule>
  </conditionalFormatting>
  <conditionalFormatting sqref="A180">
    <cfRule type="expression" dxfId="28" priority="5734" stopIfTrue="1">
      <formula>$A180="begin repeat"</formula>
    </cfRule>
  </conditionalFormatting>
  <conditionalFormatting sqref="A180">
    <cfRule type="expression" dxfId="29" priority="5735" stopIfTrue="1">
      <formula>$A180="end group"</formula>
    </cfRule>
  </conditionalFormatting>
  <conditionalFormatting sqref="A180">
    <cfRule type="expression" dxfId="29" priority="5736" stopIfTrue="1">
      <formula>$A180="begin group"</formula>
    </cfRule>
  </conditionalFormatting>
  <conditionalFormatting sqref="A177">
    <cfRule type="expression" dxfId="33" priority="5737" stopIfTrue="1">
      <formula>$A177="file"</formula>
    </cfRule>
  </conditionalFormatting>
  <conditionalFormatting sqref="A177">
    <cfRule type="expression" dxfId="34" priority="5738" stopIfTrue="1">
      <formula>$A177="enumerator"</formula>
    </cfRule>
  </conditionalFormatting>
  <conditionalFormatting sqref="A177">
    <cfRule type="expression" dxfId="35" priority="5739" stopIfTrue="1">
      <formula>OR(AND(LEFT($A177, 14)="sensor_stream ", LEN($A177)&gt;14, NOT(ISNUMBER(SEARCH(" ", $A177, 15)))), AND(LEFT($A177, 17)="sensor_statistic ", LEN($A177)&gt;17, NOT(ISNUMBER(SEARCH(" ", $A177, 18)))))</formula>
    </cfRule>
  </conditionalFormatting>
  <conditionalFormatting sqref="A177">
    <cfRule type="expression" dxfId="14" priority="5740" stopIfTrue="1">
      <formula>$A177="comments"</formula>
    </cfRule>
  </conditionalFormatting>
  <conditionalFormatting sqref="A177">
    <cfRule type="expression" dxfId="15" priority="5741" stopIfTrue="1">
      <formula>OR($A177="audio", $A177="video")</formula>
    </cfRule>
  </conditionalFormatting>
  <conditionalFormatting sqref="A177">
    <cfRule type="expression" dxfId="16" priority="5742" stopIfTrue="1">
      <formula>$A177="image"</formula>
    </cfRule>
  </conditionalFormatting>
  <conditionalFormatting sqref="A177">
    <cfRule type="expression" dxfId="17" priority="5743" stopIfTrue="1">
      <formula>OR($A177="date", $A177="datetime", $A177="time")</formula>
    </cfRule>
  </conditionalFormatting>
  <conditionalFormatting sqref="A177">
    <cfRule type="expression" dxfId="18" priority="5744" stopIfTrue="1">
      <formula>OR($A177="calculate", $A177="calculate_here")</formula>
    </cfRule>
  </conditionalFormatting>
  <conditionalFormatting sqref="A177">
    <cfRule type="expression" dxfId="19" priority="5745" stopIfTrue="1">
      <formula>$A177="note"</formula>
    </cfRule>
  </conditionalFormatting>
  <conditionalFormatting sqref="A177">
    <cfRule type="expression" dxfId="20" priority="5746" stopIfTrue="1">
      <formula>$A177="barcode"</formula>
    </cfRule>
  </conditionalFormatting>
  <conditionalFormatting sqref="A177">
    <cfRule type="expression" dxfId="21" priority="5747" stopIfTrue="1">
      <formula>OR($A177="geopoint", $A177="geoshape", $A177="geotrace")</formula>
    </cfRule>
  </conditionalFormatting>
  <conditionalFormatting sqref="A177">
    <cfRule type="expression" dxfId="22" priority="5748" stopIfTrue="1">
      <formula>OR($A177="audio audit", $A177="text audit", $A177="speed violations count", $A177="speed violations list", $A177="speed violations audit")</formula>
    </cfRule>
  </conditionalFormatting>
  <conditionalFormatting sqref="A177">
    <cfRule type="expression" dxfId="23" priority="5749" stopIfTrue="1">
      <formula>OR($A177="username", $A177="phonenumber", $A177="start", $A177="end", $A177="deviceid", $A177="subscriberid", $A177="simserial", $A177="caseid")</formula>
    </cfRule>
  </conditionalFormatting>
  <conditionalFormatting sqref="A177">
    <cfRule type="expression" dxfId="24" priority="5750" stopIfTrue="1">
      <formula>OR(AND(LEFT($A177, 16)="select_multiple ", LEN($A177)&gt;16, NOT(ISNUMBER(SEARCH(" ", $A177, 17)))), AND(LEFT($A177, 11)="select_one ", LEN($A177)&gt;11, NOT(ISNUMBER(SEARCH(" ", $A177, 12)))))</formula>
    </cfRule>
  </conditionalFormatting>
  <conditionalFormatting sqref="A177">
    <cfRule type="expression" dxfId="25" priority="5751" stopIfTrue="1">
      <formula>$A177="decimal"</formula>
    </cfRule>
  </conditionalFormatting>
  <conditionalFormatting sqref="A177">
    <cfRule type="expression" dxfId="26" priority="5752" stopIfTrue="1">
      <formula>$A177="integer"</formula>
    </cfRule>
  </conditionalFormatting>
  <conditionalFormatting sqref="A177">
    <cfRule type="expression" dxfId="27" priority="5753" stopIfTrue="1">
      <formula>$A177="text"</formula>
    </cfRule>
  </conditionalFormatting>
  <conditionalFormatting sqref="A177">
    <cfRule type="expression" dxfId="28" priority="5754" stopIfTrue="1">
      <formula>$A177="end repeat"</formula>
    </cfRule>
  </conditionalFormatting>
  <conditionalFormatting sqref="A177">
    <cfRule type="expression" dxfId="28" priority="5755" stopIfTrue="1">
      <formula>$A177="begin repeat"</formula>
    </cfRule>
  </conditionalFormatting>
  <conditionalFormatting sqref="A177">
    <cfRule type="expression" dxfId="29" priority="5756" stopIfTrue="1">
      <formula>$A177="end group"</formula>
    </cfRule>
  </conditionalFormatting>
  <conditionalFormatting sqref="A177">
    <cfRule type="expression" dxfId="29" priority="5757" stopIfTrue="1">
      <formula>$A177="begin group"</formula>
    </cfRule>
  </conditionalFormatting>
  <conditionalFormatting sqref="A164:A174">
    <cfRule type="expression" dxfId="33" priority="5758" stopIfTrue="1">
      <formula>$A164="file"</formula>
    </cfRule>
  </conditionalFormatting>
  <conditionalFormatting sqref="A164:A174">
    <cfRule type="expression" dxfId="34" priority="5759" stopIfTrue="1">
      <formula>$A164="enumerator"</formula>
    </cfRule>
  </conditionalFormatting>
  <conditionalFormatting sqref="A164:A174">
    <cfRule type="expression" dxfId="35" priority="5760" stopIfTrue="1">
      <formula>OR(AND(LEFT($A164, 14)="sensor_stream ", LEN($A164)&gt;14, NOT(ISNUMBER(SEARCH(" ", $A164, 15)))), AND(LEFT($A164, 17)="sensor_statistic ", LEN($A164)&gt;17, NOT(ISNUMBER(SEARCH(" ", $A164, 18)))))</formula>
    </cfRule>
  </conditionalFormatting>
  <conditionalFormatting sqref="A164:A174">
    <cfRule type="expression" dxfId="14" priority="5761" stopIfTrue="1">
      <formula>$A164="comments"</formula>
    </cfRule>
  </conditionalFormatting>
  <conditionalFormatting sqref="A164:A174">
    <cfRule type="expression" dxfId="15" priority="5762" stopIfTrue="1">
      <formula>OR($A164="audio", $A164="video")</formula>
    </cfRule>
  </conditionalFormatting>
  <conditionalFormatting sqref="A164:A174">
    <cfRule type="expression" dxfId="16" priority="5763" stopIfTrue="1">
      <formula>$A164="image"</formula>
    </cfRule>
  </conditionalFormatting>
  <conditionalFormatting sqref="A164:A174">
    <cfRule type="expression" dxfId="17" priority="5764" stopIfTrue="1">
      <formula>OR($A164="date", $A164="datetime", $A164="time")</formula>
    </cfRule>
  </conditionalFormatting>
  <conditionalFormatting sqref="A164:A174">
    <cfRule type="expression" dxfId="18" priority="5765" stopIfTrue="1">
      <formula>OR($A164="calculate", $A164="calculate_here")</formula>
    </cfRule>
  </conditionalFormatting>
  <conditionalFormatting sqref="A164:A174">
    <cfRule type="expression" dxfId="19" priority="5766" stopIfTrue="1">
      <formula>$A164="note"</formula>
    </cfRule>
  </conditionalFormatting>
  <conditionalFormatting sqref="A164:A174">
    <cfRule type="expression" dxfId="20" priority="5767" stopIfTrue="1">
      <formula>$A164="barcode"</formula>
    </cfRule>
  </conditionalFormatting>
  <conditionalFormatting sqref="A164:A174">
    <cfRule type="expression" dxfId="21" priority="5768" stopIfTrue="1">
      <formula>OR($A164="geopoint", $A164="geoshape", $A164="geotrace")</formula>
    </cfRule>
  </conditionalFormatting>
  <conditionalFormatting sqref="A164:A174">
    <cfRule type="expression" dxfId="22" priority="5769" stopIfTrue="1">
      <formula>OR($A164="audio audit", $A164="text audit", $A164="speed violations count", $A164="speed violations list", $A164="speed violations audit")</formula>
    </cfRule>
  </conditionalFormatting>
  <conditionalFormatting sqref="A164:A174">
    <cfRule type="expression" dxfId="23" priority="5770" stopIfTrue="1">
      <formula>OR($A164="username", $A164="phonenumber", $A164="start", $A164="end", $A164="deviceid", $A164="subscriberid", $A164="simserial", $A164="caseid")</formula>
    </cfRule>
  </conditionalFormatting>
  <conditionalFormatting sqref="A164:A174">
    <cfRule type="expression" dxfId="24" priority="5771" stopIfTrue="1">
      <formula>OR(AND(LEFT($A164, 16)="select_multiple ", LEN($A164)&gt;16, NOT(ISNUMBER(SEARCH(" ", $A164, 17)))), AND(LEFT($A164, 11)="select_one ", LEN($A164)&gt;11, NOT(ISNUMBER(SEARCH(" ", $A164, 12)))))</formula>
    </cfRule>
  </conditionalFormatting>
  <conditionalFormatting sqref="A164:A174">
    <cfRule type="expression" dxfId="25" priority="5772" stopIfTrue="1">
      <formula>$A164="decimal"</formula>
    </cfRule>
  </conditionalFormatting>
  <conditionalFormatting sqref="A164:A174">
    <cfRule type="expression" dxfId="26" priority="5773" stopIfTrue="1">
      <formula>$A164="integer"</formula>
    </cfRule>
  </conditionalFormatting>
  <conditionalFormatting sqref="A164:A174">
    <cfRule type="expression" dxfId="27" priority="5774" stopIfTrue="1">
      <formula>$A164="text"</formula>
    </cfRule>
  </conditionalFormatting>
  <conditionalFormatting sqref="A164:A174">
    <cfRule type="expression" dxfId="28" priority="5775" stopIfTrue="1">
      <formula>$A164="end repeat"</formula>
    </cfRule>
  </conditionalFormatting>
  <conditionalFormatting sqref="A164:A174">
    <cfRule type="expression" dxfId="28" priority="5776" stopIfTrue="1">
      <formula>$A164="begin repeat"</formula>
    </cfRule>
  </conditionalFormatting>
  <conditionalFormatting sqref="A164:A174">
    <cfRule type="expression" dxfId="29" priority="5777" stopIfTrue="1">
      <formula>$A164="end group"</formula>
    </cfRule>
  </conditionalFormatting>
  <conditionalFormatting sqref="A164:A174">
    <cfRule type="expression" dxfId="29" priority="5778" stopIfTrue="1">
      <formula>$A164="begin group"</formula>
    </cfRule>
  </conditionalFormatting>
  <conditionalFormatting sqref="A157:A161">
    <cfRule type="expression" dxfId="33" priority="5779" stopIfTrue="1">
      <formula>$A157="file"</formula>
    </cfRule>
  </conditionalFormatting>
  <conditionalFormatting sqref="A157:A161">
    <cfRule type="expression" dxfId="34" priority="5780" stopIfTrue="1">
      <formula>$A157="enumerator"</formula>
    </cfRule>
  </conditionalFormatting>
  <conditionalFormatting sqref="A157:A161">
    <cfRule type="expression" dxfId="35" priority="5781" stopIfTrue="1">
      <formula>OR(AND(LEFT($A157, 14)="sensor_stream ", LEN($A157)&gt;14, NOT(ISNUMBER(SEARCH(" ", $A157, 15)))), AND(LEFT($A157, 17)="sensor_statistic ", LEN($A157)&gt;17, NOT(ISNUMBER(SEARCH(" ", $A157, 18)))))</formula>
    </cfRule>
  </conditionalFormatting>
  <conditionalFormatting sqref="A157:A161">
    <cfRule type="expression" dxfId="14" priority="5782" stopIfTrue="1">
      <formula>$A157="comments"</formula>
    </cfRule>
  </conditionalFormatting>
  <conditionalFormatting sqref="A157:A161">
    <cfRule type="expression" dxfId="15" priority="5783" stopIfTrue="1">
      <formula>OR($A157="audio", $A157="video")</formula>
    </cfRule>
  </conditionalFormatting>
  <conditionalFormatting sqref="A157:A161">
    <cfRule type="expression" dxfId="16" priority="5784" stopIfTrue="1">
      <formula>$A157="image"</formula>
    </cfRule>
  </conditionalFormatting>
  <conditionalFormatting sqref="A157:A161">
    <cfRule type="expression" dxfId="17" priority="5785" stopIfTrue="1">
      <formula>OR($A157="date", $A157="datetime", $A157="time")</formula>
    </cfRule>
  </conditionalFormatting>
  <conditionalFormatting sqref="A157:A161">
    <cfRule type="expression" dxfId="18" priority="5786" stopIfTrue="1">
      <formula>OR($A157="calculate", $A157="calculate_here")</formula>
    </cfRule>
  </conditionalFormatting>
  <conditionalFormatting sqref="A157:A161">
    <cfRule type="expression" dxfId="19" priority="5787" stopIfTrue="1">
      <formula>$A157="note"</formula>
    </cfRule>
  </conditionalFormatting>
  <conditionalFormatting sqref="A157:A161">
    <cfRule type="expression" dxfId="20" priority="5788" stopIfTrue="1">
      <formula>$A157="barcode"</formula>
    </cfRule>
  </conditionalFormatting>
  <conditionalFormatting sqref="A157:A161">
    <cfRule type="expression" dxfId="21" priority="5789" stopIfTrue="1">
      <formula>OR($A157="geopoint", $A157="geoshape", $A157="geotrace")</formula>
    </cfRule>
  </conditionalFormatting>
  <conditionalFormatting sqref="A157:A161">
    <cfRule type="expression" dxfId="22" priority="5790" stopIfTrue="1">
      <formula>OR($A157="audio audit", $A157="text audit", $A157="speed violations count", $A157="speed violations list", $A157="speed violations audit")</formula>
    </cfRule>
  </conditionalFormatting>
  <conditionalFormatting sqref="A157:A161">
    <cfRule type="expression" dxfId="23" priority="5791" stopIfTrue="1">
      <formula>OR($A157="username", $A157="phonenumber", $A157="start", $A157="end", $A157="deviceid", $A157="subscriberid", $A157="simserial", $A157="caseid")</formula>
    </cfRule>
  </conditionalFormatting>
  <conditionalFormatting sqref="A157:A161">
    <cfRule type="expression" dxfId="24" priority="5792" stopIfTrue="1">
      <formula>OR(AND(LEFT($A157, 16)="select_multiple ", LEN($A157)&gt;16, NOT(ISNUMBER(SEARCH(" ", $A157, 17)))), AND(LEFT($A157, 11)="select_one ", LEN($A157)&gt;11, NOT(ISNUMBER(SEARCH(" ", $A157, 12)))))</formula>
    </cfRule>
  </conditionalFormatting>
  <conditionalFormatting sqref="A157:A161">
    <cfRule type="expression" dxfId="25" priority="5793" stopIfTrue="1">
      <formula>$A157="decimal"</formula>
    </cfRule>
  </conditionalFormatting>
  <conditionalFormatting sqref="A157:A161">
    <cfRule type="expression" dxfId="26" priority="5794" stopIfTrue="1">
      <formula>$A157="integer"</formula>
    </cfRule>
  </conditionalFormatting>
  <conditionalFormatting sqref="A157:A161">
    <cfRule type="expression" dxfId="27" priority="5795" stopIfTrue="1">
      <formula>$A157="text"</formula>
    </cfRule>
  </conditionalFormatting>
  <conditionalFormatting sqref="A157:A161">
    <cfRule type="expression" dxfId="28" priority="5796" stopIfTrue="1">
      <formula>$A157="end repeat"</formula>
    </cfRule>
  </conditionalFormatting>
  <conditionalFormatting sqref="A157:A161">
    <cfRule type="expression" dxfId="28" priority="5797" stopIfTrue="1">
      <formula>$A157="begin repeat"</formula>
    </cfRule>
  </conditionalFormatting>
  <conditionalFormatting sqref="A157:A161">
    <cfRule type="expression" dxfId="29" priority="5798" stopIfTrue="1">
      <formula>$A157="end group"</formula>
    </cfRule>
  </conditionalFormatting>
  <conditionalFormatting sqref="A157:A161">
    <cfRule type="expression" dxfId="29" priority="5799" stopIfTrue="1">
      <formula>$A157="begin group"</formula>
    </cfRule>
  </conditionalFormatting>
  <conditionalFormatting sqref="A150:A154">
    <cfRule type="expression" dxfId="33" priority="5800" stopIfTrue="1">
      <formula>$A150="file"</formula>
    </cfRule>
  </conditionalFormatting>
  <conditionalFormatting sqref="A150:A154">
    <cfRule type="expression" dxfId="34" priority="5801" stopIfTrue="1">
      <formula>$A150="enumerator"</formula>
    </cfRule>
  </conditionalFormatting>
  <conditionalFormatting sqref="A150:A154">
    <cfRule type="expression" dxfId="35" priority="5802" stopIfTrue="1">
      <formula>OR(AND(LEFT($A150, 14)="sensor_stream ", LEN($A150)&gt;14, NOT(ISNUMBER(SEARCH(" ", $A150, 15)))), AND(LEFT($A150, 17)="sensor_statistic ", LEN($A150)&gt;17, NOT(ISNUMBER(SEARCH(" ", $A150, 18)))))</formula>
    </cfRule>
  </conditionalFormatting>
  <conditionalFormatting sqref="A150:A154">
    <cfRule type="expression" dxfId="14" priority="5803" stopIfTrue="1">
      <formula>$A150="comments"</formula>
    </cfRule>
  </conditionalFormatting>
  <conditionalFormatting sqref="A150:A154">
    <cfRule type="expression" dxfId="15" priority="5804" stopIfTrue="1">
      <formula>OR($A150="audio", $A150="video")</formula>
    </cfRule>
  </conditionalFormatting>
  <conditionalFormatting sqref="A150:A154">
    <cfRule type="expression" dxfId="16" priority="5805" stopIfTrue="1">
      <formula>$A150="image"</formula>
    </cfRule>
  </conditionalFormatting>
  <conditionalFormatting sqref="A150:A154">
    <cfRule type="expression" dxfId="17" priority="5806" stopIfTrue="1">
      <formula>OR($A150="date", $A150="datetime", $A150="time")</formula>
    </cfRule>
  </conditionalFormatting>
  <conditionalFormatting sqref="A150:A154">
    <cfRule type="expression" dxfId="18" priority="5807" stopIfTrue="1">
      <formula>OR($A150="calculate", $A150="calculate_here")</formula>
    </cfRule>
  </conditionalFormatting>
  <conditionalFormatting sqref="A150:A154">
    <cfRule type="expression" dxfId="19" priority="5808" stopIfTrue="1">
      <formula>$A150="note"</formula>
    </cfRule>
  </conditionalFormatting>
  <conditionalFormatting sqref="A150:A154">
    <cfRule type="expression" dxfId="20" priority="5809" stopIfTrue="1">
      <formula>$A150="barcode"</formula>
    </cfRule>
  </conditionalFormatting>
  <conditionalFormatting sqref="A150:A154">
    <cfRule type="expression" dxfId="21" priority="5810" stopIfTrue="1">
      <formula>OR($A150="geopoint", $A150="geoshape", $A150="geotrace")</formula>
    </cfRule>
  </conditionalFormatting>
  <conditionalFormatting sqref="A150:A154">
    <cfRule type="expression" dxfId="22" priority="5811" stopIfTrue="1">
      <formula>OR($A150="audio audit", $A150="text audit", $A150="speed violations count", $A150="speed violations list", $A150="speed violations audit")</formula>
    </cfRule>
  </conditionalFormatting>
  <conditionalFormatting sqref="A150:A154">
    <cfRule type="expression" dxfId="23" priority="5812" stopIfTrue="1">
      <formula>OR($A150="username", $A150="phonenumber", $A150="start", $A150="end", $A150="deviceid", $A150="subscriberid", $A150="simserial", $A150="caseid")</formula>
    </cfRule>
  </conditionalFormatting>
  <conditionalFormatting sqref="A150:A154">
    <cfRule type="expression" dxfId="24" priority="5813" stopIfTrue="1">
      <formula>OR(AND(LEFT($A150, 16)="select_multiple ", LEN($A150)&gt;16, NOT(ISNUMBER(SEARCH(" ", $A150, 17)))), AND(LEFT($A150, 11)="select_one ", LEN($A150)&gt;11, NOT(ISNUMBER(SEARCH(" ", $A150, 12)))))</formula>
    </cfRule>
  </conditionalFormatting>
  <conditionalFormatting sqref="A150:A154">
    <cfRule type="expression" dxfId="25" priority="5814" stopIfTrue="1">
      <formula>$A150="decimal"</formula>
    </cfRule>
  </conditionalFormatting>
  <conditionalFormatting sqref="A150:A154">
    <cfRule type="expression" dxfId="26" priority="5815" stopIfTrue="1">
      <formula>$A150="integer"</formula>
    </cfRule>
  </conditionalFormatting>
  <conditionalFormatting sqref="A150:A154">
    <cfRule type="expression" dxfId="27" priority="5816" stopIfTrue="1">
      <formula>$A150="text"</formula>
    </cfRule>
  </conditionalFormatting>
  <conditionalFormatting sqref="A150:A154">
    <cfRule type="expression" dxfId="28" priority="5817" stopIfTrue="1">
      <formula>$A150="end repeat"</formula>
    </cfRule>
  </conditionalFormatting>
  <conditionalFormatting sqref="A150:A154">
    <cfRule type="expression" dxfId="28" priority="5818" stopIfTrue="1">
      <formula>$A150="begin repeat"</formula>
    </cfRule>
  </conditionalFormatting>
  <conditionalFormatting sqref="A150:A154">
    <cfRule type="expression" dxfId="29" priority="5819" stopIfTrue="1">
      <formula>$A150="end group"</formula>
    </cfRule>
  </conditionalFormatting>
  <conditionalFormatting sqref="A150:A154">
    <cfRule type="expression" dxfId="29" priority="5820" stopIfTrue="1">
      <formula>$A150="begin group"</formula>
    </cfRule>
  </conditionalFormatting>
  <conditionalFormatting sqref="A145:A147">
    <cfRule type="expression" dxfId="33" priority="5821" stopIfTrue="1">
      <formula>$A145="file"</formula>
    </cfRule>
  </conditionalFormatting>
  <conditionalFormatting sqref="A145:A147">
    <cfRule type="expression" dxfId="34" priority="5822" stopIfTrue="1">
      <formula>$A145="enumerator"</formula>
    </cfRule>
  </conditionalFormatting>
  <conditionalFormatting sqref="A145:A147">
    <cfRule type="expression" dxfId="35" priority="5823" stopIfTrue="1">
      <formula>OR(AND(LEFT($A145, 14)="sensor_stream ", LEN($A145)&gt;14, NOT(ISNUMBER(SEARCH(" ", $A145, 15)))), AND(LEFT($A145, 17)="sensor_statistic ", LEN($A145)&gt;17, NOT(ISNUMBER(SEARCH(" ", $A145, 18)))))</formula>
    </cfRule>
  </conditionalFormatting>
  <conditionalFormatting sqref="A145:A147">
    <cfRule type="expression" dxfId="14" priority="5824" stopIfTrue="1">
      <formula>$A145="comments"</formula>
    </cfRule>
  </conditionalFormatting>
  <conditionalFormatting sqref="A145:A147">
    <cfRule type="expression" dxfId="15" priority="5825" stopIfTrue="1">
      <formula>OR($A145="audio", $A145="video")</formula>
    </cfRule>
  </conditionalFormatting>
  <conditionalFormatting sqref="A145:A147">
    <cfRule type="expression" dxfId="16" priority="5826" stopIfTrue="1">
      <formula>$A145="image"</formula>
    </cfRule>
  </conditionalFormatting>
  <conditionalFormatting sqref="A145:A147">
    <cfRule type="expression" dxfId="17" priority="5827" stopIfTrue="1">
      <formula>OR($A145="date", $A145="datetime", $A145="time")</formula>
    </cfRule>
  </conditionalFormatting>
  <conditionalFormatting sqref="A145:A147">
    <cfRule type="expression" dxfId="18" priority="5828" stopIfTrue="1">
      <formula>OR($A145="calculate", $A145="calculate_here")</formula>
    </cfRule>
  </conditionalFormatting>
  <conditionalFormatting sqref="A145:A147">
    <cfRule type="expression" dxfId="19" priority="5829" stopIfTrue="1">
      <formula>$A145="note"</formula>
    </cfRule>
  </conditionalFormatting>
  <conditionalFormatting sqref="A145:A147">
    <cfRule type="expression" dxfId="20" priority="5830" stopIfTrue="1">
      <formula>$A145="barcode"</formula>
    </cfRule>
  </conditionalFormatting>
  <conditionalFormatting sqref="A145:A147">
    <cfRule type="expression" dxfId="21" priority="5831" stopIfTrue="1">
      <formula>OR($A145="geopoint", $A145="geoshape", $A145="geotrace")</formula>
    </cfRule>
  </conditionalFormatting>
  <conditionalFormatting sqref="A145:A147">
    <cfRule type="expression" dxfId="22" priority="5832" stopIfTrue="1">
      <formula>OR($A145="audio audit", $A145="text audit", $A145="speed violations count", $A145="speed violations list", $A145="speed violations audit")</formula>
    </cfRule>
  </conditionalFormatting>
  <conditionalFormatting sqref="A145:A147">
    <cfRule type="expression" dxfId="23" priority="5833" stopIfTrue="1">
      <formula>OR($A145="username", $A145="phonenumber", $A145="start", $A145="end", $A145="deviceid", $A145="subscriberid", $A145="simserial", $A145="caseid")</formula>
    </cfRule>
  </conditionalFormatting>
  <conditionalFormatting sqref="A145:A147">
    <cfRule type="expression" dxfId="24" priority="5834" stopIfTrue="1">
      <formula>OR(AND(LEFT($A145, 16)="select_multiple ", LEN($A145)&gt;16, NOT(ISNUMBER(SEARCH(" ", $A145, 17)))), AND(LEFT($A145, 11)="select_one ", LEN($A145)&gt;11, NOT(ISNUMBER(SEARCH(" ", $A145, 12)))))</formula>
    </cfRule>
  </conditionalFormatting>
  <conditionalFormatting sqref="A145:A147">
    <cfRule type="expression" dxfId="25" priority="5835" stopIfTrue="1">
      <formula>$A145="decimal"</formula>
    </cfRule>
  </conditionalFormatting>
  <conditionalFormatting sqref="A145:A147">
    <cfRule type="expression" dxfId="26" priority="5836" stopIfTrue="1">
      <formula>$A145="integer"</formula>
    </cfRule>
  </conditionalFormatting>
  <conditionalFormatting sqref="A145:A147">
    <cfRule type="expression" dxfId="27" priority="5837" stopIfTrue="1">
      <formula>$A145="text"</formula>
    </cfRule>
  </conditionalFormatting>
  <conditionalFormatting sqref="A145:A147">
    <cfRule type="expression" dxfId="28" priority="5838" stopIfTrue="1">
      <formula>$A145="end repeat"</formula>
    </cfRule>
  </conditionalFormatting>
  <conditionalFormatting sqref="A145:A147">
    <cfRule type="expression" dxfId="28" priority="5839" stopIfTrue="1">
      <formula>$A145="begin repeat"</formula>
    </cfRule>
  </conditionalFormatting>
  <conditionalFormatting sqref="A145:A147">
    <cfRule type="expression" dxfId="29" priority="5840" stopIfTrue="1">
      <formula>$A145="end group"</formula>
    </cfRule>
  </conditionalFormatting>
  <conditionalFormatting sqref="A145:A147">
    <cfRule type="expression" dxfId="29" priority="5841" stopIfTrue="1">
      <formula>$A145="begin group"</formula>
    </cfRule>
  </conditionalFormatting>
  <conditionalFormatting sqref="A131:A142">
    <cfRule type="expression" dxfId="33" priority="5842" stopIfTrue="1">
      <formula>$A131="file"</formula>
    </cfRule>
  </conditionalFormatting>
  <conditionalFormatting sqref="A131:A142">
    <cfRule type="expression" dxfId="34" priority="5843" stopIfTrue="1">
      <formula>$A131="enumerator"</formula>
    </cfRule>
  </conditionalFormatting>
  <conditionalFormatting sqref="A131:A142">
    <cfRule type="expression" dxfId="35" priority="5844" stopIfTrue="1">
      <formula>OR(AND(LEFT($A131, 14)="sensor_stream ", LEN($A131)&gt;14, NOT(ISNUMBER(SEARCH(" ", $A131, 15)))), AND(LEFT($A131, 17)="sensor_statistic ", LEN($A131)&gt;17, NOT(ISNUMBER(SEARCH(" ", $A131, 18)))))</formula>
    </cfRule>
  </conditionalFormatting>
  <conditionalFormatting sqref="A131:A142">
    <cfRule type="expression" dxfId="14" priority="5845" stopIfTrue="1">
      <formula>$A131="comments"</formula>
    </cfRule>
  </conditionalFormatting>
  <conditionalFormatting sqref="A131:A142">
    <cfRule type="expression" dxfId="15" priority="5846" stopIfTrue="1">
      <formula>OR($A131="audio", $A131="video")</formula>
    </cfRule>
  </conditionalFormatting>
  <conditionalFormatting sqref="A131:A142">
    <cfRule type="expression" dxfId="16" priority="5847" stopIfTrue="1">
      <formula>$A131="image"</formula>
    </cfRule>
  </conditionalFormatting>
  <conditionalFormatting sqref="A131:A142">
    <cfRule type="expression" dxfId="17" priority="5848" stopIfTrue="1">
      <formula>OR($A131="date", $A131="datetime", $A131="time")</formula>
    </cfRule>
  </conditionalFormatting>
  <conditionalFormatting sqref="A131:A142">
    <cfRule type="expression" dxfId="18" priority="5849" stopIfTrue="1">
      <formula>OR($A131="calculate", $A131="calculate_here")</formula>
    </cfRule>
  </conditionalFormatting>
  <conditionalFormatting sqref="A131:A142">
    <cfRule type="expression" dxfId="19" priority="5850" stopIfTrue="1">
      <formula>$A131="note"</formula>
    </cfRule>
  </conditionalFormatting>
  <conditionalFormatting sqref="A131:A142">
    <cfRule type="expression" dxfId="20" priority="5851" stopIfTrue="1">
      <formula>$A131="barcode"</formula>
    </cfRule>
  </conditionalFormatting>
  <conditionalFormatting sqref="A131:A142">
    <cfRule type="expression" dxfId="21" priority="5852" stopIfTrue="1">
      <formula>OR($A131="geopoint", $A131="geoshape", $A131="geotrace")</formula>
    </cfRule>
  </conditionalFormatting>
  <conditionalFormatting sqref="A131:A142">
    <cfRule type="expression" dxfId="22" priority="5853" stopIfTrue="1">
      <formula>OR($A131="audio audit", $A131="text audit", $A131="speed violations count", $A131="speed violations list", $A131="speed violations audit")</formula>
    </cfRule>
  </conditionalFormatting>
  <conditionalFormatting sqref="A131:A142">
    <cfRule type="expression" dxfId="23" priority="5854" stopIfTrue="1">
      <formula>OR($A131="username", $A131="phonenumber", $A131="start", $A131="end", $A131="deviceid", $A131="subscriberid", $A131="simserial", $A131="caseid")</formula>
    </cfRule>
  </conditionalFormatting>
  <conditionalFormatting sqref="A131:A142">
    <cfRule type="expression" dxfId="24" priority="5855" stopIfTrue="1">
      <formula>OR(AND(LEFT($A131, 16)="select_multiple ", LEN($A131)&gt;16, NOT(ISNUMBER(SEARCH(" ", $A131, 17)))), AND(LEFT($A131, 11)="select_one ", LEN($A131)&gt;11, NOT(ISNUMBER(SEARCH(" ", $A131, 12)))))</formula>
    </cfRule>
  </conditionalFormatting>
  <conditionalFormatting sqref="A131:A142">
    <cfRule type="expression" dxfId="25" priority="5856" stopIfTrue="1">
      <formula>$A131="decimal"</formula>
    </cfRule>
  </conditionalFormatting>
  <conditionalFormatting sqref="A131:A142">
    <cfRule type="expression" dxfId="26" priority="5857" stopIfTrue="1">
      <formula>$A131="integer"</formula>
    </cfRule>
  </conditionalFormatting>
  <conditionalFormatting sqref="A131:A142">
    <cfRule type="expression" dxfId="27" priority="5858" stopIfTrue="1">
      <formula>$A131="text"</formula>
    </cfRule>
  </conditionalFormatting>
  <conditionalFormatting sqref="A131:A142">
    <cfRule type="expression" dxfId="28" priority="5859" stopIfTrue="1">
      <formula>$A131="end repeat"</formula>
    </cfRule>
  </conditionalFormatting>
  <conditionalFormatting sqref="A131:A142">
    <cfRule type="expression" dxfId="28" priority="5860" stopIfTrue="1">
      <formula>$A131="begin repeat"</formula>
    </cfRule>
  </conditionalFormatting>
  <conditionalFormatting sqref="A131:A142">
    <cfRule type="expression" dxfId="29" priority="5861" stopIfTrue="1">
      <formula>$A131="end group"</formula>
    </cfRule>
  </conditionalFormatting>
  <conditionalFormatting sqref="A131:A142">
    <cfRule type="expression" dxfId="29" priority="5862" stopIfTrue="1">
      <formula>$A131="begin group"</formula>
    </cfRule>
  </conditionalFormatting>
  <conditionalFormatting sqref="A128">
    <cfRule type="expression" dxfId="33" priority="5863" stopIfTrue="1">
      <formula>$A128="file"</formula>
    </cfRule>
  </conditionalFormatting>
  <conditionalFormatting sqref="A128">
    <cfRule type="expression" dxfId="34" priority="5864" stopIfTrue="1">
      <formula>$A128="enumerator"</formula>
    </cfRule>
  </conditionalFormatting>
  <conditionalFormatting sqref="A128">
    <cfRule type="expression" dxfId="35" priority="5865" stopIfTrue="1">
      <formula>OR(AND(LEFT($A128, 14)="sensor_stream ", LEN($A128)&gt;14, NOT(ISNUMBER(SEARCH(" ", $A128, 15)))), AND(LEFT($A128, 17)="sensor_statistic ", LEN($A128)&gt;17, NOT(ISNUMBER(SEARCH(" ", $A128, 18)))))</formula>
    </cfRule>
  </conditionalFormatting>
  <conditionalFormatting sqref="A128">
    <cfRule type="expression" dxfId="14" priority="5866" stopIfTrue="1">
      <formula>$A128="comments"</formula>
    </cfRule>
  </conditionalFormatting>
  <conditionalFormatting sqref="A128">
    <cfRule type="expression" dxfId="15" priority="5867" stopIfTrue="1">
      <formula>OR($A128="audio", $A128="video")</formula>
    </cfRule>
  </conditionalFormatting>
  <conditionalFormatting sqref="A128">
    <cfRule type="expression" dxfId="16" priority="5868" stopIfTrue="1">
      <formula>$A128="image"</formula>
    </cfRule>
  </conditionalFormatting>
  <conditionalFormatting sqref="A128">
    <cfRule type="expression" dxfId="17" priority="5869" stopIfTrue="1">
      <formula>OR($A128="date", $A128="datetime", $A128="time")</formula>
    </cfRule>
  </conditionalFormatting>
  <conditionalFormatting sqref="A128">
    <cfRule type="expression" dxfId="18" priority="5870" stopIfTrue="1">
      <formula>OR($A128="calculate", $A128="calculate_here")</formula>
    </cfRule>
  </conditionalFormatting>
  <conditionalFormatting sqref="A128">
    <cfRule type="expression" dxfId="19" priority="5871" stopIfTrue="1">
      <formula>$A128="note"</formula>
    </cfRule>
  </conditionalFormatting>
  <conditionalFormatting sqref="A128">
    <cfRule type="expression" dxfId="20" priority="5872" stopIfTrue="1">
      <formula>$A128="barcode"</formula>
    </cfRule>
  </conditionalFormatting>
  <conditionalFormatting sqref="A128">
    <cfRule type="expression" dxfId="21" priority="5873" stopIfTrue="1">
      <formula>OR($A128="geopoint", $A128="geoshape", $A128="geotrace")</formula>
    </cfRule>
  </conditionalFormatting>
  <conditionalFormatting sqref="A128">
    <cfRule type="expression" dxfId="22" priority="5874" stopIfTrue="1">
      <formula>OR($A128="audio audit", $A128="text audit", $A128="speed violations count", $A128="speed violations list", $A128="speed violations audit")</formula>
    </cfRule>
  </conditionalFormatting>
  <conditionalFormatting sqref="A128">
    <cfRule type="expression" dxfId="23" priority="5875" stopIfTrue="1">
      <formula>OR($A128="username", $A128="phonenumber", $A128="start", $A128="end", $A128="deviceid", $A128="subscriberid", $A128="simserial", $A128="caseid")</formula>
    </cfRule>
  </conditionalFormatting>
  <conditionalFormatting sqref="A128">
    <cfRule type="expression" dxfId="24" priority="5876" stopIfTrue="1">
      <formula>OR(AND(LEFT($A128, 16)="select_multiple ", LEN($A128)&gt;16, NOT(ISNUMBER(SEARCH(" ", $A128, 17)))), AND(LEFT($A128, 11)="select_one ", LEN($A128)&gt;11, NOT(ISNUMBER(SEARCH(" ", $A128, 12)))))</formula>
    </cfRule>
  </conditionalFormatting>
  <conditionalFormatting sqref="A128">
    <cfRule type="expression" dxfId="25" priority="5877" stopIfTrue="1">
      <formula>$A128="decimal"</formula>
    </cfRule>
  </conditionalFormatting>
  <conditionalFormatting sqref="A128">
    <cfRule type="expression" dxfId="26" priority="5878" stopIfTrue="1">
      <formula>$A128="integer"</formula>
    </cfRule>
  </conditionalFormatting>
  <conditionalFormatting sqref="A128">
    <cfRule type="expression" dxfId="27" priority="5879" stopIfTrue="1">
      <formula>$A128="text"</formula>
    </cfRule>
  </conditionalFormatting>
  <conditionalFormatting sqref="A128">
    <cfRule type="expression" dxfId="28" priority="5880" stopIfTrue="1">
      <formula>$A128="end repeat"</formula>
    </cfRule>
  </conditionalFormatting>
  <conditionalFormatting sqref="A128">
    <cfRule type="expression" dxfId="28" priority="5881" stopIfTrue="1">
      <formula>$A128="begin repeat"</formula>
    </cfRule>
  </conditionalFormatting>
  <conditionalFormatting sqref="A128">
    <cfRule type="expression" dxfId="29" priority="5882" stopIfTrue="1">
      <formula>$A128="end group"</formula>
    </cfRule>
  </conditionalFormatting>
  <conditionalFormatting sqref="A128">
    <cfRule type="expression" dxfId="29" priority="5883" stopIfTrue="1">
      <formula>$A128="begin group"</formula>
    </cfRule>
  </conditionalFormatting>
  <conditionalFormatting sqref="A124:A126">
    <cfRule type="expression" dxfId="33" priority="5884" stopIfTrue="1">
      <formula>$A124="file"</formula>
    </cfRule>
  </conditionalFormatting>
  <conditionalFormatting sqref="A124:A126">
    <cfRule type="expression" dxfId="34" priority="5885" stopIfTrue="1">
      <formula>$A124="enumerator"</formula>
    </cfRule>
  </conditionalFormatting>
  <conditionalFormatting sqref="A124:A126">
    <cfRule type="expression" dxfId="35" priority="5886" stopIfTrue="1">
      <formula>OR(AND(LEFT($A124, 14)="sensor_stream ", LEN($A124)&gt;14, NOT(ISNUMBER(SEARCH(" ", $A124, 15)))), AND(LEFT($A124, 17)="sensor_statistic ", LEN($A124)&gt;17, NOT(ISNUMBER(SEARCH(" ", $A124, 18)))))</formula>
    </cfRule>
  </conditionalFormatting>
  <conditionalFormatting sqref="A124:A126">
    <cfRule type="expression" dxfId="14" priority="5887" stopIfTrue="1">
      <formula>$A124="comments"</formula>
    </cfRule>
  </conditionalFormatting>
  <conditionalFormatting sqref="A124:A126">
    <cfRule type="expression" dxfId="15" priority="5888" stopIfTrue="1">
      <formula>OR($A124="audio", $A124="video")</formula>
    </cfRule>
  </conditionalFormatting>
  <conditionalFormatting sqref="A124:A126">
    <cfRule type="expression" dxfId="16" priority="5889" stopIfTrue="1">
      <formula>$A124="image"</formula>
    </cfRule>
  </conditionalFormatting>
  <conditionalFormatting sqref="A124:A126">
    <cfRule type="expression" dxfId="17" priority="5890" stopIfTrue="1">
      <formula>OR($A124="date", $A124="datetime", $A124="time")</formula>
    </cfRule>
  </conditionalFormatting>
  <conditionalFormatting sqref="A124:A126">
    <cfRule type="expression" dxfId="18" priority="5891" stopIfTrue="1">
      <formula>OR($A124="calculate", $A124="calculate_here")</formula>
    </cfRule>
  </conditionalFormatting>
  <conditionalFormatting sqref="A124:A126">
    <cfRule type="expression" dxfId="19" priority="5892" stopIfTrue="1">
      <formula>$A124="note"</formula>
    </cfRule>
  </conditionalFormatting>
  <conditionalFormatting sqref="A124:A126">
    <cfRule type="expression" dxfId="20" priority="5893" stopIfTrue="1">
      <formula>$A124="barcode"</formula>
    </cfRule>
  </conditionalFormatting>
  <conditionalFormatting sqref="A124:A126">
    <cfRule type="expression" dxfId="21" priority="5894" stopIfTrue="1">
      <formula>OR($A124="geopoint", $A124="geoshape", $A124="geotrace")</formula>
    </cfRule>
  </conditionalFormatting>
  <conditionalFormatting sqref="A124:A126">
    <cfRule type="expression" dxfId="22" priority="5895" stopIfTrue="1">
      <formula>OR($A124="audio audit", $A124="text audit", $A124="speed violations count", $A124="speed violations list", $A124="speed violations audit")</formula>
    </cfRule>
  </conditionalFormatting>
  <conditionalFormatting sqref="A124:A126">
    <cfRule type="expression" dxfId="23" priority="5896" stopIfTrue="1">
      <formula>OR($A124="username", $A124="phonenumber", $A124="start", $A124="end", $A124="deviceid", $A124="subscriberid", $A124="simserial", $A124="caseid")</formula>
    </cfRule>
  </conditionalFormatting>
  <conditionalFormatting sqref="A124:A126">
    <cfRule type="expression" dxfId="24" priority="5897" stopIfTrue="1">
      <formula>OR(AND(LEFT($A124, 16)="select_multiple ", LEN($A124)&gt;16, NOT(ISNUMBER(SEARCH(" ", $A124, 17)))), AND(LEFT($A124, 11)="select_one ", LEN($A124)&gt;11, NOT(ISNUMBER(SEARCH(" ", $A124, 12)))))</formula>
    </cfRule>
  </conditionalFormatting>
  <conditionalFormatting sqref="A124:A126">
    <cfRule type="expression" dxfId="25" priority="5898" stopIfTrue="1">
      <formula>$A124="decimal"</formula>
    </cfRule>
  </conditionalFormatting>
  <conditionalFormatting sqref="A124:A126">
    <cfRule type="expression" dxfId="26" priority="5899" stopIfTrue="1">
      <formula>$A124="integer"</formula>
    </cfRule>
  </conditionalFormatting>
  <conditionalFormatting sqref="A124:A126">
    <cfRule type="expression" dxfId="27" priority="5900" stopIfTrue="1">
      <formula>$A124="text"</formula>
    </cfRule>
  </conditionalFormatting>
  <conditionalFormatting sqref="A124:A126">
    <cfRule type="expression" dxfId="28" priority="5901" stopIfTrue="1">
      <formula>$A124="end repeat"</formula>
    </cfRule>
  </conditionalFormatting>
  <conditionalFormatting sqref="A124:A126">
    <cfRule type="expression" dxfId="28" priority="5902" stopIfTrue="1">
      <formula>$A124="begin repeat"</formula>
    </cfRule>
  </conditionalFormatting>
  <conditionalFormatting sqref="A124:A126">
    <cfRule type="expression" dxfId="29" priority="5903" stopIfTrue="1">
      <formula>$A124="end group"</formula>
    </cfRule>
  </conditionalFormatting>
  <conditionalFormatting sqref="A124:A126">
    <cfRule type="expression" dxfId="29" priority="5904" stopIfTrue="1">
      <formula>$A124="begin group"</formula>
    </cfRule>
  </conditionalFormatting>
  <conditionalFormatting sqref="A114:A121">
    <cfRule type="expression" dxfId="33" priority="5905" stopIfTrue="1">
      <formula>$A114="file"</formula>
    </cfRule>
  </conditionalFormatting>
  <conditionalFormatting sqref="A114:A121">
    <cfRule type="expression" dxfId="34" priority="5906" stopIfTrue="1">
      <formula>$A114="enumerator"</formula>
    </cfRule>
  </conditionalFormatting>
  <conditionalFormatting sqref="A114:A121">
    <cfRule type="expression" dxfId="35" priority="5907" stopIfTrue="1">
      <formula>OR(AND(LEFT($A114, 14)="sensor_stream ", LEN($A114)&gt;14, NOT(ISNUMBER(SEARCH(" ", $A114, 15)))), AND(LEFT($A114, 17)="sensor_statistic ", LEN($A114)&gt;17, NOT(ISNUMBER(SEARCH(" ", $A114, 18)))))</formula>
    </cfRule>
  </conditionalFormatting>
  <conditionalFormatting sqref="A114:A121">
    <cfRule type="expression" dxfId="14" priority="5908" stopIfTrue="1">
      <formula>$A114="comments"</formula>
    </cfRule>
  </conditionalFormatting>
  <conditionalFormatting sqref="A114:A121">
    <cfRule type="expression" dxfId="15" priority="5909" stopIfTrue="1">
      <formula>OR($A114="audio", $A114="video")</formula>
    </cfRule>
  </conditionalFormatting>
  <conditionalFormatting sqref="A114:A121">
    <cfRule type="expression" dxfId="16" priority="5910" stopIfTrue="1">
      <formula>$A114="image"</formula>
    </cfRule>
  </conditionalFormatting>
  <conditionalFormatting sqref="A114:A121">
    <cfRule type="expression" dxfId="17" priority="5911" stopIfTrue="1">
      <formula>OR($A114="date", $A114="datetime", $A114="time")</formula>
    </cfRule>
  </conditionalFormatting>
  <conditionalFormatting sqref="A114:A121">
    <cfRule type="expression" dxfId="18" priority="5912" stopIfTrue="1">
      <formula>OR($A114="calculate", $A114="calculate_here")</formula>
    </cfRule>
  </conditionalFormatting>
  <conditionalFormatting sqref="A114:A121">
    <cfRule type="expression" dxfId="19" priority="5913" stopIfTrue="1">
      <formula>$A114="note"</formula>
    </cfRule>
  </conditionalFormatting>
  <conditionalFormatting sqref="A114:A121">
    <cfRule type="expression" dxfId="20" priority="5914" stopIfTrue="1">
      <formula>$A114="barcode"</formula>
    </cfRule>
  </conditionalFormatting>
  <conditionalFormatting sqref="A114:A121">
    <cfRule type="expression" dxfId="21" priority="5915" stopIfTrue="1">
      <formula>OR($A114="geopoint", $A114="geoshape", $A114="geotrace")</formula>
    </cfRule>
  </conditionalFormatting>
  <conditionalFormatting sqref="A114:A121">
    <cfRule type="expression" dxfId="22" priority="5916" stopIfTrue="1">
      <formula>OR($A114="audio audit", $A114="text audit", $A114="speed violations count", $A114="speed violations list", $A114="speed violations audit")</formula>
    </cfRule>
  </conditionalFormatting>
  <conditionalFormatting sqref="A114:A121">
    <cfRule type="expression" dxfId="23" priority="5917" stopIfTrue="1">
      <formula>OR($A114="username", $A114="phonenumber", $A114="start", $A114="end", $A114="deviceid", $A114="subscriberid", $A114="simserial", $A114="caseid")</formula>
    </cfRule>
  </conditionalFormatting>
  <conditionalFormatting sqref="A114:A121">
    <cfRule type="expression" dxfId="24" priority="5918" stopIfTrue="1">
      <formula>OR(AND(LEFT($A114, 16)="select_multiple ", LEN($A114)&gt;16, NOT(ISNUMBER(SEARCH(" ", $A114, 17)))), AND(LEFT($A114, 11)="select_one ", LEN($A114)&gt;11, NOT(ISNUMBER(SEARCH(" ", $A114, 12)))))</formula>
    </cfRule>
  </conditionalFormatting>
  <conditionalFormatting sqref="A114:A121">
    <cfRule type="expression" dxfId="25" priority="5919" stopIfTrue="1">
      <formula>$A114="decimal"</formula>
    </cfRule>
  </conditionalFormatting>
  <conditionalFormatting sqref="A114:A121">
    <cfRule type="expression" dxfId="26" priority="5920" stopIfTrue="1">
      <formula>$A114="integer"</formula>
    </cfRule>
  </conditionalFormatting>
  <conditionalFormatting sqref="A114:A121">
    <cfRule type="expression" dxfId="27" priority="5921" stopIfTrue="1">
      <formula>$A114="text"</formula>
    </cfRule>
  </conditionalFormatting>
  <conditionalFormatting sqref="A114:A121">
    <cfRule type="expression" dxfId="28" priority="5922" stopIfTrue="1">
      <formula>$A114="end repeat"</formula>
    </cfRule>
  </conditionalFormatting>
  <conditionalFormatting sqref="A114:A121">
    <cfRule type="expression" dxfId="28" priority="5923" stopIfTrue="1">
      <formula>$A114="begin repeat"</formula>
    </cfRule>
  </conditionalFormatting>
  <conditionalFormatting sqref="A114:A121">
    <cfRule type="expression" dxfId="29" priority="5924" stopIfTrue="1">
      <formula>$A114="end group"</formula>
    </cfRule>
  </conditionalFormatting>
  <conditionalFormatting sqref="A114:A121">
    <cfRule type="expression" dxfId="29" priority="5925" stopIfTrue="1">
      <formula>$A114="begin group"</formula>
    </cfRule>
  </conditionalFormatting>
  <conditionalFormatting sqref="A101:A111">
    <cfRule type="expression" dxfId="33" priority="5926" stopIfTrue="1">
      <formula>$A101="file"</formula>
    </cfRule>
  </conditionalFormatting>
  <conditionalFormatting sqref="A101:A111">
    <cfRule type="expression" dxfId="34" priority="5927" stopIfTrue="1">
      <formula>$A101="enumerator"</formula>
    </cfRule>
  </conditionalFormatting>
  <conditionalFormatting sqref="A101:A111">
    <cfRule type="expression" dxfId="35" priority="5928" stopIfTrue="1">
      <formula>OR(AND(LEFT($A101, 14)="sensor_stream ", LEN($A101)&gt;14, NOT(ISNUMBER(SEARCH(" ", $A101, 15)))), AND(LEFT($A101, 17)="sensor_statistic ", LEN($A101)&gt;17, NOT(ISNUMBER(SEARCH(" ", $A101, 18)))))</formula>
    </cfRule>
  </conditionalFormatting>
  <conditionalFormatting sqref="A101:A111">
    <cfRule type="expression" dxfId="14" priority="5929" stopIfTrue="1">
      <formula>$A101="comments"</formula>
    </cfRule>
  </conditionalFormatting>
  <conditionalFormatting sqref="A101:A111">
    <cfRule type="expression" dxfId="15" priority="5930" stopIfTrue="1">
      <formula>OR($A101="audio", $A101="video")</formula>
    </cfRule>
  </conditionalFormatting>
  <conditionalFormatting sqref="A101:A111">
    <cfRule type="expression" dxfId="16" priority="5931" stopIfTrue="1">
      <formula>$A101="image"</formula>
    </cfRule>
  </conditionalFormatting>
  <conditionalFormatting sqref="A101:A111">
    <cfRule type="expression" dxfId="17" priority="5932" stopIfTrue="1">
      <formula>OR($A101="date", $A101="datetime", $A101="time")</formula>
    </cfRule>
  </conditionalFormatting>
  <conditionalFormatting sqref="A101:A111">
    <cfRule type="expression" dxfId="18" priority="5933" stopIfTrue="1">
      <formula>OR($A101="calculate", $A101="calculate_here")</formula>
    </cfRule>
  </conditionalFormatting>
  <conditionalFormatting sqref="A101:A111">
    <cfRule type="expression" dxfId="19" priority="5934" stopIfTrue="1">
      <formula>$A101="note"</formula>
    </cfRule>
  </conditionalFormatting>
  <conditionalFormatting sqref="A101:A111">
    <cfRule type="expression" dxfId="20" priority="5935" stopIfTrue="1">
      <formula>$A101="barcode"</formula>
    </cfRule>
  </conditionalFormatting>
  <conditionalFormatting sqref="A101:A111">
    <cfRule type="expression" dxfId="21" priority="5936" stopIfTrue="1">
      <formula>OR($A101="geopoint", $A101="geoshape", $A101="geotrace")</formula>
    </cfRule>
  </conditionalFormatting>
  <conditionalFormatting sqref="A101:A111">
    <cfRule type="expression" dxfId="22" priority="5937" stopIfTrue="1">
      <formula>OR($A101="audio audit", $A101="text audit", $A101="speed violations count", $A101="speed violations list", $A101="speed violations audit")</formula>
    </cfRule>
  </conditionalFormatting>
  <conditionalFormatting sqref="A101:A111">
    <cfRule type="expression" dxfId="23" priority="5938" stopIfTrue="1">
      <formula>OR($A101="username", $A101="phonenumber", $A101="start", $A101="end", $A101="deviceid", $A101="subscriberid", $A101="simserial", $A101="caseid")</formula>
    </cfRule>
  </conditionalFormatting>
  <conditionalFormatting sqref="A101:A111">
    <cfRule type="expression" dxfId="24" priority="5939" stopIfTrue="1">
      <formula>OR(AND(LEFT($A101, 16)="select_multiple ", LEN($A101)&gt;16, NOT(ISNUMBER(SEARCH(" ", $A101, 17)))), AND(LEFT($A101, 11)="select_one ", LEN($A101)&gt;11, NOT(ISNUMBER(SEARCH(" ", $A101, 12)))))</formula>
    </cfRule>
  </conditionalFormatting>
  <conditionalFormatting sqref="A101:A111">
    <cfRule type="expression" dxfId="25" priority="5940" stopIfTrue="1">
      <formula>$A101="decimal"</formula>
    </cfRule>
  </conditionalFormatting>
  <conditionalFormatting sqref="A101:A111">
    <cfRule type="expression" dxfId="26" priority="5941" stopIfTrue="1">
      <formula>$A101="integer"</formula>
    </cfRule>
  </conditionalFormatting>
  <conditionalFormatting sqref="A101:A111">
    <cfRule type="expression" dxfId="27" priority="5942" stopIfTrue="1">
      <formula>$A101="text"</formula>
    </cfRule>
  </conditionalFormatting>
  <conditionalFormatting sqref="A101:A111">
    <cfRule type="expression" dxfId="28" priority="5943" stopIfTrue="1">
      <formula>$A101="end repeat"</formula>
    </cfRule>
  </conditionalFormatting>
  <conditionalFormatting sqref="A101:A111">
    <cfRule type="expression" dxfId="28" priority="5944" stopIfTrue="1">
      <formula>$A101="begin repeat"</formula>
    </cfRule>
  </conditionalFormatting>
  <conditionalFormatting sqref="A101:A111">
    <cfRule type="expression" dxfId="29" priority="5945" stopIfTrue="1">
      <formula>$A101="end group"</formula>
    </cfRule>
  </conditionalFormatting>
  <conditionalFormatting sqref="A101:A111">
    <cfRule type="expression" dxfId="29" priority="5946" stopIfTrue="1">
      <formula>$A101="begin group"</formula>
    </cfRule>
  </conditionalFormatting>
  <conditionalFormatting sqref="A93:A94">
    <cfRule type="expression" dxfId="33" priority="5947" stopIfTrue="1">
      <formula>$A93="file"</formula>
    </cfRule>
  </conditionalFormatting>
  <conditionalFormatting sqref="A93:A94">
    <cfRule type="expression" dxfId="34" priority="5948" stopIfTrue="1">
      <formula>$A93="enumerator"</formula>
    </cfRule>
  </conditionalFormatting>
  <conditionalFormatting sqref="A93:A94">
    <cfRule type="expression" dxfId="35" priority="5949" stopIfTrue="1">
      <formula>OR(AND(LEFT($A93, 14)="sensor_stream ", LEN($A93)&gt;14, NOT(ISNUMBER(SEARCH(" ", $A93, 15)))), AND(LEFT($A93, 17)="sensor_statistic ", LEN($A93)&gt;17, NOT(ISNUMBER(SEARCH(" ", $A93, 18)))))</formula>
    </cfRule>
  </conditionalFormatting>
  <conditionalFormatting sqref="A93:A94">
    <cfRule type="expression" dxfId="14" priority="5950" stopIfTrue="1">
      <formula>$A93="comments"</formula>
    </cfRule>
  </conditionalFormatting>
  <conditionalFormatting sqref="A93:A94">
    <cfRule type="expression" dxfId="15" priority="5951" stopIfTrue="1">
      <formula>OR($A93="audio", $A93="video")</formula>
    </cfRule>
  </conditionalFormatting>
  <conditionalFormatting sqref="A93:A94">
    <cfRule type="expression" dxfId="16" priority="5952" stopIfTrue="1">
      <formula>$A93="image"</formula>
    </cfRule>
  </conditionalFormatting>
  <conditionalFormatting sqref="A93:A94">
    <cfRule type="expression" dxfId="17" priority="5953" stopIfTrue="1">
      <formula>OR($A93="date", $A93="datetime", $A93="time")</formula>
    </cfRule>
  </conditionalFormatting>
  <conditionalFormatting sqref="A93:A94">
    <cfRule type="expression" dxfId="18" priority="5954" stopIfTrue="1">
      <formula>OR($A93="calculate", $A93="calculate_here")</formula>
    </cfRule>
  </conditionalFormatting>
  <conditionalFormatting sqref="A93:A94">
    <cfRule type="expression" dxfId="19" priority="5955" stopIfTrue="1">
      <formula>$A93="note"</formula>
    </cfRule>
  </conditionalFormatting>
  <conditionalFormatting sqref="A93:A94">
    <cfRule type="expression" dxfId="20" priority="5956" stopIfTrue="1">
      <formula>$A93="barcode"</formula>
    </cfRule>
  </conditionalFormatting>
  <conditionalFormatting sqref="A93:A94">
    <cfRule type="expression" dxfId="21" priority="5957" stopIfTrue="1">
      <formula>OR($A93="geopoint", $A93="geoshape", $A93="geotrace")</formula>
    </cfRule>
  </conditionalFormatting>
  <conditionalFormatting sqref="A93:A94">
    <cfRule type="expression" dxfId="22" priority="5958" stopIfTrue="1">
      <formula>OR($A93="audio audit", $A93="text audit", $A93="speed violations count", $A93="speed violations list", $A93="speed violations audit")</formula>
    </cfRule>
  </conditionalFormatting>
  <conditionalFormatting sqref="A93:A94">
    <cfRule type="expression" dxfId="23" priority="5959" stopIfTrue="1">
      <formula>OR($A93="username", $A93="phonenumber", $A93="start", $A93="end", $A93="deviceid", $A93="subscriberid", $A93="simserial", $A93="caseid")</formula>
    </cfRule>
  </conditionalFormatting>
  <conditionalFormatting sqref="A93:A94">
    <cfRule type="expression" dxfId="24" priority="5960" stopIfTrue="1">
      <formula>OR(AND(LEFT($A93, 16)="select_multiple ", LEN($A93)&gt;16, NOT(ISNUMBER(SEARCH(" ", $A93, 17)))), AND(LEFT($A93, 11)="select_one ", LEN($A93)&gt;11, NOT(ISNUMBER(SEARCH(" ", $A93, 12)))))</formula>
    </cfRule>
  </conditionalFormatting>
  <conditionalFormatting sqref="A93:A94">
    <cfRule type="expression" dxfId="25" priority="5961" stopIfTrue="1">
      <formula>$A93="decimal"</formula>
    </cfRule>
  </conditionalFormatting>
  <conditionalFormatting sqref="A93:A94">
    <cfRule type="expression" dxfId="26" priority="5962" stopIfTrue="1">
      <formula>$A93="integer"</formula>
    </cfRule>
  </conditionalFormatting>
  <conditionalFormatting sqref="A93:A94">
    <cfRule type="expression" dxfId="27" priority="5963" stopIfTrue="1">
      <formula>$A93="text"</formula>
    </cfRule>
  </conditionalFormatting>
  <conditionalFormatting sqref="A93:A94">
    <cfRule type="expression" dxfId="28" priority="5964" stopIfTrue="1">
      <formula>$A93="end repeat"</formula>
    </cfRule>
  </conditionalFormatting>
  <conditionalFormatting sqref="A93:A94">
    <cfRule type="expression" dxfId="28" priority="5965" stopIfTrue="1">
      <formula>$A93="begin repeat"</formula>
    </cfRule>
  </conditionalFormatting>
  <conditionalFormatting sqref="A93:A94">
    <cfRule type="expression" dxfId="29" priority="5966" stopIfTrue="1">
      <formula>$A93="end group"</formula>
    </cfRule>
  </conditionalFormatting>
  <conditionalFormatting sqref="A93:A94">
    <cfRule type="expression" dxfId="29" priority="5967" stopIfTrue="1">
      <formula>$A93="begin group"</formula>
    </cfRule>
  </conditionalFormatting>
  <conditionalFormatting sqref="A88:A90">
    <cfRule type="expression" dxfId="33" priority="5968" stopIfTrue="1">
      <formula>$A88="file"</formula>
    </cfRule>
  </conditionalFormatting>
  <conditionalFormatting sqref="A88:A90">
    <cfRule type="expression" dxfId="34" priority="5969" stopIfTrue="1">
      <formula>$A88="enumerator"</formula>
    </cfRule>
  </conditionalFormatting>
  <conditionalFormatting sqref="A88:A90">
    <cfRule type="expression" dxfId="35" priority="5970" stopIfTrue="1">
      <formula>OR(AND(LEFT($A88, 14)="sensor_stream ", LEN($A88)&gt;14, NOT(ISNUMBER(SEARCH(" ", $A88, 15)))), AND(LEFT($A88, 17)="sensor_statistic ", LEN($A88)&gt;17, NOT(ISNUMBER(SEARCH(" ", $A88, 18)))))</formula>
    </cfRule>
  </conditionalFormatting>
  <conditionalFormatting sqref="A88:A90">
    <cfRule type="expression" dxfId="14" priority="5971" stopIfTrue="1">
      <formula>$A88="comments"</formula>
    </cfRule>
  </conditionalFormatting>
  <conditionalFormatting sqref="A88:A90">
    <cfRule type="expression" dxfId="15" priority="5972" stopIfTrue="1">
      <formula>OR($A88="audio", $A88="video")</formula>
    </cfRule>
  </conditionalFormatting>
  <conditionalFormatting sqref="A88:A90">
    <cfRule type="expression" dxfId="16" priority="5973" stopIfTrue="1">
      <formula>$A88="image"</formula>
    </cfRule>
  </conditionalFormatting>
  <conditionalFormatting sqref="A88:A90">
    <cfRule type="expression" dxfId="17" priority="5974" stopIfTrue="1">
      <formula>OR($A88="date", $A88="datetime", $A88="time")</formula>
    </cfRule>
  </conditionalFormatting>
  <conditionalFormatting sqref="A88:A90">
    <cfRule type="expression" dxfId="18" priority="5975" stopIfTrue="1">
      <formula>OR($A88="calculate", $A88="calculate_here")</formula>
    </cfRule>
  </conditionalFormatting>
  <conditionalFormatting sqref="A88:A90">
    <cfRule type="expression" dxfId="19" priority="5976" stopIfTrue="1">
      <formula>$A88="note"</formula>
    </cfRule>
  </conditionalFormatting>
  <conditionalFormatting sqref="A88:A90">
    <cfRule type="expression" dxfId="20" priority="5977" stopIfTrue="1">
      <formula>$A88="barcode"</formula>
    </cfRule>
  </conditionalFormatting>
  <conditionalFormatting sqref="A88:A90">
    <cfRule type="expression" dxfId="21" priority="5978" stopIfTrue="1">
      <formula>OR($A88="geopoint", $A88="geoshape", $A88="geotrace")</formula>
    </cfRule>
  </conditionalFormatting>
  <conditionalFormatting sqref="A88:A90">
    <cfRule type="expression" dxfId="22" priority="5979" stopIfTrue="1">
      <formula>OR($A88="audio audit", $A88="text audit", $A88="speed violations count", $A88="speed violations list", $A88="speed violations audit")</formula>
    </cfRule>
  </conditionalFormatting>
  <conditionalFormatting sqref="A88:A90">
    <cfRule type="expression" dxfId="23" priority="5980" stopIfTrue="1">
      <formula>OR($A88="username", $A88="phonenumber", $A88="start", $A88="end", $A88="deviceid", $A88="subscriberid", $A88="simserial", $A88="caseid")</formula>
    </cfRule>
  </conditionalFormatting>
  <conditionalFormatting sqref="A88:A90">
    <cfRule type="expression" dxfId="24" priority="5981" stopIfTrue="1">
      <formula>OR(AND(LEFT($A88, 16)="select_multiple ", LEN($A88)&gt;16, NOT(ISNUMBER(SEARCH(" ", $A88, 17)))), AND(LEFT($A88, 11)="select_one ", LEN($A88)&gt;11, NOT(ISNUMBER(SEARCH(" ", $A88, 12)))))</formula>
    </cfRule>
  </conditionalFormatting>
  <conditionalFormatting sqref="A88:A90">
    <cfRule type="expression" dxfId="25" priority="5982" stopIfTrue="1">
      <formula>$A88="decimal"</formula>
    </cfRule>
  </conditionalFormatting>
  <conditionalFormatting sqref="A88:A90">
    <cfRule type="expression" dxfId="26" priority="5983" stopIfTrue="1">
      <formula>$A88="integer"</formula>
    </cfRule>
  </conditionalFormatting>
  <conditionalFormatting sqref="A88:A90">
    <cfRule type="expression" dxfId="27" priority="5984" stopIfTrue="1">
      <formula>$A88="text"</formula>
    </cfRule>
  </conditionalFormatting>
  <conditionalFormatting sqref="A88:A90">
    <cfRule type="expression" dxfId="28" priority="5985" stopIfTrue="1">
      <formula>$A88="end repeat"</formula>
    </cfRule>
  </conditionalFormatting>
  <conditionalFormatting sqref="A88:A90">
    <cfRule type="expression" dxfId="28" priority="5986" stopIfTrue="1">
      <formula>$A88="begin repeat"</formula>
    </cfRule>
  </conditionalFormatting>
  <conditionalFormatting sqref="A88:A90">
    <cfRule type="expression" dxfId="29" priority="5987" stopIfTrue="1">
      <formula>$A88="end group"</formula>
    </cfRule>
  </conditionalFormatting>
  <conditionalFormatting sqref="A88:A90">
    <cfRule type="expression" dxfId="29" priority="5988" stopIfTrue="1">
      <formula>$A88="begin group"</formula>
    </cfRule>
  </conditionalFormatting>
  <conditionalFormatting sqref="A68:A84">
    <cfRule type="expression" dxfId="33" priority="5989" stopIfTrue="1">
      <formula>$A68="file"</formula>
    </cfRule>
  </conditionalFormatting>
  <conditionalFormatting sqref="A68:A84">
    <cfRule type="expression" dxfId="34" priority="5990" stopIfTrue="1">
      <formula>$A68="enumerator"</formula>
    </cfRule>
  </conditionalFormatting>
  <conditionalFormatting sqref="A68:A84">
    <cfRule type="expression" dxfId="35" priority="5991" stopIfTrue="1">
      <formula>OR(AND(LEFT($A68, 14)="sensor_stream ", LEN($A68)&gt;14, NOT(ISNUMBER(SEARCH(" ", $A68, 15)))), AND(LEFT($A68, 17)="sensor_statistic ", LEN($A68)&gt;17, NOT(ISNUMBER(SEARCH(" ", $A68, 18)))))</formula>
    </cfRule>
  </conditionalFormatting>
  <conditionalFormatting sqref="A68:A84">
    <cfRule type="expression" dxfId="14" priority="5992" stopIfTrue="1">
      <formula>$A68="comments"</formula>
    </cfRule>
  </conditionalFormatting>
  <conditionalFormatting sqref="A68:A84">
    <cfRule type="expression" dxfId="15" priority="5993" stopIfTrue="1">
      <formula>OR($A68="audio", $A68="video")</formula>
    </cfRule>
  </conditionalFormatting>
  <conditionalFormatting sqref="A68:A84">
    <cfRule type="expression" dxfId="16" priority="5994" stopIfTrue="1">
      <formula>$A68="image"</formula>
    </cfRule>
  </conditionalFormatting>
  <conditionalFormatting sqref="A68:A84">
    <cfRule type="expression" dxfId="17" priority="5995" stopIfTrue="1">
      <formula>OR($A68="date", $A68="datetime", $A68="time")</formula>
    </cfRule>
  </conditionalFormatting>
  <conditionalFormatting sqref="A68:A84">
    <cfRule type="expression" dxfId="18" priority="5996" stopIfTrue="1">
      <formula>OR($A68="calculate", $A68="calculate_here")</formula>
    </cfRule>
  </conditionalFormatting>
  <conditionalFormatting sqref="A68:A84">
    <cfRule type="expression" dxfId="19" priority="5997" stopIfTrue="1">
      <formula>$A68="note"</formula>
    </cfRule>
  </conditionalFormatting>
  <conditionalFormatting sqref="A68:A84">
    <cfRule type="expression" dxfId="20" priority="5998" stopIfTrue="1">
      <formula>$A68="barcode"</formula>
    </cfRule>
  </conditionalFormatting>
  <conditionalFormatting sqref="A68:A84">
    <cfRule type="expression" dxfId="21" priority="5999" stopIfTrue="1">
      <formula>OR($A68="geopoint", $A68="geoshape", $A68="geotrace")</formula>
    </cfRule>
  </conditionalFormatting>
  <conditionalFormatting sqref="A68:A84">
    <cfRule type="expression" dxfId="22" priority="6000" stopIfTrue="1">
      <formula>OR($A68="audio audit", $A68="text audit", $A68="speed violations count", $A68="speed violations list", $A68="speed violations audit")</formula>
    </cfRule>
  </conditionalFormatting>
  <conditionalFormatting sqref="A68:A84">
    <cfRule type="expression" dxfId="23" priority="6001" stopIfTrue="1">
      <formula>OR($A68="username", $A68="phonenumber", $A68="start", $A68="end", $A68="deviceid", $A68="subscriberid", $A68="simserial", $A68="caseid")</formula>
    </cfRule>
  </conditionalFormatting>
  <conditionalFormatting sqref="A68:A84">
    <cfRule type="expression" dxfId="24" priority="6002" stopIfTrue="1">
      <formula>OR(AND(LEFT($A68, 16)="select_multiple ", LEN($A68)&gt;16, NOT(ISNUMBER(SEARCH(" ", $A68, 17)))), AND(LEFT($A68, 11)="select_one ", LEN($A68)&gt;11, NOT(ISNUMBER(SEARCH(" ", $A68, 12)))))</formula>
    </cfRule>
  </conditionalFormatting>
  <conditionalFormatting sqref="A68:A84">
    <cfRule type="expression" dxfId="25" priority="6003" stopIfTrue="1">
      <formula>$A68="decimal"</formula>
    </cfRule>
  </conditionalFormatting>
  <conditionalFormatting sqref="A68:A84">
    <cfRule type="expression" dxfId="26" priority="6004" stopIfTrue="1">
      <formula>$A68="integer"</formula>
    </cfRule>
  </conditionalFormatting>
  <conditionalFormatting sqref="A68:A84">
    <cfRule type="expression" dxfId="27" priority="6005" stopIfTrue="1">
      <formula>$A68="text"</formula>
    </cfRule>
  </conditionalFormatting>
  <conditionalFormatting sqref="A68:A84">
    <cfRule type="expression" dxfId="28" priority="6006" stopIfTrue="1">
      <formula>$A68="end repeat"</formula>
    </cfRule>
  </conditionalFormatting>
  <conditionalFormatting sqref="A68:A84">
    <cfRule type="expression" dxfId="28" priority="6007" stopIfTrue="1">
      <formula>$A68="begin repeat"</formula>
    </cfRule>
  </conditionalFormatting>
  <conditionalFormatting sqref="A68:A84">
    <cfRule type="expression" dxfId="29" priority="6008" stopIfTrue="1">
      <formula>$A68="end group"</formula>
    </cfRule>
  </conditionalFormatting>
  <conditionalFormatting sqref="A68:A84">
    <cfRule type="expression" dxfId="29" priority="6009" stopIfTrue="1">
      <formula>$A68="begin group"</formula>
    </cfRule>
  </conditionalFormatting>
  <conditionalFormatting sqref="A66">
    <cfRule type="expression" dxfId="33" priority="6010" stopIfTrue="1">
      <formula>$A66="file"</formula>
    </cfRule>
  </conditionalFormatting>
  <conditionalFormatting sqref="A66">
    <cfRule type="expression" dxfId="34" priority="6011" stopIfTrue="1">
      <formula>$A66="enumerator"</formula>
    </cfRule>
  </conditionalFormatting>
  <conditionalFormatting sqref="A66">
    <cfRule type="expression" dxfId="35" priority="6012" stopIfTrue="1">
      <formula>OR(AND(LEFT($A66, 14)="sensor_stream ", LEN($A66)&gt;14, NOT(ISNUMBER(SEARCH(" ", $A66, 15)))), AND(LEFT($A66, 17)="sensor_statistic ", LEN($A66)&gt;17, NOT(ISNUMBER(SEARCH(" ", $A66, 18)))))</formula>
    </cfRule>
  </conditionalFormatting>
  <conditionalFormatting sqref="A66">
    <cfRule type="expression" dxfId="14" priority="6013" stopIfTrue="1">
      <formula>$A66="comments"</formula>
    </cfRule>
  </conditionalFormatting>
  <conditionalFormatting sqref="A66">
    <cfRule type="expression" dxfId="15" priority="6014" stopIfTrue="1">
      <formula>OR($A66="audio", $A66="video")</formula>
    </cfRule>
  </conditionalFormatting>
  <conditionalFormatting sqref="A66">
    <cfRule type="expression" dxfId="16" priority="6015" stopIfTrue="1">
      <formula>$A66="image"</formula>
    </cfRule>
  </conditionalFormatting>
  <conditionalFormatting sqref="A66">
    <cfRule type="expression" dxfId="17" priority="6016" stopIfTrue="1">
      <formula>OR($A66="date", $A66="datetime", $A66="time")</formula>
    </cfRule>
  </conditionalFormatting>
  <conditionalFormatting sqref="A66">
    <cfRule type="expression" dxfId="18" priority="6017" stopIfTrue="1">
      <formula>OR($A66="calculate", $A66="calculate_here")</formula>
    </cfRule>
  </conditionalFormatting>
  <conditionalFormatting sqref="A66">
    <cfRule type="expression" dxfId="19" priority="6018" stopIfTrue="1">
      <formula>$A66="note"</formula>
    </cfRule>
  </conditionalFormatting>
  <conditionalFormatting sqref="A66">
    <cfRule type="expression" dxfId="20" priority="6019" stopIfTrue="1">
      <formula>$A66="barcode"</formula>
    </cfRule>
  </conditionalFormatting>
  <conditionalFormatting sqref="A66">
    <cfRule type="expression" dxfId="21" priority="6020" stopIfTrue="1">
      <formula>OR($A66="geopoint", $A66="geoshape", $A66="geotrace")</formula>
    </cfRule>
  </conditionalFormatting>
  <conditionalFormatting sqref="A66">
    <cfRule type="expression" dxfId="22" priority="6021" stopIfTrue="1">
      <formula>OR($A66="audio audit", $A66="text audit", $A66="speed violations count", $A66="speed violations list", $A66="speed violations audit")</formula>
    </cfRule>
  </conditionalFormatting>
  <conditionalFormatting sqref="A66">
    <cfRule type="expression" dxfId="23" priority="6022" stopIfTrue="1">
      <formula>OR($A66="username", $A66="phonenumber", $A66="start", $A66="end", $A66="deviceid", $A66="subscriberid", $A66="simserial", $A66="caseid")</formula>
    </cfRule>
  </conditionalFormatting>
  <conditionalFormatting sqref="A66">
    <cfRule type="expression" dxfId="24" priority="6023" stopIfTrue="1">
      <formula>OR(AND(LEFT($A66, 16)="select_multiple ", LEN($A66)&gt;16, NOT(ISNUMBER(SEARCH(" ", $A66, 17)))), AND(LEFT($A66, 11)="select_one ", LEN($A66)&gt;11, NOT(ISNUMBER(SEARCH(" ", $A66, 12)))))</formula>
    </cfRule>
  </conditionalFormatting>
  <conditionalFormatting sqref="A66">
    <cfRule type="expression" dxfId="25" priority="6024" stopIfTrue="1">
      <formula>$A66="decimal"</formula>
    </cfRule>
  </conditionalFormatting>
  <conditionalFormatting sqref="A66">
    <cfRule type="expression" dxfId="26" priority="6025" stopIfTrue="1">
      <formula>$A66="integer"</formula>
    </cfRule>
  </conditionalFormatting>
  <conditionalFormatting sqref="A66">
    <cfRule type="expression" dxfId="27" priority="6026" stopIfTrue="1">
      <formula>$A66="text"</formula>
    </cfRule>
  </conditionalFormatting>
  <conditionalFormatting sqref="A66">
    <cfRule type="expression" dxfId="28" priority="6027" stopIfTrue="1">
      <formula>$A66="end repeat"</formula>
    </cfRule>
  </conditionalFormatting>
  <conditionalFormatting sqref="A66">
    <cfRule type="expression" dxfId="28" priority="6028" stopIfTrue="1">
      <formula>$A66="begin repeat"</formula>
    </cfRule>
  </conditionalFormatting>
  <conditionalFormatting sqref="A66">
    <cfRule type="expression" dxfId="29" priority="6029" stopIfTrue="1">
      <formula>$A66="end group"</formula>
    </cfRule>
  </conditionalFormatting>
  <conditionalFormatting sqref="A66">
    <cfRule type="expression" dxfId="29" priority="6030" stopIfTrue="1">
      <formula>$A66="begin group"</formula>
    </cfRule>
  </conditionalFormatting>
  <conditionalFormatting sqref="A58">
    <cfRule type="expression" dxfId="33" priority="6031" stopIfTrue="1">
      <formula>$A58="file"</formula>
    </cfRule>
  </conditionalFormatting>
  <conditionalFormatting sqref="A58">
    <cfRule type="expression" dxfId="34" priority="6032" stopIfTrue="1">
      <formula>$A58="enumerator"</formula>
    </cfRule>
  </conditionalFormatting>
  <conditionalFormatting sqref="A58">
    <cfRule type="expression" dxfId="35" priority="6033" stopIfTrue="1">
      <formula>OR(AND(LEFT($A58, 14)="sensor_stream ", LEN($A58)&gt;14, NOT(ISNUMBER(SEARCH(" ", $A58, 15)))), AND(LEFT($A58, 17)="sensor_statistic ", LEN($A58)&gt;17, NOT(ISNUMBER(SEARCH(" ", $A58, 18)))))</formula>
    </cfRule>
  </conditionalFormatting>
  <conditionalFormatting sqref="A58">
    <cfRule type="expression" dxfId="14" priority="6034" stopIfTrue="1">
      <formula>$A58="comments"</formula>
    </cfRule>
  </conditionalFormatting>
  <conditionalFormatting sqref="A58">
    <cfRule type="expression" dxfId="15" priority="6035" stopIfTrue="1">
      <formula>OR($A58="audio", $A58="video")</formula>
    </cfRule>
  </conditionalFormatting>
  <conditionalFormatting sqref="A58">
    <cfRule type="expression" dxfId="16" priority="6036" stopIfTrue="1">
      <formula>$A58="image"</formula>
    </cfRule>
  </conditionalFormatting>
  <conditionalFormatting sqref="A58">
    <cfRule type="expression" dxfId="17" priority="6037" stopIfTrue="1">
      <formula>OR($A58="date", $A58="datetime", $A58="time")</formula>
    </cfRule>
  </conditionalFormatting>
  <conditionalFormatting sqref="A58">
    <cfRule type="expression" dxfId="18" priority="6038" stopIfTrue="1">
      <formula>OR($A58="calculate", $A58="calculate_here")</formula>
    </cfRule>
  </conditionalFormatting>
  <conditionalFormatting sqref="A58">
    <cfRule type="expression" dxfId="19" priority="6039" stopIfTrue="1">
      <formula>$A58="note"</formula>
    </cfRule>
  </conditionalFormatting>
  <conditionalFormatting sqref="A58">
    <cfRule type="expression" dxfId="20" priority="6040" stopIfTrue="1">
      <formula>$A58="barcode"</formula>
    </cfRule>
  </conditionalFormatting>
  <conditionalFormatting sqref="A58">
    <cfRule type="expression" dxfId="21" priority="6041" stopIfTrue="1">
      <formula>OR($A58="geopoint", $A58="geoshape", $A58="geotrace")</formula>
    </cfRule>
  </conditionalFormatting>
  <conditionalFormatting sqref="A58">
    <cfRule type="expression" dxfId="22" priority="6042" stopIfTrue="1">
      <formula>OR($A58="audio audit", $A58="text audit", $A58="speed violations count", $A58="speed violations list", $A58="speed violations audit")</formula>
    </cfRule>
  </conditionalFormatting>
  <conditionalFormatting sqref="A58">
    <cfRule type="expression" dxfId="23" priority="6043" stopIfTrue="1">
      <formula>OR($A58="username", $A58="phonenumber", $A58="start", $A58="end", $A58="deviceid", $A58="subscriberid", $A58="simserial", $A58="caseid")</formula>
    </cfRule>
  </conditionalFormatting>
  <conditionalFormatting sqref="A58">
    <cfRule type="expression" dxfId="24" priority="6044" stopIfTrue="1">
      <formula>OR(AND(LEFT($A58, 16)="select_multiple ", LEN($A58)&gt;16, NOT(ISNUMBER(SEARCH(" ", $A58, 17)))), AND(LEFT($A58, 11)="select_one ", LEN($A58)&gt;11, NOT(ISNUMBER(SEARCH(" ", $A58, 12)))))</formula>
    </cfRule>
  </conditionalFormatting>
  <conditionalFormatting sqref="A58">
    <cfRule type="expression" dxfId="25" priority="6045" stopIfTrue="1">
      <formula>$A58="decimal"</formula>
    </cfRule>
  </conditionalFormatting>
  <conditionalFormatting sqref="A58">
    <cfRule type="expression" dxfId="26" priority="6046" stopIfTrue="1">
      <formula>$A58="integer"</formula>
    </cfRule>
  </conditionalFormatting>
  <conditionalFormatting sqref="A58">
    <cfRule type="expression" dxfId="27" priority="6047" stopIfTrue="1">
      <formula>$A58="text"</formula>
    </cfRule>
  </conditionalFormatting>
  <conditionalFormatting sqref="A58">
    <cfRule type="expression" dxfId="28" priority="6048" stopIfTrue="1">
      <formula>$A58="end repeat"</formula>
    </cfRule>
  </conditionalFormatting>
  <conditionalFormatting sqref="A58">
    <cfRule type="expression" dxfId="28" priority="6049" stopIfTrue="1">
      <formula>$A58="begin repeat"</formula>
    </cfRule>
  </conditionalFormatting>
  <conditionalFormatting sqref="A58">
    <cfRule type="expression" dxfId="29" priority="6050" stopIfTrue="1">
      <formula>$A58="end group"</formula>
    </cfRule>
  </conditionalFormatting>
  <conditionalFormatting sqref="A58">
    <cfRule type="expression" dxfId="29" priority="6051" stopIfTrue="1">
      <formula>$A58="begin group"</formula>
    </cfRule>
  </conditionalFormatting>
  <conditionalFormatting sqref="A51:A56">
    <cfRule type="expression" dxfId="33" priority="6052" stopIfTrue="1">
      <formula>$A51="file"</formula>
    </cfRule>
  </conditionalFormatting>
  <conditionalFormatting sqref="A51:A56">
    <cfRule type="expression" dxfId="34" priority="6053" stopIfTrue="1">
      <formula>$A51="enumerator"</formula>
    </cfRule>
  </conditionalFormatting>
  <conditionalFormatting sqref="A51:A56">
    <cfRule type="expression" dxfId="35" priority="6054" stopIfTrue="1">
      <formula>OR(AND(LEFT($A51, 14)="sensor_stream ", LEN($A51)&gt;14, NOT(ISNUMBER(SEARCH(" ", $A51, 15)))), AND(LEFT($A51, 17)="sensor_statistic ", LEN($A51)&gt;17, NOT(ISNUMBER(SEARCH(" ", $A51, 18)))))</formula>
    </cfRule>
  </conditionalFormatting>
  <conditionalFormatting sqref="A51:A56">
    <cfRule type="expression" dxfId="14" priority="6055" stopIfTrue="1">
      <formula>$A51="comments"</formula>
    </cfRule>
  </conditionalFormatting>
  <conditionalFormatting sqref="A51:A56">
    <cfRule type="expression" dxfId="15" priority="6056" stopIfTrue="1">
      <formula>OR($A51="audio", $A51="video")</formula>
    </cfRule>
  </conditionalFormatting>
  <conditionalFormatting sqref="A51:A56">
    <cfRule type="expression" dxfId="16" priority="6057" stopIfTrue="1">
      <formula>$A51="image"</formula>
    </cfRule>
  </conditionalFormatting>
  <conditionalFormatting sqref="A51:A56">
    <cfRule type="expression" dxfId="17" priority="6058" stopIfTrue="1">
      <formula>OR($A51="date", $A51="datetime", $A51="time")</formula>
    </cfRule>
  </conditionalFormatting>
  <conditionalFormatting sqref="A51:A56">
    <cfRule type="expression" dxfId="18" priority="6059" stopIfTrue="1">
      <formula>OR($A51="calculate", $A51="calculate_here")</formula>
    </cfRule>
  </conditionalFormatting>
  <conditionalFormatting sqref="A51:A56">
    <cfRule type="expression" dxfId="19" priority="6060" stopIfTrue="1">
      <formula>$A51="note"</formula>
    </cfRule>
  </conditionalFormatting>
  <conditionalFormatting sqref="A51:A56">
    <cfRule type="expression" dxfId="20" priority="6061" stopIfTrue="1">
      <formula>$A51="barcode"</formula>
    </cfRule>
  </conditionalFormatting>
  <conditionalFormatting sqref="A51:A56">
    <cfRule type="expression" dxfId="21" priority="6062" stopIfTrue="1">
      <formula>OR($A51="geopoint", $A51="geoshape", $A51="geotrace")</formula>
    </cfRule>
  </conditionalFormatting>
  <conditionalFormatting sqref="A51:A56">
    <cfRule type="expression" dxfId="22" priority="6063" stopIfTrue="1">
      <formula>OR($A51="audio audit", $A51="text audit", $A51="speed violations count", $A51="speed violations list", $A51="speed violations audit")</formula>
    </cfRule>
  </conditionalFormatting>
  <conditionalFormatting sqref="A51:A56">
    <cfRule type="expression" dxfId="23" priority="6064" stopIfTrue="1">
      <formula>OR($A51="username", $A51="phonenumber", $A51="start", $A51="end", $A51="deviceid", $A51="subscriberid", $A51="simserial", $A51="caseid")</formula>
    </cfRule>
  </conditionalFormatting>
  <conditionalFormatting sqref="A51:A56">
    <cfRule type="expression" dxfId="24" priority="6065" stopIfTrue="1">
      <formula>OR(AND(LEFT($A51, 16)="select_multiple ", LEN($A51)&gt;16, NOT(ISNUMBER(SEARCH(" ", $A51, 17)))), AND(LEFT($A51, 11)="select_one ", LEN($A51)&gt;11, NOT(ISNUMBER(SEARCH(" ", $A51, 12)))))</formula>
    </cfRule>
  </conditionalFormatting>
  <conditionalFormatting sqref="A51:A56">
    <cfRule type="expression" dxfId="25" priority="6066" stopIfTrue="1">
      <formula>$A51="decimal"</formula>
    </cfRule>
  </conditionalFormatting>
  <conditionalFormatting sqref="A51:A56">
    <cfRule type="expression" dxfId="26" priority="6067" stopIfTrue="1">
      <formula>$A51="integer"</formula>
    </cfRule>
  </conditionalFormatting>
  <conditionalFormatting sqref="A51:A56">
    <cfRule type="expression" dxfId="27" priority="6068" stopIfTrue="1">
      <formula>$A51="text"</formula>
    </cfRule>
  </conditionalFormatting>
  <conditionalFormatting sqref="A51:A56">
    <cfRule type="expression" dxfId="28" priority="6069" stopIfTrue="1">
      <formula>$A51="end repeat"</formula>
    </cfRule>
  </conditionalFormatting>
  <conditionalFormatting sqref="A51:A56">
    <cfRule type="expression" dxfId="28" priority="6070" stopIfTrue="1">
      <formula>$A51="begin repeat"</formula>
    </cfRule>
  </conditionalFormatting>
  <conditionalFormatting sqref="A51:A56">
    <cfRule type="expression" dxfId="29" priority="6071" stopIfTrue="1">
      <formula>$A51="end group"</formula>
    </cfRule>
  </conditionalFormatting>
  <conditionalFormatting sqref="A51:A56">
    <cfRule type="expression" dxfId="29" priority="6072" stopIfTrue="1">
      <formula>$A51="begin group"</formula>
    </cfRule>
  </conditionalFormatting>
  <conditionalFormatting sqref="A49">
    <cfRule type="expression" dxfId="33" priority="6073" stopIfTrue="1">
      <formula>$A49="file"</formula>
    </cfRule>
  </conditionalFormatting>
  <conditionalFormatting sqref="A49">
    <cfRule type="expression" dxfId="34" priority="6074" stopIfTrue="1">
      <formula>$A49="enumerator"</formula>
    </cfRule>
  </conditionalFormatting>
  <conditionalFormatting sqref="A49">
    <cfRule type="expression" dxfId="35" priority="6075" stopIfTrue="1">
      <formula>OR(AND(LEFT($A49, 14)="sensor_stream ", LEN($A49)&gt;14, NOT(ISNUMBER(SEARCH(" ", $A49, 15)))), AND(LEFT($A49, 17)="sensor_statistic ", LEN($A49)&gt;17, NOT(ISNUMBER(SEARCH(" ", $A49, 18)))))</formula>
    </cfRule>
  </conditionalFormatting>
  <conditionalFormatting sqref="A49">
    <cfRule type="expression" dxfId="14" priority="6076" stopIfTrue="1">
      <formula>$A49="comments"</formula>
    </cfRule>
  </conditionalFormatting>
  <conditionalFormatting sqref="A49">
    <cfRule type="expression" dxfId="15" priority="6077" stopIfTrue="1">
      <formula>OR($A49="audio", $A49="video")</formula>
    </cfRule>
  </conditionalFormatting>
  <conditionalFormatting sqref="A49">
    <cfRule type="expression" dxfId="16" priority="6078" stopIfTrue="1">
      <formula>$A49="image"</formula>
    </cfRule>
  </conditionalFormatting>
  <conditionalFormatting sqref="A49">
    <cfRule type="expression" dxfId="17" priority="6079" stopIfTrue="1">
      <formula>OR($A49="date", $A49="datetime", $A49="time")</formula>
    </cfRule>
  </conditionalFormatting>
  <conditionalFormatting sqref="A49">
    <cfRule type="expression" dxfId="18" priority="6080" stopIfTrue="1">
      <formula>OR($A49="calculate", $A49="calculate_here")</formula>
    </cfRule>
  </conditionalFormatting>
  <conditionalFormatting sqref="A49">
    <cfRule type="expression" dxfId="19" priority="6081" stopIfTrue="1">
      <formula>$A49="note"</formula>
    </cfRule>
  </conditionalFormatting>
  <conditionalFormatting sqref="A49">
    <cfRule type="expression" dxfId="20" priority="6082" stopIfTrue="1">
      <formula>$A49="barcode"</formula>
    </cfRule>
  </conditionalFormatting>
  <conditionalFormatting sqref="A49">
    <cfRule type="expression" dxfId="21" priority="6083" stopIfTrue="1">
      <formula>OR($A49="geopoint", $A49="geoshape", $A49="geotrace")</formula>
    </cfRule>
  </conditionalFormatting>
  <conditionalFormatting sqref="A49">
    <cfRule type="expression" dxfId="22" priority="6084" stopIfTrue="1">
      <formula>OR($A49="audio audit", $A49="text audit", $A49="speed violations count", $A49="speed violations list", $A49="speed violations audit")</formula>
    </cfRule>
  </conditionalFormatting>
  <conditionalFormatting sqref="A49">
    <cfRule type="expression" dxfId="23" priority="6085" stopIfTrue="1">
      <formula>OR($A49="username", $A49="phonenumber", $A49="start", $A49="end", $A49="deviceid", $A49="subscriberid", $A49="simserial", $A49="caseid")</formula>
    </cfRule>
  </conditionalFormatting>
  <conditionalFormatting sqref="A49">
    <cfRule type="expression" dxfId="24" priority="6086" stopIfTrue="1">
      <formula>OR(AND(LEFT($A49, 16)="select_multiple ", LEN($A49)&gt;16, NOT(ISNUMBER(SEARCH(" ", $A49, 17)))), AND(LEFT($A49, 11)="select_one ", LEN($A49)&gt;11, NOT(ISNUMBER(SEARCH(" ", $A49, 12)))))</formula>
    </cfRule>
  </conditionalFormatting>
  <conditionalFormatting sqref="A49">
    <cfRule type="expression" dxfId="25" priority="6087" stopIfTrue="1">
      <formula>$A49="decimal"</formula>
    </cfRule>
  </conditionalFormatting>
  <conditionalFormatting sqref="A49">
    <cfRule type="expression" dxfId="26" priority="6088" stopIfTrue="1">
      <formula>$A49="integer"</formula>
    </cfRule>
  </conditionalFormatting>
  <conditionalFormatting sqref="A49">
    <cfRule type="expression" dxfId="27" priority="6089" stopIfTrue="1">
      <formula>$A49="text"</formula>
    </cfRule>
  </conditionalFormatting>
  <conditionalFormatting sqref="A49">
    <cfRule type="expression" dxfId="28" priority="6090" stopIfTrue="1">
      <formula>$A49="end repeat"</formula>
    </cfRule>
  </conditionalFormatting>
  <conditionalFormatting sqref="A49">
    <cfRule type="expression" dxfId="28" priority="6091" stopIfTrue="1">
      <formula>$A49="begin repeat"</formula>
    </cfRule>
  </conditionalFormatting>
  <conditionalFormatting sqref="A49">
    <cfRule type="expression" dxfId="29" priority="6092" stopIfTrue="1">
      <formula>$A49="end group"</formula>
    </cfRule>
  </conditionalFormatting>
  <conditionalFormatting sqref="A49">
    <cfRule type="expression" dxfId="29" priority="6093" stopIfTrue="1">
      <formula>$A49="begin group"</formula>
    </cfRule>
  </conditionalFormatting>
  <conditionalFormatting sqref="A34">
    <cfRule type="expression" dxfId="33" priority="6094" stopIfTrue="1">
      <formula>$A34="file"</formula>
    </cfRule>
  </conditionalFormatting>
  <conditionalFormatting sqref="A34">
    <cfRule type="expression" dxfId="34" priority="6095" stopIfTrue="1">
      <formula>$A34="enumerator"</formula>
    </cfRule>
  </conditionalFormatting>
  <conditionalFormatting sqref="A34">
    <cfRule type="expression" dxfId="35" priority="6096" stopIfTrue="1">
      <formula>OR(AND(LEFT($A34, 14)="sensor_stream ", LEN($A34)&gt;14, NOT(ISNUMBER(SEARCH(" ", $A34, 15)))), AND(LEFT($A34, 17)="sensor_statistic ", LEN($A34)&gt;17, NOT(ISNUMBER(SEARCH(" ", $A34, 18)))))</formula>
    </cfRule>
  </conditionalFormatting>
  <conditionalFormatting sqref="A34">
    <cfRule type="expression" dxfId="14" priority="6097" stopIfTrue="1">
      <formula>$A34="comments"</formula>
    </cfRule>
  </conditionalFormatting>
  <conditionalFormatting sqref="A34">
    <cfRule type="expression" dxfId="15" priority="6098" stopIfTrue="1">
      <formula>OR($A34="audio", $A34="video")</formula>
    </cfRule>
  </conditionalFormatting>
  <conditionalFormatting sqref="A34">
    <cfRule type="expression" dxfId="16" priority="6099" stopIfTrue="1">
      <formula>$A34="image"</formula>
    </cfRule>
  </conditionalFormatting>
  <conditionalFormatting sqref="A34">
    <cfRule type="expression" dxfId="17" priority="6100" stopIfTrue="1">
      <formula>OR($A34="date", $A34="datetime", $A34="time")</formula>
    </cfRule>
  </conditionalFormatting>
  <conditionalFormatting sqref="A34">
    <cfRule type="expression" dxfId="18" priority="6101" stopIfTrue="1">
      <formula>OR($A34="calculate", $A34="calculate_here")</formula>
    </cfRule>
  </conditionalFormatting>
  <conditionalFormatting sqref="A34">
    <cfRule type="expression" dxfId="19" priority="6102" stopIfTrue="1">
      <formula>$A34="note"</formula>
    </cfRule>
  </conditionalFormatting>
  <conditionalFormatting sqref="A34">
    <cfRule type="expression" dxfId="20" priority="6103" stopIfTrue="1">
      <formula>$A34="barcode"</formula>
    </cfRule>
  </conditionalFormatting>
  <conditionalFormatting sqref="A34">
    <cfRule type="expression" dxfId="21" priority="6104" stopIfTrue="1">
      <formula>OR($A34="geopoint", $A34="geoshape", $A34="geotrace")</formula>
    </cfRule>
  </conditionalFormatting>
  <conditionalFormatting sqref="A34">
    <cfRule type="expression" dxfId="22" priority="6105" stopIfTrue="1">
      <formula>OR($A34="audio audit", $A34="text audit", $A34="speed violations count", $A34="speed violations list", $A34="speed violations audit")</formula>
    </cfRule>
  </conditionalFormatting>
  <conditionalFormatting sqref="A34">
    <cfRule type="expression" dxfId="23" priority="6106" stopIfTrue="1">
      <formula>OR($A34="username", $A34="phonenumber", $A34="start", $A34="end", $A34="deviceid", $A34="subscriberid", $A34="simserial", $A34="caseid")</formula>
    </cfRule>
  </conditionalFormatting>
  <conditionalFormatting sqref="A34">
    <cfRule type="expression" dxfId="24" priority="6107" stopIfTrue="1">
      <formula>OR(AND(LEFT($A34, 16)="select_multiple ", LEN($A34)&gt;16, NOT(ISNUMBER(SEARCH(" ", $A34, 17)))), AND(LEFT($A34, 11)="select_one ", LEN($A34)&gt;11, NOT(ISNUMBER(SEARCH(" ", $A34, 12)))))</formula>
    </cfRule>
  </conditionalFormatting>
  <conditionalFormatting sqref="A34">
    <cfRule type="expression" dxfId="25" priority="6108" stopIfTrue="1">
      <formula>$A34="decimal"</formula>
    </cfRule>
  </conditionalFormatting>
  <conditionalFormatting sqref="A34">
    <cfRule type="expression" dxfId="26" priority="6109" stopIfTrue="1">
      <formula>$A34="integer"</formula>
    </cfRule>
  </conditionalFormatting>
  <conditionalFormatting sqref="A34">
    <cfRule type="expression" dxfId="27" priority="6110" stopIfTrue="1">
      <formula>$A34="text"</formula>
    </cfRule>
  </conditionalFormatting>
  <conditionalFormatting sqref="A34">
    <cfRule type="expression" dxfId="28" priority="6111" stopIfTrue="1">
      <formula>$A34="end repeat"</formula>
    </cfRule>
  </conditionalFormatting>
  <conditionalFormatting sqref="A34">
    <cfRule type="expression" dxfId="28" priority="6112" stopIfTrue="1">
      <formula>$A34="begin repeat"</formula>
    </cfRule>
  </conditionalFormatting>
  <conditionalFormatting sqref="A34">
    <cfRule type="expression" dxfId="29" priority="6113" stopIfTrue="1">
      <formula>$A34="end group"</formula>
    </cfRule>
  </conditionalFormatting>
  <conditionalFormatting sqref="A34">
    <cfRule type="expression" dxfId="29" priority="6114" stopIfTrue="1">
      <formula>$A34="begin group"</formula>
    </cfRule>
  </conditionalFormatting>
  <conditionalFormatting sqref="A24">
    <cfRule type="expression" dxfId="33" priority="6115" stopIfTrue="1">
      <formula>$A24="file"</formula>
    </cfRule>
  </conditionalFormatting>
  <conditionalFormatting sqref="A24">
    <cfRule type="expression" dxfId="34" priority="6116" stopIfTrue="1">
      <formula>$A24="enumerator"</formula>
    </cfRule>
  </conditionalFormatting>
  <conditionalFormatting sqref="A24">
    <cfRule type="expression" dxfId="35" priority="6117" stopIfTrue="1">
      <formula>OR(AND(LEFT($A24, 14)="sensor_stream ", LEN($A24)&gt;14, NOT(ISNUMBER(SEARCH(" ", $A24, 15)))), AND(LEFT($A24, 17)="sensor_statistic ", LEN($A24)&gt;17, NOT(ISNUMBER(SEARCH(" ", $A24, 18)))))</formula>
    </cfRule>
  </conditionalFormatting>
  <conditionalFormatting sqref="A24">
    <cfRule type="expression" dxfId="14" priority="6118" stopIfTrue="1">
      <formula>$A24="comments"</formula>
    </cfRule>
  </conditionalFormatting>
  <conditionalFormatting sqref="A24">
    <cfRule type="expression" dxfId="15" priority="6119" stopIfTrue="1">
      <formula>OR($A24="audio", $A24="video")</formula>
    </cfRule>
  </conditionalFormatting>
  <conditionalFormatting sqref="A24">
    <cfRule type="expression" dxfId="16" priority="6120" stopIfTrue="1">
      <formula>$A24="image"</formula>
    </cfRule>
  </conditionalFormatting>
  <conditionalFormatting sqref="A24">
    <cfRule type="expression" dxfId="17" priority="6121" stopIfTrue="1">
      <formula>OR($A24="date", $A24="datetime", $A24="time")</formula>
    </cfRule>
  </conditionalFormatting>
  <conditionalFormatting sqref="A24">
    <cfRule type="expression" dxfId="18" priority="6122" stopIfTrue="1">
      <formula>OR($A24="calculate", $A24="calculate_here")</formula>
    </cfRule>
  </conditionalFormatting>
  <conditionalFormatting sqref="A24">
    <cfRule type="expression" dxfId="19" priority="6123" stopIfTrue="1">
      <formula>$A24="note"</formula>
    </cfRule>
  </conditionalFormatting>
  <conditionalFormatting sqref="A24">
    <cfRule type="expression" dxfId="20" priority="6124" stopIfTrue="1">
      <formula>$A24="barcode"</formula>
    </cfRule>
  </conditionalFormatting>
  <conditionalFormatting sqref="A24">
    <cfRule type="expression" dxfId="21" priority="6125" stopIfTrue="1">
      <formula>OR($A24="geopoint", $A24="geoshape", $A24="geotrace")</formula>
    </cfRule>
  </conditionalFormatting>
  <conditionalFormatting sqref="A24">
    <cfRule type="expression" dxfId="22" priority="6126" stopIfTrue="1">
      <formula>OR($A24="audio audit", $A24="text audit", $A24="speed violations count", $A24="speed violations list", $A24="speed violations audit")</formula>
    </cfRule>
  </conditionalFormatting>
  <conditionalFormatting sqref="A24">
    <cfRule type="expression" dxfId="23" priority="6127" stopIfTrue="1">
      <formula>OR($A24="username", $A24="phonenumber", $A24="start", $A24="end", $A24="deviceid", $A24="subscriberid", $A24="simserial", $A24="caseid")</formula>
    </cfRule>
  </conditionalFormatting>
  <conditionalFormatting sqref="A24">
    <cfRule type="expression" dxfId="24" priority="6128" stopIfTrue="1">
      <formula>OR(AND(LEFT($A24, 16)="select_multiple ", LEN($A24)&gt;16, NOT(ISNUMBER(SEARCH(" ", $A24, 17)))), AND(LEFT($A24, 11)="select_one ", LEN($A24)&gt;11, NOT(ISNUMBER(SEARCH(" ", $A24, 12)))))</formula>
    </cfRule>
  </conditionalFormatting>
  <conditionalFormatting sqref="A24">
    <cfRule type="expression" dxfId="25" priority="6129" stopIfTrue="1">
      <formula>$A24="decimal"</formula>
    </cfRule>
  </conditionalFormatting>
  <conditionalFormatting sqref="A24">
    <cfRule type="expression" dxfId="26" priority="6130" stopIfTrue="1">
      <formula>$A24="integer"</formula>
    </cfRule>
  </conditionalFormatting>
  <conditionalFormatting sqref="A24">
    <cfRule type="expression" dxfId="27" priority="6131" stopIfTrue="1">
      <formula>$A24="text"</formula>
    </cfRule>
  </conditionalFormatting>
  <conditionalFormatting sqref="A24">
    <cfRule type="expression" dxfId="28" priority="6132" stopIfTrue="1">
      <formula>$A24="end repeat"</formula>
    </cfRule>
  </conditionalFormatting>
  <conditionalFormatting sqref="A24">
    <cfRule type="expression" dxfId="28" priority="6133" stopIfTrue="1">
      <formula>$A24="begin repeat"</formula>
    </cfRule>
  </conditionalFormatting>
  <conditionalFormatting sqref="A24">
    <cfRule type="expression" dxfId="29" priority="6134" stopIfTrue="1">
      <formula>$A24="end group"</formula>
    </cfRule>
  </conditionalFormatting>
  <conditionalFormatting sqref="A24">
    <cfRule type="expression" dxfId="29" priority="6135" stopIfTrue="1">
      <formula>$A24="begin group"</formula>
    </cfRule>
  </conditionalFormatting>
  <conditionalFormatting sqref="A20">
    <cfRule type="expression" dxfId="33" priority="6136" stopIfTrue="1">
      <formula>$A20="file"</formula>
    </cfRule>
  </conditionalFormatting>
  <conditionalFormatting sqref="A20">
    <cfRule type="expression" dxfId="34" priority="6137" stopIfTrue="1">
      <formula>$A20="enumerator"</formula>
    </cfRule>
  </conditionalFormatting>
  <conditionalFormatting sqref="A20">
    <cfRule type="expression" dxfId="35" priority="6138" stopIfTrue="1">
      <formula>OR(AND(LEFT($A20, 14)="sensor_stream ", LEN($A20)&gt;14, NOT(ISNUMBER(SEARCH(" ", $A20, 15)))), AND(LEFT($A20, 17)="sensor_statistic ", LEN($A20)&gt;17, NOT(ISNUMBER(SEARCH(" ", $A20, 18)))))</formula>
    </cfRule>
  </conditionalFormatting>
  <conditionalFormatting sqref="A20">
    <cfRule type="expression" dxfId="14" priority="6139" stopIfTrue="1">
      <formula>$A20="comments"</formula>
    </cfRule>
  </conditionalFormatting>
  <conditionalFormatting sqref="A20">
    <cfRule type="expression" dxfId="15" priority="6140" stopIfTrue="1">
      <formula>OR($A20="audio", $A20="video")</formula>
    </cfRule>
  </conditionalFormatting>
  <conditionalFormatting sqref="A20">
    <cfRule type="expression" dxfId="16" priority="6141" stopIfTrue="1">
      <formula>$A20="image"</formula>
    </cfRule>
  </conditionalFormatting>
  <conditionalFormatting sqref="A20">
    <cfRule type="expression" dxfId="17" priority="6142" stopIfTrue="1">
      <formula>OR($A20="date", $A20="datetime", $A20="time")</formula>
    </cfRule>
  </conditionalFormatting>
  <conditionalFormatting sqref="A20">
    <cfRule type="expression" dxfId="18" priority="6143" stopIfTrue="1">
      <formula>OR($A20="calculate", $A20="calculate_here")</formula>
    </cfRule>
  </conditionalFormatting>
  <conditionalFormatting sqref="A20">
    <cfRule type="expression" dxfId="19" priority="6144" stopIfTrue="1">
      <formula>$A20="note"</formula>
    </cfRule>
  </conditionalFormatting>
  <conditionalFormatting sqref="A20">
    <cfRule type="expression" dxfId="20" priority="6145" stopIfTrue="1">
      <formula>$A20="barcode"</formula>
    </cfRule>
  </conditionalFormatting>
  <conditionalFormatting sqref="A20">
    <cfRule type="expression" dxfId="21" priority="6146" stopIfTrue="1">
      <formula>OR($A20="geopoint", $A20="geoshape", $A20="geotrace")</formula>
    </cfRule>
  </conditionalFormatting>
  <conditionalFormatting sqref="A20">
    <cfRule type="expression" dxfId="22" priority="6147" stopIfTrue="1">
      <formula>OR($A20="audio audit", $A20="text audit", $A20="speed violations count", $A20="speed violations list", $A20="speed violations audit")</formula>
    </cfRule>
  </conditionalFormatting>
  <conditionalFormatting sqref="A20">
    <cfRule type="expression" dxfId="23" priority="6148" stopIfTrue="1">
      <formula>OR($A20="username", $A20="phonenumber", $A20="start", $A20="end", $A20="deviceid", $A20="subscriberid", $A20="simserial", $A20="caseid")</formula>
    </cfRule>
  </conditionalFormatting>
  <conditionalFormatting sqref="A20">
    <cfRule type="expression" dxfId="24" priority="6149" stopIfTrue="1">
      <formula>OR(AND(LEFT($A20, 16)="select_multiple ", LEN($A20)&gt;16, NOT(ISNUMBER(SEARCH(" ", $A20, 17)))), AND(LEFT($A20, 11)="select_one ", LEN($A20)&gt;11, NOT(ISNUMBER(SEARCH(" ", $A20, 12)))))</formula>
    </cfRule>
  </conditionalFormatting>
  <conditionalFormatting sqref="A20">
    <cfRule type="expression" dxfId="25" priority="6150" stopIfTrue="1">
      <formula>$A20="decimal"</formula>
    </cfRule>
  </conditionalFormatting>
  <conditionalFormatting sqref="A20">
    <cfRule type="expression" dxfId="26" priority="6151" stopIfTrue="1">
      <formula>$A20="integer"</formula>
    </cfRule>
  </conditionalFormatting>
  <conditionalFormatting sqref="A20">
    <cfRule type="expression" dxfId="27" priority="6152" stopIfTrue="1">
      <formula>$A20="text"</formula>
    </cfRule>
  </conditionalFormatting>
  <conditionalFormatting sqref="A20">
    <cfRule type="expression" dxfId="28" priority="6153" stopIfTrue="1">
      <formula>$A20="end repeat"</formula>
    </cfRule>
  </conditionalFormatting>
  <conditionalFormatting sqref="A20">
    <cfRule type="expression" dxfId="28" priority="6154" stopIfTrue="1">
      <formula>$A20="begin repeat"</formula>
    </cfRule>
  </conditionalFormatting>
  <conditionalFormatting sqref="A20">
    <cfRule type="expression" dxfId="29" priority="6155" stopIfTrue="1">
      <formula>$A20="end group"</formula>
    </cfRule>
  </conditionalFormatting>
  <conditionalFormatting sqref="A20">
    <cfRule type="expression" dxfId="29" priority="6156" stopIfTrue="1">
      <formula>$A20="begin group"</formula>
    </cfRule>
  </conditionalFormatting>
  <conditionalFormatting sqref="A18">
    <cfRule type="expression" dxfId="33" priority="6157" stopIfTrue="1">
      <formula>$A18="file"</formula>
    </cfRule>
  </conditionalFormatting>
  <conditionalFormatting sqref="A18">
    <cfRule type="expression" dxfId="34" priority="6158" stopIfTrue="1">
      <formula>$A18="enumerator"</formula>
    </cfRule>
  </conditionalFormatting>
  <conditionalFormatting sqref="A18">
    <cfRule type="expression" dxfId="35" priority="6159" stopIfTrue="1">
      <formula>OR(AND(LEFT($A18, 14)="sensor_stream ", LEN($A18)&gt;14, NOT(ISNUMBER(SEARCH(" ", $A18, 15)))), AND(LEFT($A18, 17)="sensor_statistic ", LEN($A18)&gt;17, NOT(ISNUMBER(SEARCH(" ", $A18, 18)))))</formula>
    </cfRule>
  </conditionalFormatting>
  <conditionalFormatting sqref="A18">
    <cfRule type="expression" dxfId="14" priority="6160" stopIfTrue="1">
      <formula>$A18="comments"</formula>
    </cfRule>
  </conditionalFormatting>
  <conditionalFormatting sqref="A18">
    <cfRule type="expression" dxfId="15" priority="6161" stopIfTrue="1">
      <formula>OR($A18="audio", $A18="video")</formula>
    </cfRule>
  </conditionalFormatting>
  <conditionalFormatting sqref="A18">
    <cfRule type="expression" dxfId="16" priority="6162" stopIfTrue="1">
      <formula>$A18="image"</formula>
    </cfRule>
  </conditionalFormatting>
  <conditionalFormatting sqref="A18">
    <cfRule type="expression" dxfId="17" priority="6163" stopIfTrue="1">
      <formula>OR($A18="date", $A18="datetime", $A18="time")</formula>
    </cfRule>
  </conditionalFormatting>
  <conditionalFormatting sqref="A18">
    <cfRule type="expression" dxfId="18" priority="6164" stopIfTrue="1">
      <formula>OR($A18="calculate", $A18="calculate_here")</formula>
    </cfRule>
  </conditionalFormatting>
  <conditionalFormatting sqref="A18">
    <cfRule type="expression" dxfId="19" priority="6165" stopIfTrue="1">
      <formula>$A18="note"</formula>
    </cfRule>
  </conditionalFormatting>
  <conditionalFormatting sqref="A18">
    <cfRule type="expression" dxfId="20" priority="6166" stopIfTrue="1">
      <formula>$A18="barcode"</formula>
    </cfRule>
  </conditionalFormatting>
  <conditionalFormatting sqref="A18">
    <cfRule type="expression" dxfId="21" priority="6167" stopIfTrue="1">
      <formula>OR($A18="geopoint", $A18="geoshape", $A18="geotrace")</formula>
    </cfRule>
  </conditionalFormatting>
  <conditionalFormatting sqref="A18">
    <cfRule type="expression" dxfId="22" priority="6168" stopIfTrue="1">
      <formula>OR($A18="audio audit", $A18="text audit", $A18="speed violations count", $A18="speed violations list", $A18="speed violations audit")</formula>
    </cfRule>
  </conditionalFormatting>
  <conditionalFormatting sqref="A18">
    <cfRule type="expression" dxfId="23" priority="6169" stopIfTrue="1">
      <formula>OR($A18="username", $A18="phonenumber", $A18="start", $A18="end", $A18="deviceid", $A18="subscriberid", $A18="simserial", $A18="caseid")</formula>
    </cfRule>
  </conditionalFormatting>
  <conditionalFormatting sqref="A18">
    <cfRule type="expression" dxfId="24" priority="6170" stopIfTrue="1">
      <formula>OR(AND(LEFT($A18, 16)="select_multiple ", LEN($A18)&gt;16, NOT(ISNUMBER(SEARCH(" ", $A18, 17)))), AND(LEFT($A18, 11)="select_one ", LEN($A18)&gt;11, NOT(ISNUMBER(SEARCH(" ", $A18, 12)))))</formula>
    </cfRule>
  </conditionalFormatting>
  <conditionalFormatting sqref="A18">
    <cfRule type="expression" dxfId="25" priority="6171" stopIfTrue="1">
      <formula>$A18="decimal"</formula>
    </cfRule>
  </conditionalFormatting>
  <conditionalFormatting sqref="A18">
    <cfRule type="expression" dxfId="26" priority="6172" stopIfTrue="1">
      <formula>$A18="integer"</formula>
    </cfRule>
  </conditionalFormatting>
  <conditionalFormatting sqref="A18">
    <cfRule type="expression" dxfId="27" priority="6173" stopIfTrue="1">
      <formula>$A18="text"</formula>
    </cfRule>
  </conditionalFormatting>
  <conditionalFormatting sqref="A18">
    <cfRule type="expression" dxfId="28" priority="6174" stopIfTrue="1">
      <formula>$A18="end repeat"</formula>
    </cfRule>
  </conditionalFormatting>
  <conditionalFormatting sqref="A18">
    <cfRule type="expression" dxfId="28" priority="6175" stopIfTrue="1">
      <formula>$A18="begin repeat"</formula>
    </cfRule>
  </conditionalFormatting>
  <conditionalFormatting sqref="A18">
    <cfRule type="expression" dxfId="29" priority="6176" stopIfTrue="1">
      <formula>$A18="end group"</formula>
    </cfRule>
  </conditionalFormatting>
  <conditionalFormatting sqref="A18">
    <cfRule type="expression" dxfId="29" priority="6177" stopIfTrue="1">
      <formula>$A18="begin group"</formula>
    </cfRule>
  </conditionalFormatting>
  <conditionalFormatting sqref="A14:A16">
    <cfRule type="expression" dxfId="33" priority="6178" stopIfTrue="1">
      <formula>$A14="file"</formula>
    </cfRule>
  </conditionalFormatting>
  <conditionalFormatting sqref="A14:A16">
    <cfRule type="expression" dxfId="34" priority="6179" stopIfTrue="1">
      <formula>$A14="enumerator"</formula>
    </cfRule>
  </conditionalFormatting>
  <conditionalFormatting sqref="A14:A16">
    <cfRule type="expression" dxfId="35" priority="6180" stopIfTrue="1">
      <formula>OR(AND(LEFT($A14, 14)="sensor_stream ", LEN($A14)&gt;14, NOT(ISNUMBER(SEARCH(" ", $A14, 15)))), AND(LEFT($A14, 17)="sensor_statistic ", LEN($A14)&gt;17, NOT(ISNUMBER(SEARCH(" ", $A14, 18)))))</formula>
    </cfRule>
  </conditionalFormatting>
  <conditionalFormatting sqref="A14:A16">
    <cfRule type="expression" dxfId="14" priority="6181" stopIfTrue="1">
      <formula>$A14="comments"</formula>
    </cfRule>
  </conditionalFormatting>
  <conditionalFormatting sqref="A14:A16">
    <cfRule type="expression" dxfId="15" priority="6182" stopIfTrue="1">
      <formula>OR($A14="audio", $A14="video")</formula>
    </cfRule>
  </conditionalFormatting>
  <conditionalFormatting sqref="A14:A16">
    <cfRule type="expression" dxfId="16" priority="6183" stopIfTrue="1">
      <formula>$A14="image"</formula>
    </cfRule>
  </conditionalFormatting>
  <conditionalFormatting sqref="A14:A16">
    <cfRule type="expression" dxfId="17" priority="6184" stopIfTrue="1">
      <formula>OR($A14="date", $A14="datetime", $A14="time")</formula>
    </cfRule>
  </conditionalFormatting>
  <conditionalFormatting sqref="A14:A16">
    <cfRule type="expression" dxfId="18" priority="6185" stopIfTrue="1">
      <formula>OR($A14="calculate", $A14="calculate_here")</formula>
    </cfRule>
  </conditionalFormatting>
  <conditionalFormatting sqref="A14:A16">
    <cfRule type="expression" dxfId="19" priority="6186" stopIfTrue="1">
      <formula>$A14="note"</formula>
    </cfRule>
  </conditionalFormatting>
  <conditionalFormatting sqref="A14:A16">
    <cfRule type="expression" dxfId="20" priority="6187" stopIfTrue="1">
      <formula>$A14="barcode"</formula>
    </cfRule>
  </conditionalFormatting>
  <conditionalFormatting sqref="A14:A16">
    <cfRule type="expression" dxfId="21" priority="6188" stopIfTrue="1">
      <formula>OR($A14="geopoint", $A14="geoshape", $A14="geotrace")</formula>
    </cfRule>
  </conditionalFormatting>
  <conditionalFormatting sqref="A14:A16">
    <cfRule type="expression" dxfId="22" priority="6189" stopIfTrue="1">
      <formula>OR($A14="audio audit", $A14="text audit", $A14="speed violations count", $A14="speed violations list", $A14="speed violations audit")</formula>
    </cfRule>
  </conditionalFormatting>
  <conditionalFormatting sqref="A14:A16">
    <cfRule type="expression" dxfId="23" priority="6190" stopIfTrue="1">
      <formula>OR($A14="username", $A14="phonenumber", $A14="start", $A14="end", $A14="deviceid", $A14="subscriberid", $A14="simserial", $A14="caseid")</formula>
    </cfRule>
  </conditionalFormatting>
  <conditionalFormatting sqref="A14:A16">
    <cfRule type="expression" dxfId="24" priority="6191" stopIfTrue="1">
      <formula>OR(AND(LEFT($A14, 16)="select_multiple ", LEN($A14)&gt;16, NOT(ISNUMBER(SEARCH(" ", $A14, 17)))), AND(LEFT($A14, 11)="select_one ", LEN($A14)&gt;11, NOT(ISNUMBER(SEARCH(" ", $A14, 12)))))</formula>
    </cfRule>
  </conditionalFormatting>
  <conditionalFormatting sqref="A14:A16">
    <cfRule type="expression" dxfId="25" priority="6192" stopIfTrue="1">
      <formula>$A14="decimal"</formula>
    </cfRule>
  </conditionalFormatting>
  <conditionalFormatting sqref="A14:A16">
    <cfRule type="expression" dxfId="26" priority="6193" stopIfTrue="1">
      <formula>$A14="integer"</formula>
    </cfRule>
  </conditionalFormatting>
  <conditionalFormatting sqref="A14:A16">
    <cfRule type="expression" dxfId="27" priority="6194" stopIfTrue="1">
      <formula>$A14="text"</formula>
    </cfRule>
  </conditionalFormatting>
  <conditionalFormatting sqref="A14:A16">
    <cfRule type="expression" dxfId="28" priority="6195" stopIfTrue="1">
      <formula>$A14="end repeat"</formula>
    </cfRule>
  </conditionalFormatting>
  <conditionalFormatting sqref="A14:A16">
    <cfRule type="expression" dxfId="28" priority="6196" stopIfTrue="1">
      <formula>$A14="begin repeat"</formula>
    </cfRule>
  </conditionalFormatting>
  <conditionalFormatting sqref="A14:A16">
    <cfRule type="expression" dxfId="29" priority="6197" stopIfTrue="1">
      <formula>$A14="end group"</formula>
    </cfRule>
  </conditionalFormatting>
  <conditionalFormatting sqref="A14:A16">
    <cfRule type="expression" dxfId="29" priority="6198" stopIfTrue="1">
      <formula>$A14="begin group"</formula>
    </cfRule>
  </conditionalFormatting>
  <conditionalFormatting sqref="A10">
    <cfRule type="expression" dxfId="33" priority="6199" stopIfTrue="1">
      <formula>$A10="file"</formula>
    </cfRule>
  </conditionalFormatting>
  <conditionalFormatting sqref="A10">
    <cfRule type="expression" dxfId="34" priority="6200" stopIfTrue="1">
      <formula>$A10="enumerator"</formula>
    </cfRule>
  </conditionalFormatting>
  <conditionalFormatting sqref="A10">
    <cfRule type="expression" dxfId="35" priority="6201" stopIfTrue="1">
      <formula>OR(AND(LEFT($A10, 14)="sensor_stream ", LEN($A10)&gt;14, NOT(ISNUMBER(SEARCH(" ", $A10, 15)))), AND(LEFT($A10, 17)="sensor_statistic ", LEN($A10)&gt;17, NOT(ISNUMBER(SEARCH(" ", $A10, 18)))))</formula>
    </cfRule>
  </conditionalFormatting>
  <conditionalFormatting sqref="A10">
    <cfRule type="expression" dxfId="14" priority="6202" stopIfTrue="1">
      <formula>$A10="comments"</formula>
    </cfRule>
  </conditionalFormatting>
  <conditionalFormatting sqref="A10">
    <cfRule type="expression" dxfId="15" priority="6203" stopIfTrue="1">
      <formula>OR($A10="audio", $A10="video")</formula>
    </cfRule>
  </conditionalFormatting>
  <conditionalFormatting sqref="A10">
    <cfRule type="expression" dxfId="16" priority="6204" stopIfTrue="1">
      <formula>$A10="image"</formula>
    </cfRule>
  </conditionalFormatting>
  <conditionalFormatting sqref="A10">
    <cfRule type="expression" dxfId="17" priority="6205" stopIfTrue="1">
      <formula>OR($A10="date", $A10="datetime", $A10="time")</formula>
    </cfRule>
  </conditionalFormatting>
  <conditionalFormatting sqref="A10">
    <cfRule type="expression" dxfId="18" priority="6206" stopIfTrue="1">
      <formula>OR($A10="calculate", $A10="calculate_here")</formula>
    </cfRule>
  </conditionalFormatting>
  <conditionalFormatting sqref="A10">
    <cfRule type="expression" dxfId="19" priority="6207" stopIfTrue="1">
      <formula>$A10="note"</formula>
    </cfRule>
  </conditionalFormatting>
  <conditionalFormatting sqref="A10">
    <cfRule type="expression" dxfId="20" priority="6208" stopIfTrue="1">
      <formula>$A10="barcode"</formula>
    </cfRule>
  </conditionalFormatting>
  <conditionalFormatting sqref="A10">
    <cfRule type="expression" dxfId="21" priority="6209" stopIfTrue="1">
      <formula>OR($A10="geopoint", $A10="geoshape", $A10="geotrace")</formula>
    </cfRule>
  </conditionalFormatting>
  <conditionalFormatting sqref="A10">
    <cfRule type="expression" dxfId="22" priority="6210" stopIfTrue="1">
      <formula>OR($A10="audio audit", $A10="text audit", $A10="speed violations count", $A10="speed violations list", $A10="speed violations audit")</formula>
    </cfRule>
  </conditionalFormatting>
  <conditionalFormatting sqref="A10">
    <cfRule type="expression" dxfId="23" priority="6211" stopIfTrue="1">
      <formula>OR($A10="username", $A10="phonenumber", $A10="start", $A10="end", $A10="deviceid", $A10="subscriberid", $A10="simserial", $A10="caseid")</formula>
    </cfRule>
  </conditionalFormatting>
  <conditionalFormatting sqref="A10">
    <cfRule type="expression" dxfId="24" priority="6212" stopIfTrue="1">
      <formula>OR(AND(LEFT($A10, 16)="select_multiple ", LEN($A10)&gt;16, NOT(ISNUMBER(SEARCH(" ", $A10, 17)))), AND(LEFT($A10, 11)="select_one ", LEN($A10)&gt;11, NOT(ISNUMBER(SEARCH(" ", $A10, 12)))))</formula>
    </cfRule>
  </conditionalFormatting>
  <conditionalFormatting sqref="A10">
    <cfRule type="expression" dxfId="25" priority="6213" stopIfTrue="1">
      <formula>$A10="decimal"</formula>
    </cfRule>
  </conditionalFormatting>
  <conditionalFormatting sqref="A10">
    <cfRule type="expression" dxfId="26" priority="6214" stopIfTrue="1">
      <formula>$A10="integer"</formula>
    </cfRule>
  </conditionalFormatting>
  <conditionalFormatting sqref="A10">
    <cfRule type="expression" dxfId="27" priority="6215" stopIfTrue="1">
      <formula>$A10="text"</formula>
    </cfRule>
  </conditionalFormatting>
  <conditionalFormatting sqref="A10">
    <cfRule type="expression" dxfId="28" priority="6216" stopIfTrue="1">
      <formula>$A10="end repeat"</formula>
    </cfRule>
  </conditionalFormatting>
  <conditionalFormatting sqref="A10">
    <cfRule type="expression" dxfId="28" priority="6217" stopIfTrue="1">
      <formula>$A10="begin repeat"</formula>
    </cfRule>
  </conditionalFormatting>
  <conditionalFormatting sqref="A10">
    <cfRule type="expression" dxfId="29" priority="6218" stopIfTrue="1">
      <formula>$A10="end group"</formula>
    </cfRule>
  </conditionalFormatting>
  <conditionalFormatting sqref="A10">
    <cfRule type="expression" dxfId="29" priority="6219" stopIfTrue="1">
      <formula>$A10="begin group"</formula>
    </cfRule>
  </conditionalFormatting>
  <conditionalFormatting sqref="A1">
    <cfRule type="expression" dxfId="33" priority="6220" stopIfTrue="1">
      <formula>$A1="file"</formula>
    </cfRule>
  </conditionalFormatting>
  <conditionalFormatting sqref="A1">
    <cfRule type="expression" dxfId="34" priority="6221" stopIfTrue="1">
      <formula>$A1="enumerator"</formula>
    </cfRule>
  </conditionalFormatting>
  <conditionalFormatting sqref="A1">
    <cfRule type="expression" dxfId="35" priority="6222" stopIfTrue="1">
      <formula>OR(AND(LEFT($A1, 14)="sensor_stream ", LEN($A1)&gt;14, NOT(ISNUMBER(SEARCH(" ", $A1, 15)))), AND(LEFT($A1, 17)="sensor_statistic ", LEN($A1)&gt;17, NOT(ISNUMBER(SEARCH(" ", $A1, 18)))))</formula>
    </cfRule>
  </conditionalFormatting>
  <conditionalFormatting sqref="A1">
    <cfRule type="expression" dxfId="14" priority="6223" stopIfTrue="1">
      <formula>$A1="comments"</formula>
    </cfRule>
  </conditionalFormatting>
  <conditionalFormatting sqref="A1">
    <cfRule type="expression" dxfId="15" priority="6224" stopIfTrue="1">
      <formula>OR($A1="audio", $A1="video")</formula>
    </cfRule>
  </conditionalFormatting>
  <conditionalFormatting sqref="A1">
    <cfRule type="expression" dxfId="16" priority="6225" stopIfTrue="1">
      <formula>$A1="image"</formula>
    </cfRule>
  </conditionalFormatting>
  <conditionalFormatting sqref="A1">
    <cfRule type="expression" dxfId="17" priority="6226" stopIfTrue="1">
      <formula>OR($A1="date", $A1="datetime", $A1="time")</formula>
    </cfRule>
  </conditionalFormatting>
  <conditionalFormatting sqref="A1">
    <cfRule type="expression" dxfId="18" priority="6227" stopIfTrue="1">
      <formula>OR($A1="calculate", $A1="calculate_here")</formula>
    </cfRule>
  </conditionalFormatting>
  <conditionalFormatting sqref="A1">
    <cfRule type="expression" dxfId="19" priority="6228" stopIfTrue="1">
      <formula>$A1="note"</formula>
    </cfRule>
  </conditionalFormatting>
  <conditionalFormatting sqref="A1">
    <cfRule type="expression" dxfId="20" priority="6229" stopIfTrue="1">
      <formula>$A1="barcode"</formula>
    </cfRule>
  </conditionalFormatting>
  <conditionalFormatting sqref="A1">
    <cfRule type="expression" dxfId="21" priority="6230" stopIfTrue="1">
      <formula>OR($A1="geopoint", $A1="geoshape", $A1="geotrace")</formula>
    </cfRule>
  </conditionalFormatting>
  <conditionalFormatting sqref="A1">
    <cfRule type="expression" dxfId="22" priority="6231" stopIfTrue="1">
      <formula>OR($A1="audio audit", $A1="text audit", $A1="speed violations count", $A1="speed violations list", $A1="speed violations audit")</formula>
    </cfRule>
  </conditionalFormatting>
  <conditionalFormatting sqref="A1">
    <cfRule type="expression" dxfId="23" priority="6232" stopIfTrue="1">
      <formula>OR($A1="username", $A1="phonenumber", $A1="start", $A1="end", $A1="deviceid", $A1="subscriberid", $A1="simserial", $A1="caseid")</formula>
    </cfRule>
  </conditionalFormatting>
  <conditionalFormatting sqref="A1">
    <cfRule type="expression" dxfId="24" priority="6233" stopIfTrue="1">
      <formula>OR(AND(LEFT($A1, 16)="select_multiple ", LEN($A1)&gt;16, NOT(ISNUMBER(SEARCH(" ", $A1, 17)))), AND(LEFT($A1, 11)="select_one ", LEN($A1)&gt;11, NOT(ISNUMBER(SEARCH(" ", $A1, 12)))))</formula>
    </cfRule>
  </conditionalFormatting>
  <conditionalFormatting sqref="A1">
    <cfRule type="expression" dxfId="25" priority="6234" stopIfTrue="1">
      <formula>$A1="decimal"</formula>
    </cfRule>
  </conditionalFormatting>
  <conditionalFormatting sqref="A1">
    <cfRule type="expression" dxfId="26" priority="6235" stopIfTrue="1">
      <formula>$A1="integer"</formula>
    </cfRule>
  </conditionalFormatting>
  <conditionalFormatting sqref="A1">
    <cfRule type="expression" dxfId="27" priority="6236" stopIfTrue="1">
      <formula>$A1="text"</formula>
    </cfRule>
  </conditionalFormatting>
  <conditionalFormatting sqref="A1">
    <cfRule type="expression" dxfId="28" priority="6237" stopIfTrue="1">
      <formula>$A1="end repeat"</formula>
    </cfRule>
  </conditionalFormatting>
  <conditionalFormatting sqref="A1">
    <cfRule type="expression" dxfId="28" priority="6238" stopIfTrue="1">
      <formula>$A1="begin repeat"</formula>
    </cfRule>
  </conditionalFormatting>
  <conditionalFormatting sqref="A1">
    <cfRule type="expression" dxfId="29" priority="6239" stopIfTrue="1">
      <formula>$A1="end group"</formula>
    </cfRule>
  </conditionalFormatting>
  <conditionalFormatting sqref="A1">
    <cfRule type="expression" dxfId="29" priority="6240" stopIfTrue="1">
      <formula>$A1="begin group"</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9" t="s">
        <v>2192</v>
      </c>
      <c r="B1" s="11"/>
      <c r="C1" s="16"/>
      <c r="D1" s="16"/>
      <c r="E1" s="16"/>
      <c r="F1" s="16"/>
      <c r="G1" s="16"/>
      <c r="H1" s="16"/>
      <c r="I1" s="16"/>
      <c r="J1" s="16"/>
      <c r="K1" s="16"/>
      <c r="L1" s="16"/>
      <c r="M1" s="16"/>
      <c r="N1" s="16"/>
      <c r="O1" s="16"/>
      <c r="P1" s="16"/>
      <c r="Q1" s="16"/>
      <c r="R1" s="16"/>
      <c r="S1" s="16"/>
      <c r="T1" s="16"/>
      <c r="U1" s="16"/>
      <c r="V1" s="16"/>
      <c r="W1" s="16"/>
      <c r="X1" s="16"/>
      <c r="Y1" s="16"/>
      <c r="Z1" s="16"/>
    </row>
    <row r="2" ht="18.0" customHeight="1">
      <c r="A2" s="223"/>
      <c r="B2" s="224"/>
      <c r="C2" s="16"/>
      <c r="D2" s="16"/>
      <c r="E2" s="16"/>
      <c r="F2" s="16"/>
      <c r="G2" s="16"/>
      <c r="H2" s="16"/>
      <c r="I2" s="16"/>
      <c r="J2" s="16"/>
      <c r="K2" s="16"/>
      <c r="L2" s="16"/>
      <c r="M2" s="16"/>
      <c r="N2" s="16"/>
      <c r="O2" s="16"/>
      <c r="P2" s="16"/>
      <c r="Q2" s="16"/>
      <c r="R2" s="16"/>
      <c r="S2" s="16"/>
      <c r="T2" s="16"/>
      <c r="U2" s="16"/>
      <c r="V2" s="16"/>
      <c r="W2" s="16"/>
      <c r="X2" s="16"/>
      <c r="Y2" s="16"/>
      <c r="Z2" s="16"/>
    </row>
    <row r="3" ht="36.0" customHeight="1">
      <c r="A3" s="32" t="s">
        <v>2199</v>
      </c>
      <c r="B3" s="25"/>
      <c r="C3" s="16"/>
      <c r="D3" s="16"/>
      <c r="E3" s="16"/>
      <c r="F3" s="16"/>
      <c r="G3" s="16"/>
      <c r="H3" s="16"/>
      <c r="I3" s="16"/>
      <c r="J3" s="16"/>
      <c r="K3" s="16"/>
      <c r="L3" s="16"/>
      <c r="M3" s="16"/>
      <c r="N3" s="16"/>
      <c r="O3" s="16"/>
      <c r="P3" s="16"/>
      <c r="Q3" s="16"/>
      <c r="R3" s="16"/>
      <c r="S3" s="16"/>
      <c r="T3" s="16"/>
      <c r="U3" s="16"/>
      <c r="V3" s="16"/>
      <c r="W3" s="16"/>
      <c r="X3" s="16"/>
      <c r="Y3" s="16"/>
      <c r="Z3" s="16"/>
    </row>
    <row r="4" ht="18.75" customHeight="1">
      <c r="A4" s="225" t="s">
        <v>2204</v>
      </c>
      <c r="B4" s="25"/>
      <c r="C4" s="16"/>
      <c r="D4" s="16"/>
      <c r="E4" s="16"/>
      <c r="F4" s="16"/>
      <c r="G4" s="16"/>
      <c r="H4" s="16"/>
      <c r="I4" s="16"/>
      <c r="J4" s="16"/>
      <c r="K4" s="16"/>
      <c r="L4" s="16"/>
      <c r="M4" s="16"/>
      <c r="N4" s="16"/>
      <c r="O4" s="16"/>
      <c r="P4" s="16"/>
      <c r="Q4" s="16"/>
      <c r="R4" s="16"/>
      <c r="S4" s="16"/>
      <c r="T4" s="16"/>
      <c r="U4" s="16"/>
      <c r="V4" s="16"/>
      <c r="W4" s="16"/>
      <c r="X4" s="16"/>
      <c r="Y4" s="16"/>
      <c r="Z4" s="16"/>
    </row>
    <row r="5" ht="18.75" customHeight="1">
      <c r="A5" s="225" t="s">
        <v>2216</v>
      </c>
      <c r="B5" s="25"/>
      <c r="C5" s="16"/>
      <c r="D5" s="16"/>
      <c r="E5" s="16"/>
      <c r="F5" s="16"/>
      <c r="G5" s="16"/>
      <c r="H5" s="16"/>
      <c r="I5" s="16"/>
      <c r="J5" s="16"/>
      <c r="K5" s="16"/>
      <c r="L5" s="16"/>
      <c r="M5" s="16"/>
      <c r="N5" s="16"/>
      <c r="O5" s="16"/>
      <c r="P5" s="16"/>
      <c r="Q5" s="16"/>
      <c r="R5" s="16"/>
      <c r="S5" s="16"/>
      <c r="T5" s="16"/>
      <c r="U5" s="16"/>
      <c r="V5" s="16"/>
      <c r="W5" s="16"/>
      <c r="X5" s="16"/>
      <c r="Y5" s="16"/>
      <c r="Z5" s="16"/>
    </row>
    <row r="6" ht="19.5" customHeight="1">
      <c r="A6" s="42" t="s">
        <v>2223</v>
      </c>
      <c r="B6" s="43"/>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6"/>
      <c r="B7" s="16"/>
      <c r="C7" s="16"/>
      <c r="D7" s="16"/>
      <c r="E7" s="16"/>
      <c r="F7" s="16"/>
      <c r="G7" s="16"/>
      <c r="H7" s="16"/>
      <c r="I7" s="16"/>
      <c r="J7" s="16"/>
      <c r="K7" s="16"/>
      <c r="L7" s="16"/>
      <c r="M7" s="16"/>
      <c r="N7" s="16"/>
      <c r="O7" s="16"/>
      <c r="P7" s="16"/>
      <c r="Q7" s="16"/>
      <c r="R7" s="16"/>
      <c r="S7" s="16"/>
      <c r="T7" s="16"/>
      <c r="U7" s="16"/>
      <c r="V7" s="16"/>
      <c r="W7" s="16"/>
      <c r="X7" s="16"/>
      <c r="Y7" s="16"/>
      <c r="Z7" s="16"/>
    </row>
    <row r="8" ht="18.0" customHeight="1">
      <c r="A8" s="227" t="s">
        <v>0</v>
      </c>
      <c r="B8" s="227" t="s">
        <v>4</v>
      </c>
      <c r="C8" s="228" t="s">
        <v>6</v>
      </c>
      <c r="D8" s="228" t="s">
        <v>60</v>
      </c>
      <c r="E8" s="227" t="s">
        <v>11</v>
      </c>
      <c r="F8" s="227" t="s">
        <v>2232</v>
      </c>
      <c r="G8" s="227" t="s">
        <v>12</v>
      </c>
      <c r="H8" s="62"/>
      <c r="I8" s="62"/>
      <c r="J8" s="62"/>
      <c r="K8" s="62"/>
      <c r="L8" s="62"/>
      <c r="M8" s="62"/>
      <c r="N8" s="62"/>
      <c r="O8" s="62"/>
      <c r="P8" s="62"/>
      <c r="Q8" s="62"/>
      <c r="R8" s="62"/>
      <c r="S8" s="62"/>
      <c r="T8" s="62"/>
      <c r="U8" s="62"/>
      <c r="V8" s="62"/>
      <c r="W8" s="62"/>
      <c r="X8" s="62"/>
      <c r="Y8" s="62"/>
      <c r="Z8" s="62"/>
    </row>
    <row r="9" ht="15.75" customHeight="1">
      <c r="A9" s="229" t="s">
        <v>2240</v>
      </c>
      <c r="B9" s="229" t="s">
        <v>2242</v>
      </c>
      <c r="C9" s="229" t="s">
        <v>2245</v>
      </c>
      <c r="D9" s="229" t="s">
        <v>2246</v>
      </c>
      <c r="E9" s="229" t="s">
        <v>2247</v>
      </c>
      <c r="F9" s="229" t="s">
        <v>2249</v>
      </c>
      <c r="G9" s="229" t="s">
        <v>2252</v>
      </c>
      <c r="H9" s="229"/>
      <c r="I9" s="230"/>
      <c r="J9" s="230"/>
      <c r="K9" s="230"/>
      <c r="L9" s="230"/>
      <c r="M9" s="230"/>
      <c r="N9" s="230"/>
      <c r="O9" s="230"/>
      <c r="P9" s="230"/>
      <c r="Q9" s="230"/>
      <c r="R9" s="230"/>
      <c r="S9" s="230"/>
      <c r="T9" s="230"/>
      <c r="U9" s="230"/>
      <c r="V9" s="230"/>
      <c r="W9" s="230"/>
      <c r="X9" s="230"/>
      <c r="Y9" s="230"/>
      <c r="Z9" s="230"/>
    </row>
    <row r="10" ht="15.75" customHeight="1">
      <c r="A10" s="231"/>
      <c r="B10" s="231"/>
      <c r="C10" s="231"/>
      <c r="D10" s="232" t="s">
        <v>113</v>
      </c>
      <c r="E10" s="233" t="s">
        <v>134</v>
      </c>
      <c r="F10" s="231"/>
      <c r="G10" s="233" t="s">
        <v>140</v>
      </c>
      <c r="H10" s="231"/>
      <c r="I10" s="231"/>
      <c r="J10" s="231"/>
      <c r="K10" s="231"/>
      <c r="L10" s="231"/>
      <c r="M10" s="231"/>
      <c r="N10" s="231"/>
      <c r="O10" s="231"/>
      <c r="P10" s="231"/>
      <c r="Q10" s="231"/>
      <c r="R10" s="231"/>
      <c r="S10" s="231"/>
      <c r="T10" s="231"/>
      <c r="U10" s="231"/>
      <c r="V10" s="231"/>
      <c r="W10" s="231"/>
      <c r="X10" s="231"/>
      <c r="Y10" s="231"/>
      <c r="Z10" s="23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234" t="s">
        <v>2455</v>
      </c>
      <c r="B1" s="235"/>
      <c r="C1" s="236"/>
      <c r="D1" s="236"/>
      <c r="E1" s="236"/>
      <c r="F1" s="236"/>
      <c r="G1" s="16"/>
      <c r="H1" s="16"/>
      <c r="I1" s="16"/>
      <c r="J1" s="16"/>
      <c r="K1" s="16"/>
      <c r="L1" s="16"/>
      <c r="M1" s="16"/>
      <c r="N1" s="16"/>
      <c r="O1" s="16"/>
      <c r="P1" s="16"/>
      <c r="Q1" s="16"/>
      <c r="R1" s="16"/>
      <c r="S1" s="16"/>
      <c r="T1" s="16"/>
      <c r="U1" s="16"/>
      <c r="V1" s="16"/>
      <c r="W1" s="16"/>
      <c r="X1" s="16"/>
      <c r="Y1" s="16"/>
      <c r="Z1" s="16"/>
    </row>
    <row r="2" ht="15.75" customHeight="1">
      <c r="A2" s="237"/>
      <c r="B2" s="238"/>
      <c r="C2" s="236"/>
      <c r="D2" s="236"/>
      <c r="E2" s="236"/>
      <c r="F2" s="236"/>
      <c r="G2" s="16"/>
      <c r="H2" s="16"/>
      <c r="I2" s="16"/>
      <c r="J2" s="16"/>
      <c r="K2" s="16"/>
      <c r="L2" s="16"/>
      <c r="M2" s="16"/>
      <c r="N2" s="16"/>
      <c r="O2" s="16"/>
      <c r="P2" s="16"/>
      <c r="Q2" s="16"/>
      <c r="R2" s="16"/>
      <c r="S2" s="16"/>
      <c r="T2" s="16"/>
      <c r="U2" s="16"/>
      <c r="V2" s="16"/>
      <c r="W2" s="16"/>
      <c r="X2" s="16"/>
      <c r="Y2" s="16"/>
      <c r="Z2" s="16"/>
    </row>
    <row r="3" ht="54.75" customHeight="1">
      <c r="A3" s="240" t="s">
        <v>2481</v>
      </c>
      <c r="B3" s="241"/>
      <c r="C3" s="236"/>
      <c r="D3" s="236"/>
      <c r="E3" s="236"/>
      <c r="F3" s="236"/>
      <c r="G3" s="16"/>
      <c r="H3" s="16"/>
      <c r="I3" s="16"/>
      <c r="J3" s="16"/>
      <c r="K3" s="16"/>
      <c r="L3" s="16"/>
      <c r="M3" s="16"/>
      <c r="N3" s="16"/>
      <c r="O3" s="16"/>
      <c r="P3" s="16"/>
      <c r="Q3" s="16"/>
      <c r="R3" s="16"/>
      <c r="S3" s="16"/>
      <c r="T3" s="16"/>
      <c r="U3" s="16"/>
      <c r="V3" s="16"/>
      <c r="W3" s="16"/>
      <c r="X3" s="16"/>
      <c r="Y3" s="16"/>
      <c r="Z3" s="16"/>
    </row>
    <row r="4" ht="15.75" customHeight="1">
      <c r="A4" s="236"/>
      <c r="B4" s="236"/>
      <c r="C4" s="236"/>
      <c r="D4" s="236"/>
      <c r="E4" s="236"/>
      <c r="F4" s="236"/>
      <c r="G4" s="16"/>
      <c r="H4" s="16"/>
      <c r="I4" s="16"/>
      <c r="J4" s="16"/>
      <c r="K4" s="16"/>
      <c r="L4" s="16"/>
      <c r="M4" s="16"/>
      <c r="N4" s="16"/>
      <c r="O4" s="16"/>
      <c r="P4" s="16"/>
      <c r="Q4" s="16"/>
      <c r="R4" s="16"/>
      <c r="S4" s="16"/>
      <c r="T4" s="16"/>
      <c r="U4" s="16"/>
      <c r="V4" s="16"/>
      <c r="W4" s="16"/>
      <c r="X4" s="16"/>
      <c r="Y4" s="16"/>
      <c r="Z4" s="16"/>
    </row>
    <row r="5" ht="18.0" customHeight="1">
      <c r="A5" s="242" t="s">
        <v>2</v>
      </c>
      <c r="B5" s="242" t="s">
        <v>7</v>
      </c>
      <c r="C5" s="242" t="s">
        <v>9</v>
      </c>
      <c r="D5" s="242" t="s">
        <v>13</v>
      </c>
      <c r="E5" s="242" t="s">
        <v>15</v>
      </c>
      <c r="F5" s="243" t="s">
        <v>16</v>
      </c>
      <c r="G5" s="244"/>
      <c r="H5" s="245"/>
      <c r="I5" s="244"/>
      <c r="J5" s="244"/>
      <c r="K5" s="244"/>
      <c r="L5" s="244"/>
      <c r="M5" s="244"/>
      <c r="N5" s="244"/>
      <c r="O5" s="244"/>
      <c r="P5" s="244"/>
      <c r="Q5" s="244"/>
      <c r="R5" s="244"/>
      <c r="S5" s="244"/>
      <c r="T5" s="244"/>
      <c r="U5" s="244"/>
      <c r="V5" s="244"/>
      <c r="W5" s="244"/>
      <c r="X5" s="244"/>
      <c r="Y5" s="244"/>
      <c r="Z5" s="244"/>
    </row>
    <row r="6" ht="15.75" customHeight="1">
      <c r="A6" s="63" t="s">
        <v>2513</v>
      </c>
      <c r="B6" s="63" t="s">
        <v>2514</v>
      </c>
      <c r="C6" s="63" t="s">
        <v>2515</v>
      </c>
      <c r="D6" s="63" t="s">
        <v>2516</v>
      </c>
      <c r="E6" s="63" t="s">
        <v>2517</v>
      </c>
      <c r="F6" s="63" t="s">
        <v>2519</v>
      </c>
      <c r="G6" s="68"/>
      <c r="H6" s="68"/>
      <c r="I6" s="68"/>
      <c r="J6" s="68"/>
      <c r="K6" s="68"/>
      <c r="L6" s="68"/>
      <c r="M6" s="68"/>
      <c r="N6" s="68"/>
      <c r="O6" s="68"/>
      <c r="P6" s="68"/>
      <c r="Q6" s="68"/>
      <c r="R6" s="68"/>
      <c r="S6" s="68"/>
      <c r="T6" s="68"/>
      <c r="U6" s="68"/>
      <c r="V6" s="68"/>
      <c r="W6" s="68"/>
      <c r="X6" s="68"/>
      <c r="Y6" s="68"/>
      <c r="Z6" s="68"/>
    </row>
    <row r="7" ht="15.75" customHeight="1">
      <c r="A7" s="79" t="s">
        <v>2525</v>
      </c>
      <c r="B7" s="246"/>
      <c r="C7" s="79" t="s">
        <v>2531</v>
      </c>
      <c r="D7" s="79" t="s">
        <v>145</v>
      </c>
      <c r="E7" s="79" t="s">
        <v>145</v>
      </c>
      <c r="F7" s="79" t="s">
        <v>113</v>
      </c>
      <c r="G7" s="68"/>
      <c r="H7" s="68"/>
      <c r="I7" s="68"/>
      <c r="J7" s="68"/>
      <c r="K7" s="68"/>
      <c r="L7" s="68"/>
      <c r="M7" s="68"/>
      <c r="N7" s="68"/>
      <c r="O7" s="68"/>
      <c r="P7" s="68"/>
      <c r="Q7" s="68"/>
      <c r="R7" s="68"/>
      <c r="S7" s="68"/>
      <c r="T7" s="68"/>
      <c r="U7" s="68"/>
      <c r="V7" s="68"/>
      <c r="W7" s="68"/>
      <c r="X7" s="68"/>
      <c r="Y7" s="68"/>
      <c r="Z7" s="68"/>
    </row>
    <row r="8" ht="15.75" customHeight="1">
      <c r="A8" s="247"/>
      <c r="B8" s="247"/>
      <c r="C8" s="247"/>
      <c r="D8" s="247"/>
      <c r="E8" s="247"/>
      <c r="F8" s="24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